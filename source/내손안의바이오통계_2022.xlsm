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2.xml" ContentType="application/vnd.openxmlformats-officedocument.themeOverrid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3.xml" ContentType="application/vnd.openxmlformats-officedocument.themeOverride+xml"/>
  <Override PartName="/xl/drawings/drawing5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5.xml" ContentType="application/vnd.openxmlformats-officedocument.themeOverride+xml"/>
  <Override PartName="/xl/drawings/drawing6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6.xml" ContentType="application/vnd.openxmlformats-officedocument.themeOverride+xml"/>
  <Override PartName="/xl/drawings/drawing9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7.xml" ContentType="application/vnd.openxmlformats-officedocument.themeOverride+xml"/>
  <Override PartName="/xl/drawings/drawing10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ml.chartshapes+xml"/>
  <Override PartName="/xl/drawings/drawing23.xml" ContentType="application/vnd.openxmlformats-officedocument.drawing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ml.chartshap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8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9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0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1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2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3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4.xml" ContentType="application/vnd.openxmlformats-officedocument.drawing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5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6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7.xml" ContentType="application/vnd.openxmlformats-officedocument.drawing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8.xml" ContentType="application/vnd.openxmlformats-officedocument.drawing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9.xml" ContentType="application/vnd.openxmlformats-officedocument.drawingml.chartshapes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0.xml" ContentType="application/vnd.openxmlformats-officedocument.drawingml.chartshape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1.xml" ContentType="application/vnd.openxmlformats-officedocument.drawingml.chartshape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2.xml" ContentType="application/vnd.openxmlformats-officedocument.drawing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3.xml" ContentType="application/vnd.openxmlformats-officedocument.drawingml.chartshapes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4.xml" ContentType="application/vnd.openxmlformats-officedocument.drawingml.chartshape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5.xml" ContentType="application/vnd.openxmlformats-officedocument.drawingml.chartshapes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46.xml" ContentType="application/vnd.openxmlformats-officedocument.drawing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47.xml" ContentType="application/vnd.openxmlformats-officedocument.drawingml.chartshapes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8.xml" ContentType="application/vnd.openxmlformats-officedocument.drawingml.chartshapes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9.xml" ContentType="application/vnd.openxmlformats-officedocument.drawingml.chartshapes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0.xml" ContentType="application/vnd.openxmlformats-officedocument.drawingml.chartshapes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1.xml" ContentType="application/vnd.openxmlformats-officedocument.drawing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2.xml" ContentType="application/vnd.openxmlformats-officedocument.drawingml.chartshapes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3.xml" ContentType="application/vnd.openxmlformats-officedocument.drawingml.chartshapes+xml"/>
  <Override PartName="/xl/charts/chart63.xml" ContentType="application/vnd.openxmlformats-officedocument.drawingml.chart+xml"/>
  <Override PartName="/xl/drawings/drawing54.xml" ContentType="application/vnd.openxmlformats-officedocument.drawingml.chartshapes+xml"/>
  <Override PartName="/xl/charts/chart64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5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55.xml" ContentType="application/vnd.openxmlformats-officedocument.drawing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charts/chart66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56.xml" ContentType="application/vnd.openxmlformats-officedocument.drawingml.chartshapes+xml"/>
  <Override PartName="/xl/charts/chart67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57.xml" ContentType="application/vnd.openxmlformats-officedocument.drawingml.chartshapes+xml"/>
  <Override PartName="/xl/charts/chart68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58.xml" ContentType="application/vnd.openxmlformats-officedocument.drawingml.chartshapes+xml"/>
  <Override PartName="/xl/charts/chart69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59.xml" ContentType="application/vnd.openxmlformats-officedocument.drawingml.chartshapes+xml"/>
  <Override PartName="/xl/charts/chart70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60.xml" ContentType="application/vnd.openxmlformats-officedocument.drawingml.chartshapes+xml"/>
  <Override PartName="/xl/drawings/drawing61.xml" ContentType="application/vnd.openxmlformats-officedocument.drawing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charts/chart71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62.xml" ContentType="application/vnd.openxmlformats-officedocument.drawingml.chartshapes+xml"/>
  <Override PartName="/xl/charts/chart72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drawings/drawing63.xml" ContentType="application/vnd.openxmlformats-officedocument.drawingml.chartshapes+xml"/>
  <Override PartName="/xl/charts/chart73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64.xml" ContentType="application/vnd.openxmlformats-officedocument.drawingml.chartshapes+xml"/>
  <Override PartName="/xl/charts/chart74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drawings/drawing65.xml" ContentType="application/vnd.openxmlformats-officedocument.drawingml.chartshapes+xml"/>
  <Override PartName="/xl/drawings/drawing66.xml" ContentType="application/vnd.openxmlformats-officedocument.drawing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charts/chart75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drawings/drawing67.xml" ContentType="application/vnd.openxmlformats-officedocument.drawingml.chartshapes+xml"/>
  <Override PartName="/xl/charts/chart76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68.xml" ContentType="application/vnd.openxmlformats-officedocument.drawingml.chartshapes+xml"/>
  <Override PartName="/xl/drawings/drawing69.xml" ContentType="application/vnd.openxmlformats-officedocument.drawing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charts/chart77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drawings/drawing70.xml" ContentType="application/vnd.openxmlformats-officedocument.drawingml.chartshapes+xml"/>
  <Override PartName="/xl/charts/chart78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drawings/drawing71.xml" ContentType="application/vnd.openxmlformats-officedocument.drawingml.chartshapes+xml"/>
  <Override PartName="/xl/charts/chart79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72.xml" ContentType="application/vnd.openxmlformats-officedocument.drawingml.chartshapes+xml"/>
  <Override PartName="/xl/charts/chart80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drawings/drawing73.xml" ContentType="application/vnd.openxmlformats-officedocument.drawing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charts/chart81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drawings/drawing74.xml" ContentType="application/vnd.openxmlformats-officedocument.drawingml.chartshapes+xml"/>
  <Override PartName="/xl/charts/chart82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75.xml" ContentType="application/vnd.openxmlformats-officedocument.drawingml.chartshapes+xml"/>
  <Override PartName="/xl/charts/chart83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4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5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charts/chart86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drawings/drawing76.xml" ContentType="application/vnd.openxmlformats-officedocument.drawingml.chartshapes+xml"/>
  <Override PartName="/xl/charts/chart87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8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9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90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drawings/drawing77.xml" ContentType="application/vnd.openxmlformats-officedocument.drawing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charts/chart91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78.xml" ContentType="application/vnd.openxmlformats-officedocument.drawingml.chartshapes+xml"/>
  <Override PartName="/xl/charts/chart92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1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생명공학정책연구센터\바이오통계\"/>
    </mc:Choice>
  </mc:AlternateContent>
  <xr:revisionPtr revIDLastSave="0" documentId="8_{B7DCF2A4-1EAD-4FFA-9BD0-CD3E48CBDEA4}" xr6:coauthVersionLast="36" xr6:coauthVersionMax="36" xr10:uidLastSave="{00000000-0000-0000-0000-000000000000}"/>
  <bookViews>
    <workbookView xWindow="0" yWindow="0" windowWidth="28800" windowHeight="12180" tabRatio="678" xr2:uid="{00000000-000D-0000-FFFF-FFFF00000000}"/>
  </bookViews>
  <sheets>
    <sheet name="0. 목차" sheetId="31" r:id="rId1"/>
    <sheet name="1.투자" sheetId="46" r:id="rId2"/>
    <sheet name="2.인력" sheetId="47" r:id="rId3"/>
    <sheet name="3.기술수준" sheetId="48" r:id="rId4"/>
    <sheet name="4.산업" sheetId="49" r:id="rId5"/>
    <sheet name="5. 의약품" sheetId="32" r:id="rId6"/>
    <sheet name="6. 의료기기" sheetId="33" r:id="rId7"/>
    <sheet name="7. 바이오산업 " sheetId="45" r:id="rId8"/>
    <sheet name="8. 의약품" sheetId="36" r:id="rId9"/>
    <sheet name="9. 합성생물학" sheetId="37" r:id="rId10"/>
    <sheet name="10. 체외진단" sheetId="53" r:id="rId11"/>
    <sheet name="11. 헬스케어 디지털 트윈" sheetId="55" r:id="rId12"/>
    <sheet name="12. Bio-CDMO" sheetId="58" r:id="rId13"/>
    <sheet name="13. 백신" sheetId="60" r:id="rId14"/>
    <sheet name="14.디지털헬스" sheetId="62" r:id="rId15"/>
  </sheets>
  <definedNames>
    <definedName name="_xlnm._FilterDatabase" localSheetId="0" hidden="1">'0. 목차'!$A$1:$D$98</definedName>
    <definedName name="_xlnm._FilterDatabase" localSheetId="1" hidden="1">'1.투자'!$A$1:$B$646</definedName>
    <definedName name="_xlnm._FilterDatabase" localSheetId="10" hidden="1">'10. 체외진단'!$A$1:$B$113</definedName>
    <definedName name="_xlnm._FilterDatabase" localSheetId="11" hidden="1">'11. 헬스케어 디지털 트윈'!$A$1:$B$108</definedName>
    <definedName name="_xlnm._FilterDatabase" localSheetId="12" hidden="1">'12. Bio-CDMO'!$A$1:$B$100</definedName>
    <definedName name="_xlnm._FilterDatabase" localSheetId="13" hidden="1">'13. 백신'!$A$1:$B$108</definedName>
    <definedName name="_xlnm._FilterDatabase" localSheetId="2" hidden="1">'2.인력'!$A$1:$B$397</definedName>
    <definedName name="_xlnm._FilterDatabase" localSheetId="3" hidden="1">'3.기술수준'!$A$1:$B$186</definedName>
    <definedName name="_xlnm._FilterDatabase" localSheetId="5" hidden="1">'5. 의약품'!$A$1:$B$540</definedName>
    <definedName name="_xlnm._FilterDatabase" localSheetId="6" hidden="1">'6. 의료기기'!$A$1:$B$252</definedName>
    <definedName name="_xlnm._FilterDatabase" localSheetId="7" hidden="1">'7. 바이오산업 '!$A$1:$B$62</definedName>
    <definedName name="_xlnm._FilterDatabase" localSheetId="8" hidden="1">'8. 의약품'!$A$1:$B$94</definedName>
    <definedName name="_xlnm._FilterDatabase" localSheetId="9" hidden="1">'9. 합성생물학'!$A$1:$B$108</definedName>
  </definedNames>
  <calcPr calcId="191029"/>
</workbook>
</file>

<file path=xl/calcChain.xml><?xml version="1.0" encoding="utf-8"?>
<calcChain xmlns="http://schemas.openxmlformats.org/spreadsheetml/2006/main">
  <c r="H302" i="46" l="1"/>
  <c r="T200" i="32"/>
  <c r="O67" i="48" l="1"/>
  <c r="K31" i="62" l="1"/>
  <c r="K30" i="62"/>
  <c r="M7" i="62"/>
  <c r="F190" i="60" l="1"/>
  <c r="F189" i="60"/>
  <c r="F188" i="60"/>
  <c r="E191" i="60"/>
  <c r="F161" i="60"/>
  <c r="E165" i="60"/>
  <c r="F164" i="60" s="1"/>
  <c r="F58" i="60"/>
  <c r="F61" i="60"/>
  <c r="F60" i="60"/>
  <c r="F59" i="60"/>
  <c r="F57" i="60"/>
  <c r="F191" i="60" l="1"/>
  <c r="F162" i="60"/>
  <c r="F163" i="60"/>
  <c r="F62" i="60"/>
  <c r="M62" i="33"/>
  <c r="L129" i="33"/>
  <c r="F165" i="60" l="1"/>
  <c r="O53" i="58"/>
  <c r="E56" i="58"/>
  <c r="O55" i="58" s="1"/>
  <c r="O54" i="58" l="1"/>
  <c r="E118" i="37"/>
  <c r="I195" i="33" l="1"/>
  <c r="F195" i="33"/>
  <c r="G171" i="33"/>
  <c r="N40" i="48" l="1"/>
  <c r="J456" i="32" l="1"/>
  <c r="G435" i="32" l="1"/>
  <c r="G436" i="32"/>
  <c r="G437" i="32"/>
  <c r="G438" i="32"/>
  <c r="G439" i="32"/>
  <c r="G440" i="32"/>
  <c r="G441" i="32"/>
  <c r="G442" i="32"/>
  <c r="G443" i="32"/>
  <c r="G444" i="32"/>
  <c r="G445" i="32"/>
  <c r="G446" i="32"/>
  <c r="G447" i="32"/>
  <c r="G448" i="32"/>
  <c r="G449" i="32"/>
  <c r="G450" i="32"/>
  <c r="G451" i="32"/>
  <c r="G452" i="32"/>
  <c r="G453" i="32"/>
  <c r="G454" i="32"/>
  <c r="G455" i="32"/>
  <c r="J455" i="32" s="1"/>
  <c r="Q10" i="48" l="1"/>
  <c r="M40" i="48" l="1"/>
  <c r="L40" i="48"/>
  <c r="I288" i="47" l="1"/>
  <c r="E288" i="47"/>
  <c r="F288" i="47"/>
  <c r="G288" i="47"/>
  <c r="H288" i="47"/>
  <c r="P261" i="47"/>
  <c r="O261" i="47"/>
  <c r="N261" i="47"/>
  <c r="M261" i="47"/>
  <c r="P260" i="47"/>
  <c r="O260" i="47"/>
  <c r="N260" i="47"/>
  <c r="M260" i="47"/>
  <c r="P259" i="47"/>
  <c r="O259" i="47"/>
  <c r="N259" i="47"/>
  <c r="M259" i="47"/>
  <c r="P258" i="47"/>
  <c r="O258" i="47"/>
  <c r="N258" i="47"/>
  <c r="M258" i="47"/>
  <c r="P257" i="47"/>
  <c r="O257" i="47"/>
  <c r="N257" i="47"/>
  <c r="M257" i="47"/>
  <c r="P256" i="47"/>
  <c r="O256" i="47"/>
  <c r="N256" i="47"/>
  <c r="M256" i="47"/>
  <c r="P255" i="47"/>
  <c r="O255" i="47"/>
  <c r="N255" i="47"/>
  <c r="M255" i="47"/>
  <c r="P254" i="47"/>
  <c r="O254" i="47"/>
  <c r="N254" i="47"/>
  <c r="M254" i="47"/>
  <c r="P253" i="47"/>
  <c r="O253" i="47"/>
  <c r="N253" i="47"/>
  <c r="M253" i="47"/>
  <c r="P252" i="47"/>
  <c r="O252" i="47"/>
  <c r="N252" i="47"/>
  <c r="M252" i="47"/>
  <c r="P251" i="47"/>
  <c r="O251" i="47"/>
  <c r="N251" i="47"/>
  <c r="M251" i="47"/>
  <c r="M250" i="47"/>
  <c r="Q250" i="47"/>
  <c r="P250" i="47"/>
  <c r="O250" i="47"/>
  <c r="N250" i="47"/>
  <c r="F227" i="47"/>
  <c r="F226" i="47"/>
  <c r="F225" i="47"/>
  <c r="F224" i="47"/>
  <c r="F223" i="47"/>
  <c r="F222" i="47"/>
  <c r="F221" i="47"/>
  <c r="F220" i="47"/>
  <c r="F219" i="47"/>
  <c r="F218" i="47"/>
  <c r="F217" i="47"/>
  <c r="E79" i="47"/>
  <c r="I609" i="46" l="1"/>
  <c r="H609" i="46"/>
  <c r="G609" i="46"/>
  <c r="I579" i="46"/>
  <c r="H579" i="46"/>
  <c r="G579" i="46"/>
  <c r="E579" i="46"/>
  <c r="I549" i="46"/>
  <c r="H549" i="46"/>
  <c r="G549" i="46"/>
  <c r="E549" i="46"/>
  <c r="I519" i="46"/>
  <c r="H519" i="46"/>
  <c r="G519" i="46"/>
  <c r="F519" i="46"/>
  <c r="E519" i="46"/>
  <c r="I489" i="46"/>
  <c r="H489" i="46" l="1"/>
  <c r="I459" i="46"/>
  <c r="H459" i="46" l="1"/>
  <c r="F459" i="46"/>
  <c r="E459" i="46"/>
  <c r="H429" i="46" l="1"/>
  <c r="F429" i="46"/>
  <c r="E429" i="46"/>
  <c r="AB374" i="46" l="1"/>
  <c r="AB373" i="46"/>
  <c r="AB372" i="46"/>
  <c r="AB371" i="46"/>
  <c r="AB370" i="46"/>
  <c r="AB369" i="46"/>
  <c r="AB368" i="46"/>
  <c r="AB367" i="46"/>
  <c r="G275" i="46" l="1"/>
  <c r="H250" i="46"/>
  <c r="F250" i="46"/>
  <c r="E250" i="46"/>
  <c r="H248" i="46"/>
  <c r="F248" i="46"/>
  <c r="E248" i="46"/>
  <c r="J223" i="46"/>
  <c r="J221" i="46"/>
  <c r="I223" i="46"/>
  <c r="I221" i="46"/>
  <c r="G223" i="46"/>
  <c r="G221" i="46"/>
  <c r="F223" i="46"/>
  <c r="F221" i="46"/>
  <c r="E223" i="46"/>
  <c r="E221" i="46"/>
  <c r="F194" i="46"/>
  <c r="F193" i="46"/>
  <c r="F192" i="46"/>
  <c r="F191" i="46"/>
  <c r="F190" i="46"/>
  <c r="F189" i="46"/>
  <c r="F188" i="46"/>
  <c r="F187" i="46"/>
  <c r="F186" i="46"/>
  <c r="N136" i="46"/>
  <c r="P133" i="46" s="1"/>
  <c r="K105" i="46"/>
  <c r="J105" i="46"/>
  <c r="I105" i="46"/>
  <c r="H105" i="46"/>
  <c r="G105" i="46"/>
  <c r="F105" i="46"/>
  <c r="F9" i="46"/>
  <c r="I214" i="33" l="1"/>
  <c r="N67" i="48" l="1"/>
  <c r="G289" i="47" l="1"/>
  <c r="F289" i="47"/>
  <c r="E289" i="47"/>
  <c r="F216" i="47" l="1"/>
  <c r="F83" i="47"/>
  <c r="F82" i="47"/>
  <c r="F81" i="47"/>
  <c r="F80" i="47"/>
  <c r="F78" i="47"/>
  <c r="F77" i="47"/>
  <c r="F76" i="47"/>
  <c r="F302" i="46" l="1"/>
  <c r="E302" i="46" l="1"/>
  <c r="L52" i="49" l="1"/>
  <c r="M67" i="48" l="1"/>
  <c r="L67" i="48"/>
  <c r="K67" i="48"/>
  <c r="J67" i="48"/>
  <c r="I67" i="48"/>
  <c r="H67" i="48"/>
  <c r="G67" i="48"/>
  <c r="F67" i="48"/>
  <c r="E67" i="48"/>
  <c r="J8" i="46"/>
  <c r="N8" i="46"/>
  <c r="E20" i="46"/>
  <c r="J9" i="46"/>
  <c r="N9" i="46"/>
  <c r="F10" i="46"/>
  <c r="E24" i="46" s="1"/>
  <c r="J10" i="46"/>
  <c r="N10" i="46"/>
  <c r="J11" i="46"/>
  <c r="N11" i="46"/>
  <c r="F12" i="46"/>
  <c r="M28" i="46" s="1"/>
  <c r="J12" i="46"/>
  <c r="F13" i="46"/>
  <c r="D16" i="46"/>
  <c r="E16" i="46"/>
  <c r="D20" i="46"/>
  <c r="D24" i="46"/>
  <c r="D28" i="46"/>
  <c r="E28" i="46"/>
  <c r="L28" i="46"/>
  <c r="T28" i="46"/>
  <c r="G302" i="46"/>
  <c r="Z367" i="46"/>
  <c r="Z368" i="46"/>
  <c r="Z369" i="46"/>
  <c r="Z370" i="46"/>
  <c r="Z371" i="46"/>
  <c r="Z372" i="46"/>
  <c r="Z373" i="46"/>
  <c r="Z374" i="46"/>
  <c r="Z375" i="46"/>
</calcChain>
</file>

<file path=xl/sharedStrings.xml><?xml version="1.0" encoding="utf-8"?>
<sst xmlns="http://schemas.openxmlformats.org/spreadsheetml/2006/main" count="8877" uniqueCount="2298">
  <si>
    <t>2014년</t>
  </si>
  <si>
    <t>2015년</t>
  </si>
  <si>
    <t>2016년</t>
  </si>
  <si>
    <t>2017년</t>
  </si>
  <si>
    <t>소계</t>
    <phoneticPr fontId="13" type="noConversion"/>
  </si>
  <si>
    <t>합계</t>
    <phoneticPr fontId="13" type="noConversion"/>
  </si>
  <si>
    <t>기타</t>
  </si>
  <si>
    <t>2018년</t>
  </si>
  <si>
    <t>2013년</t>
    <phoneticPr fontId="13" type="noConversion"/>
  </si>
  <si>
    <t>주) 생명공학분야: 교육통계에 제시된 소계열 분류 중 12개 소계열이 해당(농업학, 동물·수의학, 보건학, 산림·원예학, 생명과학, 생물학, 약학, 의료공학, 의학, 재활학, 치의학, 한의학)</t>
  </si>
  <si>
    <t xml:space="preserve">  </t>
  </si>
  <si>
    <t>○ 국내 바이오분야 인력에 대한 통계는 한국교육개발원, 한국바이오협회, 한국산업기술진흥원 등 다양한 기관에서 조사 실시</t>
  </si>
  <si>
    <t>구분</t>
  </si>
  <si>
    <t>석사</t>
  </si>
  <si>
    <t>박사</t>
  </si>
  <si>
    <t>총계</t>
  </si>
  <si>
    <t>인력-02</t>
    <phoneticPr fontId="13" type="noConversion"/>
  </si>
  <si>
    <t>인력-03</t>
  </si>
  <si>
    <t>인력-10</t>
  </si>
  <si>
    <t>구분</t>
    <phoneticPr fontId="13" type="noConversion"/>
  </si>
  <si>
    <t>국내 바이오 졸업자</t>
  </si>
  <si>
    <t>국내 바이오산업 종사자</t>
  </si>
  <si>
    <t>바이오 중소·벤처기업 근로자</t>
  </si>
  <si>
    <t>(단위 : 명)</t>
    <phoneticPr fontId="13" type="noConversion"/>
  </si>
  <si>
    <t>종사자 현황</t>
    <phoneticPr fontId="13" type="noConversion"/>
  </si>
  <si>
    <t>2014년</t>
    <phoneticPr fontId="13" type="noConversion"/>
  </si>
  <si>
    <t>2015년</t>
    <phoneticPr fontId="13" type="noConversion"/>
  </si>
  <si>
    <t>2016년</t>
    <phoneticPr fontId="13" type="noConversion"/>
  </si>
  <si>
    <t>2017년</t>
    <phoneticPr fontId="13" type="noConversion"/>
  </si>
  <si>
    <t>연구직</t>
    <phoneticPr fontId="13" type="noConversion"/>
  </si>
  <si>
    <t>생산직</t>
    <phoneticPr fontId="13" type="noConversion"/>
  </si>
  <si>
    <t>박사</t>
    <phoneticPr fontId="13" type="noConversion"/>
  </si>
  <si>
    <t>석사</t>
    <phoneticPr fontId="13" type="noConversion"/>
  </si>
  <si>
    <t>학사</t>
  </si>
  <si>
    <t>학사</t>
    <phoneticPr fontId="13" type="noConversion"/>
  </si>
  <si>
    <t>기타</t>
    <phoneticPr fontId="13" type="noConversion"/>
  </si>
  <si>
    <t>전체</t>
    <phoneticPr fontId="13" type="noConversion"/>
  </si>
  <si>
    <t>(단위 : 명, %)</t>
  </si>
  <si>
    <t>업체수</t>
  </si>
  <si>
    <t>연구인력</t>
  </si>
  <si>
    <t>생산인력</t>
  </si>
  <si>
    <t>기타인력</t>
  </si>
  <si>
    <t>계</t>
  </si>
  <si>
    <t>바이오의약산업</t>
  </si>
  <si>
    <t>바이오화학·에너지산업</t>
  </si>
  <si>
    <t>바이오식품산업</t>
  </si>
  <si>
    <t>바이오환경산업</t>
  </si>
  <si>
    <t>바이오의료기기산업</t>
  </si>
  <si>
    <t>바이오장비 및 기기산업</t>
  </si>
  <si>
    <t>바이오자원산업</t>
  </si>
  <si>
    <t>바이오서비스산업</t>
  </si>
  <si>
    <t>(단위 : 개, 명, %)</t>
    <phoneticPr fontId="13" type="noConversion"/>
  </si>
  <si>
    <t>(단위 : 명, %)</t>
    <phoneticPr fontId="13" type="noConversion"/>
  </si>
  <si>
    <t>서울</t>
  </si>
  <si>
    <t>부산</t>
  </si>
  <si>
    <t>인천</t>
  </si>
  <si>
    <t>광주</t>
  </si>
  <si>
    <t>대전</t>
  </si>
  <si>
    <t>울산</t>
  </si>
  <si>
    <t>세종</t>
  </si>
  <si>
    <t>경기</t>
  </si>
  <si>
    <t>강원</t>
  </si>
  <si>
    <t>충북</t>
  </si>
  <si>
    <t>충남</t>
  </si>
  <si>
    <t>전북</t>
  </si>
  <si>
    <t>전남</t>
  </si>
  <si>
    <t>경북</t>
  </si>
  <si>
    <t>경남</t>
  </si>
  <si>
    <t>제주</t>
  </si>
  <si>
    <t>디스플레이</t>
    <phoneticPr fontId="13" type="noConversion"/>
  </si>
  <si>
    <t>전자</t>
    <phoneticPr fontId="13" type="noConversion"/>
  </si>
  <si>
    <t>자동차</t>
    <phoneticPr fontId="13" type="noConversion"/>
  </si>
  <si>
    <t>현원</t>
  </si>
  <si>
    <t>기계</t>
    <phoneticPr fontId="13" type="noConversion"/>
  </si>
  <si>
    <t>대학원졸</t>
  </si>
  <si>
    <t>대학원졸</t>
    <phoneticPr fontId="13" type="noConversion"/>
  </si>
  <si>
    <t>대졸</t>
  </si>
  <si>
    <t>대졸</t>
    <phoneticPr fontId="13" type="noConversion"/>
  </si>
  <si>
    <t>전문대졸</t>
  </si>
  <si>
    <t>전문대졸</t>
    <phoneticPr fontId="13" type="noConversion"/>
  </si>
  <si>
    <t>고졸</t>
  </si>
  <si>
    <t>고졸</t>
    <phoneticPr fontId="13" type="noConversion"/>
  </si>
  <si>
    <t>반도체</t>
    <phoneticPr fontId="13" type="noConversion"/>
  </si>
  <si>
    <t>바이오헬스</t>
    <phoneticPr fontId="13" type="noConversion"/>
  </si>
  <si>
    <t>섬유</t>
    <phoneticPr fontId="13" type="noConversion"/>
  </si>
  <si>
    <t>조선</t>
    <phoneticPr fontId="13" type="noConversion"/>
  </si>
  <si>
    <t>철강</t>
    <phoneticPr fontId="13" type="noConversion"/>
  </si>
  <si>
    <t>화학</t>
    <phoneticPr fontId="13" type="noConversion"/>
  </si>
  <si>
    <t>부족인원</t>
  </si>
  <si>
    <t>필요인원</t>
  </si>
  <si>
    <t>총 근로자 수</t>
  </si>
  <si>
    <t>총 근로자 수</t>
    <phoneticPr fontId="13" type="noConversion"/>
  </si>
  <si>
    <t>기업당 평균 근로자 수</t>
    <phoneticPr fontId="13" type="noConversion"/>
  </si>
  <si>
    <t>연도</t>
  </si>
  <si>
    <t xml:space="preserve">기업당 평균 근로자 수 </t>
  </si>
  <si>
    <t>인력-04</t>
    <phoneticPr fontId="13" type="noConversion"/>
  </si>
  <si>
    <t>인력-05</t>
    <phoneticPr fontId="13" type="noConversion"/>
  </si>
  <si>
    <t>인력-06</t>
    <phoneticPr fontId="13" type="noConversion"/>
  </si>
  <si>
    <t>인력-07</t>
    <phoneticPr fontId="13" type="noConversion"/>
  </si>
  <si>
    <t>비율</t>
    <phoneticPr fontId="13" type="noConversion"/>
  </si>
  <si>
    <t>인력-08</t>
    <phoneticPr fontId="13" type="noConversion"/>
  </si>
  <si>
    <t>인력-09</t>
    <phoneticPr fontId="13" type="noConversion"/>
  </si>
  <si>
    <t>전체(인력)</t>
    <phoneticPr fontId="13" type="noConversion"/>
  </si>
  <si>
    <t>전체(비율)</t>
    <phoneticPr fontId="13" type="noConversion"/>
  </si>
  <si>
    <t>인력-10</t>
    <phoneticPr fontId="13" type="noConversion"/>
  </si>
  <si>
    <t>석사(남자)</t>
    <phoneticPr fontId="13" type="noConversion"/>
  </si>
  <si>
    <t>석사(여자)</t>
    <phoneticPr fontId="13" type="noConversion"/>
  </si>
  <si>
    <t>박사(남자)</t>
    <phoneticPr fontId="13" type="noConversion"/>
  </si>
  <si>
    <t>박사(여자)</t>
    <phoneticPr fontId="13" type="noConversion"/>
  </si>
  <si>
    <t>(단위 : %)</t>
    <phoneticPr fontId="13" type="noConversion"/>
  </si>
  <si>
    <t>데이터</t>
  </si>
  <si>
    <t>데이터</t>
    <phoneticPr fontId="13" type="noConversion"/>
  </si>
  <si>
    <t>그래프</t>
    <phoneticPr fontId="13" type="noConversion"/>
  </si>
  <si>
    <t>바이오-01</t>
    <phoneticPr fontId="13" type="noConversion"/>
  </si>
  <si>
    <t>◈ 국내 바이오 SCIE 논문발표 수 및 순위</t>
  </si>
  <si>
    <t>주1) 논문 다수 발표 주요 30국 대상으로 순위 도출(초기 조사부터 상위 30위 국가가 아닌 주요 국가를 대상으로 조사해 현재 기준 30위권내 국가는 아님)</t>
  </si>
  <si>
    <t>주2) 논문 다수 발표 주요 30국 : 미국, 중국, 독일, 영국, 일본, 프랑스, 이탈리아, 캐나다, 인도, 브라질, 호주, 한국, 스페인, 네덜란드, 스위스, 스웨덴, 폴란드, 벨기에, 덴마크, 러시아, 대만, 멕시코, 오스트리아, 이스라엘, 아르헨티나, 핀란드, 노르웨이, 그리스, 뉴질랜드, 홍콩</t>
  </si>
  <si>
    <t>인력-01</t>
  </si>
  <si>
    <t>인력-01</t>
    <phoneticPr fontId="13" type="noConversion"/>
  </si>
  <si>
    <t>제목</t>
  </si>
  <si>
    <t>제목</t>
    <phoneticPr fontId="13" type="noConversion"/>
  </si>
  <si>
    <t>내용</t>
  </si>
  <si>
    <t>내용</t>
    <phoneticPr fontId="13" type="noConversion"/>
  </si>
  <si>
    <t>출처</t>
  </si>
  <si>
    <t>출처</t>
    <phoneticPr fontId="13" type="noConversion"/>
  </si>
  <si>
    <t>인력-11</t>
    <phoneticPr fontId="13" type="noConversion"/>
  </si>
  <si>
    <t>인력-12</t>
    <phoneticPr fontId="13" type="noConversion"/>
  </si>
  <si>
    <t>인력-13</t>
    <phoneticPr fontId="13" type="noConversion"/>
  </si>
  <si>
    <t>인력-14</t>
    <phoneticPr fontId="13" type="noConversion"/>
  </si>
  <si>
    <t>의약품</t>
  </si>
  <si>
    <t>글로벌 바이오 시장</t>
    <phoneticPr fontId="13" type="noConversion"/>
  </si>
  <si>
    <t>의료기기</t>
    <phoneticPr fontId="13" type="noConversion"/>
  </si>
  <si>
    <t>바이오-02</t>
    <phoneticPr fontId="13" type="noConversion"/>
  </si>
  <si>
    <t>2011년</t>
  </si>
  <si>
    <t>2012년</t>
  </si>
  <si>
    <t>2013년</t>
  </si>
  <si>
    <t>NSC 총합계</t>
  </si>
  <si>
    <t>바이오 관련 NSC 논문 합계</t>
  </si>
  <si>
    <t>바이오 비중(%)</t>
  </si>
  <si>
    <t>외국인</t>
  </si>
  <si>
    <t>바이오-06</t>
    <phoneticPr fontId="13" type="noConversion"/>
  </si>
  <si>
    <t>바이오-03</t>
    <phoneticPr fontId="13" type="noConversion"/>
  </si>
  <si>
    <t>바이오-04</t>
    <phoneticPr fontId="13" type="noConversion"/>
  </si>
  <si>
    <t>바이오-05</t>
    <phoneticPr fontId="13" type="noConversion"/>
  </si>
  <si>
    <t>바이오-07</t>
    <phoneticPr fontId="13" type="noConversion"/>
  </si>
  <si>
    <t>주1) 미국특허 다수 등록 주요 20개국 중에서 순위 도출</t>
  </si>
  <si>
    <t>주2) 미국특허 다수 등록 주요 20개국 : 미국, 일본, 독일, 네덜란드, 스위스, 한국, 프랑스, 영국, 덴마크, 중국, 캐나다, 이스라엘, 벨기에, 호주, 대만, 스웨덴, 싱가포르, 스페인, 이탈리아, 인도</t>
  </si>
  <si>
    <t>바이오-08</t>
    <phoneticPr fontId="13" type="noConversion"/>
  </si>
  <si>
    <t>바이오-09</t>
    <phoneticPr fontId="13" type="noConversion"/>
  </si>
  <si>
    <t>목차</t>
    <phoneticPr fontId="13" type="noConversion"/>
  </si>
  <si>
    <t>주요 내용</t>
  </si>
  <si>
    <t>그래프</t>
    <phoneticPr fontId="13" type="noConversion"/>
  </si>
  <si>
    <t>1. 투자</t>
    <phoneticPr fontId="13" type="noConversion"/>
  </si>
  <si>
    <t>1. 투자</t>
    <phoneticPr fontId="13" type="noConversion"/>
  </si>
  <si>
    <t>1. 투자</t>
    <phoneticPr fontId="13" type="noConversion"/>
  </si>
  <si>
    <t>1. 투자</t>
    <phoneticPr fontId="13" type="noConversion"/>
  </si>
  <si>
    <t>2. 인력</t>
    <phoneticPr fontId="13" type="noConversion"/>
  </si>
  <si>
    <t>2. 인력</t>
    <phoneticPr fontId="13" type="noConversion"/>
  </si>
  <si>
    <t>2. 인력</t>
    <phoneticPr fontId="13" type="noConversion"/>
  </si>
  <si>
    <t>의약품-01</t>
    <phoneticPr fontId="13" type="noConversion"/>
  </si>
  <si>
    <t>의료기기-01</t>
    <phoneticPr fontId="13" type="noConversion"/>
  </si>
  <si>
    <t>의료기기-01</t>
    <phoneticPr fontId="13" type="noConversion"/>
  </si>
  <si>
    <t>의료기기-01</t>
    <phoneticPr fontId="13" type="noConversion"/>
  </si>
  <si>
    <t>의료기기-01</t>
    <phoneticPr fontId="13" type="noConversion"/>
  </si>
  <si>
    <t>구분</t>
    <phoneticPr fontId="13" type="noConversion"/>
  </si>
  <si>
    <t>시장규모</t>
    <phoneticPr fontId="13" type="noConversion"/>
  </si>
  <si>
    <t>2018년</t>
    <phoneticPr fontId="13" type="noConversion"/>
  </si>
  <si>
    <t>2019년</t>
  </si>
  <si>
    <t>2020년</t>
  </si>
  <si>
    <t>2021년</t>
  </si>
  <si>
    <t>2022년</t>
  </si>
  <si>
    <t>2023년</t>
  </si>
  <si>
    <t>CAGR</t>
    <phoneticPr fontId="13" type="noConversion"/>
  </si>
  <si>
    <t>CAGR</t>
    <phoneticPr fontId="13" type="noConversion"/>
  </si>
  <si>
    <t>그래프</t>
    <phoneticPr fontId="13" type="noConversion"/>
  </si>
  <si>
    <t>데이터</t>
    <phoneticPr fontId="13" type="noConversion"/>
  </si>
  <si>
    <t>데이터</t>
    <phoneticPr fontId="13" type="noConversion"/>
  </si>
  <si>
    <t>데이터</t>
    <phoneticPr fontId="13" type="noConversion"/>
  </si>
  <si>
    <t>그래프</t>
    <phoneticPr fontId="13" type="noConversion"/>
  </si>
  <si>
    <t>그래프</t>
    <phoneticPr fontId="13" type="noConversion"/>
  </si>
  <si>
    <t>그래프</t>
    <phoneticPr fontId="13" type="noConversion"/>
  </si>
  <si>
    <t>데이터</t>
    <phoneticPr fontId="13" type="noConversion"/>
  </si>
  <si>
    <t>구분</t>
    <phoneticPr fontId="13" type="noConversion"/>
  </si>
  <si>
    <t>2024년</t>
  </si>
  <si>
    <t>2025년</t>
  </si>
  <si>
    <t>그래프</t>
    <phoneticPr fontId="13" type="noConversion"/>
  </si>
  <si>
    <t>그래프</t>
    <phoneticPr fontId="13" type="noConversion"/>
  </si>
  <si>
    <t>그래프</t>
    <phoneticPr fontId="13" type="noConversion"/>
  </si>
  <si>
    <t>그래프</t>
    <phoneticPr fontId="13" type="noConversion"/>
  </si>
  <si>
    <t>그래프</t>
    <phoneticPr fontId="13" type="noConversion"/>
  </si>
  <si>
    <t>그래프</t>
    <phoneticPr fontId="13" type="noConversion"/>
  </si>
  <si>
    <t>그래프</t>
    <phoneticPr fontId="13" type="noConversion"/>
  </si>
  <si>
    <t>구분</t>
    <phoneticPr fontId="13" type="noConversion"/>
  </si>
  <si>
    <t>시장규모</t>
  </si>
  <si>
    <t>구분</t>
    <phoneticPr fontId="13" type="noConversion"/>
  </si>
  <si>
    <t>(단위 : 백만달러)</t>
    <phoneticPr fontId="13" type="noConversion"/>
  </si>
  <si>
    <t>(단위 : 건, 위)</t>
    <phoneticPr fontId="13" type="noConversion"/>
  </si>
  <si>
    <t>(단위 : 편, %)</t>
    <phoneticPr fontId="13" type="noConversion"/>
  </si>
  <si>
    <t>GERMANY</t>
    <phoneticPr fontId="13" type="noConversion"/>
  </si>
  <si>
    <t>ITALY</t>
    <phoneticPr fontId="13" type="noConversion"/>
  </si>
  <si>
    <t>SPAIN</t>
    <phoneticPr fontId="13" type="noConversion"/>
  </si>
  <si>
    <t>데이터</t>
    <phoneticPr fontId="13" type="noConversion"/>
  </si>
  <si>
    <t>2012년</t>
    <phoneticPr fontId="13" type="noConversion"/>
  </si>
  <si>
    <t>BRAZIL</t>
    <phoneticPr fontId="13" type="noConversion"/>
  </si>
  <si>
    <t>국가</t>
  </si>
  <si>
    <t>국가</t>
    <phoneticPr fontId="13" type="noConversion"/>
  </si>
  <si>
    <t>비중</t>
    <phoneticPr fontId="13" type="noConversion"/>
  </si>
  <si>
    <t>이스라엘</t>
    <phoneticPr fontId="13" type="noConversion"/>
  </si>
  <si>
    <t>한국</t>
    <phoneticPr fontId="13" type="noConversion"/>
  </si>
  <si>
    <t>영국</t>
    <phoneticPr fontId="13" type="noConversion"/>
  </si>
  <si>
    <t>일본</t>
    <phoneticPr fontId="13" type="noConversion"/>
  </si>
  <si>
    <t>프랑스</t>
    <phoneticPr fontId="13" type="noConversion"/>
  </si>
  <si>
    <t>독일</t>
    <phoneticPr fontId="13" type="noConversion"/>
  </si>
  <si>
    <t>미국</t>
  </si>
  <si>
    <t>미국</t>
    <phoneticPr fontId="13" type="noConversion"/>
  </si>
  <si>
    <t>의료기기-03</t>
    <phoneticPr fontId="13" type="noConversion"/>
  </si>
  <si>
    <t>* 사용목적과 인체에 미치는 잠재적 위해성 등의 차이에 따라 등급분류</t>
  </si>
  <si>
    <t>* (1등급)잠재적 위해성이 거의 없음, (2등급)잠재적 위해성이 낮음, (3등급)중증도의 잠재적 위해성을 가짐, (4등급)고도의 위해성을 가짐</t>
  </si>
  <si>
    <t>데이터</t>
    <phoneticPr fontId="13" type="noConversion"/>
  </si>
  <si>
    <t>규모</t>
    <phoneticPr fontId="13" type="noConversion"/>
  </si>
  <si>
    <t>(단위 : 억달러, %)</t>
    <phoneticPr fontId="13" type="noConversion"/>
  </si>
  <si>
    <t>2017년</t>
    <phoneticPr fontId="13" type="noConversion"/>
  </si>
  <si>
    <t>(단위 : 억원, %)</t>
    <phoneticPr fontId="13" type="noConversion"/>
  </si>
  <si>
    <t>순위</t>
  </si>
  <si>
    <t>순위</t>
    <phoneticPr fontId="13" type="noConversion"/>
  </si>
  <si>
    <t>중국</t>
    <phoneticPr fontId="13" type="noConversion"/>
  </si>
  <si>
    <t>기업</t>
  </si>
  <si>
    <t>Medtronic</t>
  </si>
  <si>
    <t>Johnson &amp; Johnson</t>
  </si>
  <si>
    <t>Roche</t>
  </si>
  <si>
    <t>Novartis</t>
  </si>
  <si>
    <t>합계</t>
  </si>
  <si>
    <t>기업명</t>
  </si>
  <si>
    <t>매출액</t>
    <phoneticPr fontId="13" type="noConversion"/>
  </si>
  <si>
    <t>기업</t>
    <phoneticPr fontId="13" type="noConversion"/>
  </si>
  <si>
    <t>합계</t>
    <phoneticPr fontId="13" type="noConversion"/>
  </si>
  <si>
    <t>구분</t>
    <phoneticPr fontId="13" type="noConversion"/>
  </si>
  <si>
    <t>1등급</t>
    <phoneticPr fontId="13" type="noConversion"/>
  </si>
  <si>
    <t>2등급</t>
    <phoneticPr fontId="13" type="noConversion"/>
  </si>
  <si>
    <t>3등급</t>
    <phoneticPr fontId="13" type="noConversion"/>
  </si>
  <si>
    <t>4등급</t>
    <phoneticPr fontId="13" type="noConversion"/>
  </si>
  <si>
    <t>(단위 : 백만원, %)</t>
    <phoneticPr fontId="13" type="noConversion"/>
  </si>
  <si>
    <t>품목명</t>
  </si>
  <si>
    <t>2016년</t>
    <phoneticPr fontId="13" type="noConversion"/>
  </si>
  <si>
    <t>2017년</t>
    <phoneticPr fontId="13" type="noConversion"/>
  </si>
  <si>
    <t>의약품-02</t>
    <phoneticPr fontId="13" type="noConversion"/>
  </si>
  <si>
    <t>연도</t>
    <phoneticPr fontId="13" type="noConversion"/>
  </si>
  <si>
    <t>U. S.</t>
    <phoneticPr fontId="13" type="noConversion"/>
  </si>
  <si>
    <t>JAPAN</t>
    <phoneticPr fontId="13" type="noConversion"/>
  </si>
  <si>
    <t>FRANCE</t>
    <phoneticPr fontId="13" type="noConversion"/>
  </si>
  <si>
    <t>U. K.</t>
    <phoneticPr fontId="13" type="noConversion"/>
  </si>
  <si>
    <t>CANADA</t>
    <phoneticPr fontId="13" type="noConversion"/>
  </si>
  <si>
    <t>INDIA</t>
    <phoneticPr fontId="13" type="noConversion"/>
  </si>
  <si>
    <t>SOUTH KOREA</t>
    <phoneticPr fontId="13" type="noConversion"/>
  </si>
  <si>
    <t>AUSTRALIA</t>
    <phoneticPr fontId="13" type="noConversion"/>
  </si>
  <si>
    <t>RUSSIA</t>
    <phoneticPr fontId="13" type="noConversion"/>
  </si>
  <si>
    <t>MEXICO</t>
    <phoneticPr fontId="13" type="noConversion"/>
  </si>
  <si>
    <t>SAUDI ARABIA</t>
    <phoneticPr fontId="13" type="noConversion"/>
  </si>
  <si>
    <t>POLAND</t>
    <phoneticPr fontId="13" type="noConversion"/>
  </si>
  <si>
    <t>BELGIUM</t>
    <phoneticPr fontId="13" type="noConversion"/>
  </si>
  <si>
    <t>NETHERLANDS</t>
    <phoneticPr fontId="13" type="noConversion"/>
  </si>
  <si>
    <t>SWITZERLAND</t>
    <phoneticPr fontId="13" type="noConversion"/>
  </si>
  <si>
    <t>U. S.</t>
    <phoneticPr fontId="13" type="noConversion"/>
  </si>
  <si>
    <t>JAPAN</t>
    <phoneticPr fontId="13" type="noConversion"/>
  </si>
  <si>
    <t>GERMANY</t>
    <phoneticPr fontId="13" type="noConversion"/>
  </si>
  <si>
    <t>ITALY</t>
    <phoneticPr fontId="13" type="noConversion"/>
  </si>
  <si>
    <t>INDIA</t>
    <phoneticPr fontId="13" type="noConversion"/>
  </si>
  <si>
    <t>SOUTH KOREA</t>
    <phoneticPr fontId="13" type="noConversion"/>
  </si>
  <si>
    <t>TURKEY</t>
    <phoneticPr fontId="13" type="noConversion"/>
  </si>
  <si>
    <t>CHINA</t>
    <phoneticPr fontId="13" type="noConversion"/>
  </si>
  <si>
    <t>GERMANY</t>
    <phoneticPr fontId="13" type="noConversion"/>
  </si>
  <si>
    <t>BRAZIL</t>
    <phoneticPr fontId="13" type="noConversion"/>
  </si>
  <si>
    <t>SPAIN</t>
    <phoneticPr fontId="13" type="noConversion"/>
  </si>
  <si>
    <t>CANADA</t>
    <phoneticPr fontId="13" type="noConversion"/>
  </si>
  <si>
    <t>TURKEY</t>
    <phoneticPr fontId="13" type="noConversion"/>
  </si>
  <si>
    <t>AUSTRALIA</t>
    <phoneticPr fontId="13" type="noConversion"/>
  </si>
  <si>
    <t>MEXICO</t>
    <phoneticPr fontId="13" type="noConversion"/>
  </si>
  <si>
    <t>POLAND</t>
    <phoneticPr fontId="13" type="noConversion"/>
  </si>
  <si>
    <t>주1) 시장규모 = 생산 – 수출 + 수입</t>
  </si>
  <si>
    <t>주2) 무역수지 = 수출 – 수입</t>
  </si>
  <si>
    <t>생산</t>
  </si>
  <si>
    <t>수출</t>
  </si>
  <si>
    <t>수입</t>
  </si>
  <si>
    <t>무역수지</t>
  </si>
  <si>
    <t>2016년</t>
    <phoneticPr fontId="13" type="noConversion"/>
  </si>
  <si>
    <t>데이터</t>
    <phoneticPr fontId="13" type="noConversion"/>
  </si>
  <si>
    <t>(단위 : 억원)</t>
    <phoneticPr fontId="13" type="noConversion"/>
  </si>
  <si>
    <t>의약품-03</t>
    <phoneticPr fontId="13" type="noConversion"/>
  </si>
  <si>
    <t>의약품-03</t>
    <phoneticPr fontId="13" type="noConversion"/>
  </si>
  <si>
    <t>의약품-03</t>
    <phoneticPr fontId="13" type="noConversion"/>
  </si>
  <si>
    <t>의약품-04</t>
    <phoneticPr fontId="13" type="noConversion"/>
  </si>
  <si>
    <t>의약품-04</t>
    <phoneticPr fontId="13" type="noConversion"/>
  </si>
  <si>
    <t>의약품-05</t>
    <phoneticPr fontId="13" type="noConversion"/>
  </si>
  <si>
    <t>업체명</t>
  </si>
  <si>
    <t>MERCK &amp; CO(머크앤코)</t>
  </si>
  <si>
    <t>BOEHRINGER INGEL(베링거 인겔)</t>
  </si>
  <si>
    <t>(단위 : 십억달러)</t>
    <phoneticPr fontId="13" type="noConversion"/>
  </si>
  <si>
    <t>매출액</t>
    <phoneticPr fontId="13" type="noConversion"/>
  </si>
  <si>
    <t>(단위: 백만원)</t>
  </si>
  <si>
    <t>한미약품</t>
  </si>
  <si>
    <t>대웅제약</t>
  </si>
  <si>
    <t>녹십자</t>
  </si>
  <si>
    <t>생산액</t>
    <phoneticPr fontId="13" type="noConversion"/>
  </si>
  <si>
    <t>의약품-06</t>
    <phoneticPr fontId="13" type="noConversion"/>
  </si>
  <si>
    <t>의약품-07</t>
    <phoneticPr fontId="13" type="noConversion"/>
  </si>
  <si>
    <t>캐나다</t>
    <phoneticPr fontId="13" type="noConversion"/>
  </si>
  <si>
    <t>독일</t>
    <phoneticPr fontId="13" type="noConversion"/>
  </si>
  <si>
    <t>프랑스</t>
    <phoneticPr fontId="13" type="noConversion"/>
  </si>
  <si>
    <t>(단위 : 백만유로)</t>
    <phoneticPr fontId="13" type="noConversion"/>
  </si>
  <si>
    <t>의약품-08</t>
    <phoneticPr fontId="13" type="noConversion"/>
  </si>
  <si>
    <t>Pfizer</t>
  </si>
  <si>
    <t>Merck &amp; Co.</t>
  </si>
  <si>
    <t>Sanofi</t>
  </si>
  <si>
    <t>GlaxoSmithKline</t>
  </si>
  <si>
    <t>AbbVie</t>
  </si>
  <si>
    <t>Gilead Sciences</t>
  </si>
  <si>
    <t>Amgen</t>
  </si>
  <si>
    <t>의약품-09</t>
    <phoneticPr fontId="13" type="noConversion"/>
  </si>
  <si>
    <t>의약품-10</t>
    <phoneticPr fontId="13" type="noConversion"/>
  </si>
  <si>
    <t>제품명</t>
  </si>
  <si>
    <t>제조사</t>
  </si>
  <si>
    <t>(단위 : 십억달러)</t>
    <phoneticPr fontId="13" type="noConversion"/>
  </si>
  <si>
    <t>의약품-11</t>
    <phoneticPr fontId="13" type="noConversion"/>
  </si>
  <si>
    <t>- 5,000~10,000개의 신약 후보물질 중 비임상(10~250개) 및 임상시험 (1상 9개, 2상 5개, 3상 2개)을 거친 후 신약 1개 시판</t>
  </si>
  <si>
    <t>데이터</t>
    <phoneticPr fontId="13" type="noConversion"/>
  </si>
  <si>
    <t>주1) NMEs : New Molecular Entities, BLAs : Biologics License Applications</t>
  </si>
  <si>
    <t>◈ 국내개발신약 현황</t>
  </si>
  <si>
    <t>의약품-13</t>
    <phoneticPr fontId="13" type="noConversion"/>
  </si>
  <si>
    <t>의약품-14</t>
    <phoneticPr fontId="13" type="noConversion"/>
  </si>
  <si>
    <t>의약품-15</t>
    <phoneticPr fontId="13" type="noConversion"/>
  </si>
  <si>
    <t>투자-01</t>
    <phoneticPr fontId="13" type="noConversion"/>
  </si>
  <si>
    <t>투자-02</t>
    <phoneticPr fontId="13" type="noConversion"/>
  </si>
  <si>
    <t>◈ 주요국의 연구개발비 및 GDP대비 연구개발비 비중</t>
  </si>
  <si>
    <t>투자-03</t>
    <phoneticPr fontId="13" type="noConversion"/>
  </si>
  <si>
    <t>투자-04</t>
    <phoneticPr fontId="13" type="noConversion"/>
  </si>
  <si>
    <t>투자-05</t>
    <phoneticPr fontId="13" type="noConversion"/>
  </si>
  <si>
    <t>투자-06</t>
    <phoneticPr fontId="13" type="noConversion"/>
  </si>
  <si>
    <t>주) 과학기술계열 및 국방 연구개발사업(인문사회계열 제외) 대상</t>
  </si>
  <si>
    <t>투자-07</t>
    <phoneticPr fontId="13" type="noConversion"/>
  </si>
  <si>
    <t>투자-08</t>
    <phoneticPr fontId="13" type="noConversion"/>
  </si>
  <si>
    <t>필터</t>
    <phoneticPr fontId="13" type="noConversion"/>
  </si>
  <si>
    <t>그래프</t>
    <phoneticPr fontId="13" type="noConversion"/>
  </si>
  <si>
    <t>의료기기-02</t>
    <phoneticPr fontId="13" type="noConversion"/>
  </si>
  <si>
    <t>그래프</t>
    <phoneticPr fontId="13" type="noConversion"/>
  </si>
  <si>
    <t>순위</t>
    <phoneticPr fontId="13" type="noConversion"/>
  </si>
  <si>
    <t>제품명</t>
    <phoneticPr fontId="13" type="noConversion"/>
  </si>
  <si>
    <t>기업명</t>
    <phoneticPr fontId="13" type="noConversion"/>
  </si>
  <si>
    <t>증감율</t>
    <phoneticPr fontId="13" type="noConversion"/>
  </si>
  <si>
    <t>(단위 : 억원, %)</t>
    <phoneticPr fontId="13" type="noConversion"/>
  </si>
  <si>
    <t>한독</t>
    <phoneticPr fontId="13" type="noConversion"/>
  </si>
  <si>
    <t>삼진제약</t>
    <phoneticPr fontId="13" type="noConversion"/>
  </si>
  <si>
    <t>대웅바이오</t>
    <phoneticPr fontId="13" type="noConversion"/>
  </si>
  <si>
    <t>일동제약</t>
    <phoneticPr fontId="13" type="noConversion"/>
  </si>
  <si>
    <t>동국제약</t>
    <phoneticPr fontId="13" type="noConversion"/>
  </si>
  <si>
    <t>전문/일반</t>
    <phoneticPr fontId="13" type="noConversion"/>
  </si>
  <si>
    <t>단계</t>
    <phoneticPr fontId="13" type="noConversion"/>
  </si>
  <si>
    <t>신약후보물질탐색</t>
    <phoneticPr fontId="13" type="noConversion"/>
  </si>
  <si>
    <t>비임상 시험</t>
    <phoneticPr fontId="13" type="noConversion"/>
  </si>
  <si>
    <t>시판</t>
    <phoneticPr fontId="13" type="noConversion"/>
  </si>
  <si>
    <t>개수</t>
    <phoneticPr fontId="13" type="noConversion"/>
  </si>
  <si>
    <t>기간</t>
    <phoneticPr fontId="13" type="noConversion"/>
  </si>
  <si>
    <t>5,000~10,000</t>
    <phoneticPr fontId="13" type="noConversion"/>
  </si>
  <si>
    <t>임상시험(1상)</t>
    <phoneticPr fontId="13" type="noConversion"/>
  </si>
  <si>
    <t>임상시험(2상)</t>
    <phoneticPr fontId="13" type="noConversion"/>
  </si>
  <si>
    <t>임상시험(3상)</t>
    <phoneticPr fontId="13" type="noConversion"/>
  </si>
  <si>
    <t>~5년</t>
    <phoneticPr fontId="13" type="noConversion"/>
  </si>
  <si>
    <t>7년</t>
    <phoneticPr fontId="13" type="noConversion"/>
  </si>
  <si>
    <t>13년</t>
    <phoneticPr fontId="13" type="noConversion"/>
  </si>
  <si>
    <t>15년</t>
    <phoneticPr fontId="13" type="noConversion"/>
  </si>
  <si>
    <t>10~250</t>
    <phoneticPr fontId="13" type="noConversion"/>
  </si>
  <si>
    <t>구분</t>
    <phoneticPr fontId="13" type="noConversion"/>
  </si>
  <si>
    <t>2000년</t>
  </si>
  <si>
    <t>2001년</t>
  </si>
  <si>
    <t>2002년</t>
  </si>
  <si>
    <t>2003년</t>
  </si>
  <si>
    <t>2004년</t>
  </si>
  <si>
    <t>2005년</t>
  </si>
  <si>
    <t>2006년</t>
  </si>
  <si>
    <t>2007년</t>
  </si>
  <si>
    <t>2008년</t>
  </si>
  <si>
    <t>2009년</t>
  </si>
  <si>
    <t>2010년</t>
  </si>
  <si>
    <t>NMEs</t>
    <phoneticPr fontId="13" type="noConversion"/>
  </si>
  <si>
    <t>BLAs</t>
    <phoneticPr fontId="13" type="noConversion"/>
  </si>
  <si>
    <t>주성분</t>
  </si>
  <si>
    <t>효능&amp;효과</t>
  </si>
  <si>
    <t>허가일자</t>
  </si>
  <si>
    <t>선플라주</t>
  </si>
  <si>
    <t>SK케미칼㈜</t>
  </si>
  <si>
    <t>헵타플라틴</t>
  </si>
  <si>
    <t>항암제(위암)</t>
  </si>
  <si>
    <t>1999.07.15</t>
  </si>
  <si>
    <t>이지에프외용액</t>
  </si>
  <si>
    <t>㈜대웅제약</t>
  </si>
  <si>
    <t>당뇨성족부궤양치료제</t>
  </si>
  <si>
    <t>2001.05.30</t>
  </si>
  <si>
    <t>말리칸주</t>
  </si>
  <si>
    <t>동화약품공업(주)</t>
  </si>
  <si>
    <t>질산홀뮴-166</t>
  </si>
  <si>
    <t>항암제(간암)</t>
  </si>
  <si>
    <t>2001.07.06</t>
  </si>
  <si>
    <t>큐록신정</t>
  </si>
  <si>
    <t>JW중외제약(주)</t>
  </si>
  <si>
    <t>발로플록사신</t>
  </si>
  <si>
    <t>항균제(항생제)</t>
  </si>
  <si>
    <t>2001.12.17</t>
  </si>
  <si>
    <t>팩티브정</t>
  </si>
  <si>
    <t>㈜LG생명과학</t>
  </si>
  <si>
    <t>메탄설폰산제미플록사신</t>
  </si>
  <si>
    <t>아피톡신주</t>
  </si>
  <si>
    <t>구주제약(주)</t>
  </si>
  <si>
    <t>건조밀봉독</t>
  </si>
  <si>
    <t>관절염치료제</t>
  </si>
  <si>
    <t>2003.05.03</t>
  </si>
  <si>
    <t>슈도박신주</t>
  </si>
  <si>
    <t>CJ제일제당(주)</t>
  </si>
  <si>
    <t>건조정제슈도모나스백신</t>
  </si>
  <si>
    <t xml:space="preserve">농구균예방백신 </t>
  </si>
  <si>
    <t>2003.05.28</t>
  </si>
  <si>
    <t>캄토벨정</t>
  </si>
  <si>
    <t>㈜종근당</t>
  </si>
  <si>
    <t>벨로테칸</t>
  </si>
  <si>
    <t>항암제</t>
  </si>
  <si>
    <t>2003.10.22</t>
  </si>
  <si>
    <t>레바넥스정</t>
  </si>
  <si>
    <t>㈜유한양행</t>
  </si>
  <si>
    <t>레바프라잔</t>
  </si>
  <si>
    <t>항궤양제</t>
  </si>
  <si>
    <t>2005.09.15</t>
  </si>
  <si>
    <t>자이데나정</t>
  </si>
  <si>
    <t>동아제약(주)</t>
  </si>
  <si>
    <t>유데나필</t>
  </si>
  <si>
    <t>발기부전치료제</t>
  </si>
  <si>
    <t>2005.11.29</t>
  </si>
  <si>
    <t>레보비르캡슐</t>
  </si>
  <si>
    <t>부광약품(주)</t>
  </si>
  <si>
    <t>클레부딘</t>
  </si>
  <si>
    <t xml:space="preserve">B형간염치료제 </t>
  </si>
  <si>
    <t>2006.11.13</t>
  </si>
  <si>
    <t>펠루비정</t>
  </si>
  <si>
    <t>대원제약(주)</t>
  </si>
  <si>
    <t>펠루비프로펜</t>
  </si>
  <si>
    <t>골관절염치료제</t>
  </si>
  <si>
    <t>2007.04.20</t>
  </si>
  <si>
    <t>엠빅스정</t>
  </si>
  <si>
    <t>SK케미칼(주)</t>
  </si>
  <si>
    <t>미로데나필염산염</t>
  </si>
  <si>
    <t>2007.07.18</t>
  </si>
  <si>
    <t>놀텍정</t>
  </si>
  <si>
    <t>일양약품(주)</t>
  </si>
  <si>
    <t>일라프라졸</t>
  </si>
  <si>
    <t>2008.10.28</t>
  </si>
  <si>
    <t>카나브정</t>
  </si>
  <si>
    <t>보령제약(주)</t>
  </si>
  <si>
    <t>고혈압치료제</t>
  </si>
  <si>
    <t>2010.09.09</t>
  </si>
  <si>
    <t>피라맥스정</t>
  </si>
  <si>
    <t>신풍제약(주)</t>
  </si>
  <si>
    <t xml:space="preserve">피로나리딘인산염, 알테수네이트 </t>
  </si>
  <si>
    <t>말라리아치료제</t>
  </si>
  <si>
    <t>2011.08.17</t>
  </si>
  <si>
    <t>제피드정</t>
  </si>
  <si>
    <t>아바나필</t>
  </si>
  <si>
    <t>슈펙트캡슐</t>
  </si>
  <si>
    <t>라도티닙염산염</t>
  </si>
  <si>
    <t>항암제(백혈병)</t>
  </si>
  <si>
    <t>2012.01.05</t>
  </si>
  <si>
    <t>제미글로정</t>
  </si>
  <si>
    <t>제미글립틴타르타르산염, 1.5수화물</t>
  </si>
  <si>
    <t>당뇨병치료제</t>
  </si>
  <si>
    <t>2012.06.27</t>
  </si>
  <si>
    <t>듀비에정</t>
  </si>
  <si>
    <t>로베글리타존 황산염</t>
  </si>
  <si>
    <t>2013.07.04</t>
  </si>
  <si>
    <t>리아백스주</t>
  </si>
  <si>
    <t>㈜카엘젬백스</t>
  </si>
  <si>
    <t>테르토모타이드염산염</t>
  </si>
  <si>
    <t>항암제(췌장암)</t>
  </si>
  <si>
    <t>2014.09.15</t>
  </si>
  <si>
    <t>아셀렉스캡슐</t>
  </si>
  <si>
    <t>크리스탈지노믹스(주)</t>
  </si>
  <si>
    <t>폴마콕시브</t>
  </si>
  <si>
    <t>2015.02.05</t>
  </si>
  <si>
    <t>자보란테정</t>
  </si>
  <si>
    <t>동화약품(주)</t>
  </si>
  <si>
    <t>자보플록사신, D-아스파르트산염</t>
  </si>
  <si>
    <t>퀴놀론계 항생제</t>
  </si>
  <si>
    <t>2015.03.20</t>
  </si>
  <si>
    <t>시벡스트로정</t>
  </si>
  <si>
    <t>동아에스티(주)</t>
  </si>
  <si>
    <t>테디졸리드포스페이트</t>
  </si>
  <si>
    <t>2015.04.17</t>
  </si>
  <si>
    <t>시벡스트로주</t>
  </si>
  <si>
    <t>슈가논정</t>
  </si>
  <si>
    <t>에보글립틴 타르타르산염</t>
  </si>
  <si>
    <t>경구용 혈당 강하제</t>
  </si>
  <si>
    <t>2015.10.02</t>
  </si>
  <si>
    <t>올리타정</t>
  </si>
  <si>
    <t>한미약품(주)</t>
  </si>
  <si>
    <t>올무티닙염산염일수화물</t>
  </si>
  <si>
    <t>표적 항암치료제</t>
  </si>
  <si>
    <t>2016.05.13</t>
  </si>
  <si>
    <t>베시보정</t>
  </si>
  <si>
    <t>일동제약(주)</t>
  </si>
  <si>
    <t>베시포비르</t>
  </si>
  <si>
    <t>만성B형 간염치료제</t>
  </si>
  <si>
    <t>2017.05.15</t>
  </si>
  <si>
    <t>케이캡정</t>
  </si>
  <si>
    <t>CJ헬스케어(주)</t>
  </si>
  <si>
    <t>테고프라잔</t>
  </si>
  <si>
    <t xml:space="preserve">위식도역류질환 치료제 </t>
  </si>
  <si>
    <t>2018.07.05</t>
  </si>
  <si>
    <t>인간상피세포 성장인자</t>
    <phoneticPr fontId="13" type="noConversion"/>
  </si>
  <si>
    <t>2002.12.27</t>
    <phoneticPr fontId="13" type="noConversion"/>
  </si>
  <si>
    <t>피마살탄칼륨 삼수화물</t>
    <phoneticPr fontId="13" type="noConversion"/>
  </si>
  <si>
    <t>순번</t>
    <phoneticPr fontId="13" type="noConversion"/>
  </si>
  <si>
    <t>계약시기</t>
    <phoneticPr fontId="13" type="noConversion"/>
  </si>
  <si>
    <t>기업</t>
    <phoneticPr fontId="13" type="noConversion"/>
  </si>
  <si>
    <t>제품</t>
    <phoneticPr fontId="13" type="noConversion"/>
  </si>
  <si>
    <t>기업</t>
    <phoneticPr fontId="13" type="noConversion"/>
  </si>
  <si>
    <t>수출국</t>
    <phoneticPr fontId="13" type="noConversion"/>
  </si>
  <si>
    <t>계약규모</t>
    <phoneticPr fontId="13" type="noConversion"/>
  </si>
  <si>
    <t>국내 총 GDP</t>
    <phoneticPr fontId="13" type="noConversion"/>
  </si>
  <si>
    <t>국내 총 R&amp;D</t>
    <phoneticPr fontId="13" type="noConversion"/>
  </si>
  <si>
    <t>정부 총 R&amp;D</t>
    <phoneticPr fontId="13" type="noConversion"/>
  </si>
  <si>
    <t>정부 BT R&amp;D</t>
    <phoneticPr fontId="13" type="noConversion"/>
  </si>
  <si>
    <t>과기부 BT R&amp;D</t>
    <phoneticPr fontId="13" type="noConversion"/>
  </si>
  <si>
    <t>과기부 BT 국책사업</t>
    <phoneticPr fontId="13" type="noConversion"/>
  </si>
  <si>
    <t>과기부</t>
    <phoneticPr fontId="13" type="noConversion"/>
  </si>
  <si>
    <t>농식품부</t>
    <phoneticPr fontId="13" type="noConversion"/>
  </si>
  <si>
    <t>복지부</t>
    <phoneticPr fontId="13" type="noConversion"/>
  </si>
  <si>
    <t>산업부</t>
    <phoneticPr fontId="13" type="noConversion"/>
  </si>
  <si>
    <t>기초사업</t>
    <phoneticPr fontId="13" type="noConversion"/>
  </si>
  <si>
    <t>국책사업</t>
    <phoneticPr fontId="13" type="noConversion"/>
  </si>
  <si>
    <t>출연연사업</t>
    <phoneticPr fontId="13" type="noConversion"/>
  </si>
  <si>
    <t>그외사업</t>
    <phoneticPr fontId="13" type="noConversion"/>
  </si>
  <si>
    <t>연구개발투자</t>
    <phoneticPr fontId="13" type="noConversion"/>
  </si>
  <si>
    <t>(단위 : 억원, 건)</t>
    <phoneticPr fontId="13" type="noConversion"/>
  </si>
  <si>
    <t>억원</t>
  </si>
  <si>
    <t>IT(정보기술)</t>
  </si>
  <si>
    <t>BT(바이오기술)</t>
  </si>
  <si>
    <t>NT(나노기술)</t>
  </si>
  <si>
    <t>ST(우주항공기술)</t>
  </si>
  <si>
    <t>ET(환경기술)</t>
  </si>
  <si>
    <t>CT(문화기술)</t>
  </si>
  <si>
    <t>소 계</t>
  </si>
  <si>
    <t>기 타</t>
  </si>
  <si>
    <t>합 계</t>
  </si>
  <si>
    <t>정부</t>
  </si>
  <si>
    <t>민간</t>
  </si>
  <si>
    <t>IT</t>
    <phoneticPr fontId="13" type="noConversion"/>
  </si>
  <si>
    <t>BT</t>
    <phoneticPr fontId="13" type="noConversion"/>
  </si>
  <si>
    <t>NT</t>
    <phoneticPr fontId="13" type="noConversion"/>
  </si>
  <si>
    <t>ET</t>
    <phoneticPr fontId="13" type="noConversion"/>
  </si>
  <si>
    <t>CT</t>
    <phoneticPr fontId="13" type="noConversion"/>
  </si>
  <si>
    <t>투자-09</t>
    <phoneticPr fontId="13" type="noConversion"/>
  </si>
  <si>
    <t>투자-10</t>
    <phoneticPr fontId="13" type="noConversion"/>
  </si>
  <si>
    <t>정부 BT 투자액(B)</t>
  </si>
  <si>
    <t>B/A 비중</t>
  </si>
  <si>
    <t>투자-11</t>
    <phoneticPr fontId="13" type="noConversion"/>
  </si>
  <si>
    <t>과기정통부</t>
    <phoneticPr fontId="13" type="noConversion"/>
  </si>
  <si>
    <t>중기부</t>
    <phoneticPr fontId="13" type="noConversion"/>
  </si>
  <si>
    <t>교육부</t>
    <phoneticPr fontId="13" type="noConversion"/>
  </si>
  <si>
    <t>기타부처</t>
    <phoneticPr fontId="13" type="noConversion"/>
  </si>
  <si>
    <t>투자-12</t>
    <phoneticPr fontId="13" type="noConversion"/>
  </si>
  <si>
    <t>투자-13</t>
    <phoneticPr fontId="13" type="noConversion"/>
  </si>
  <si>
    <t>신약</t>
    <phoneticPr fontId="13" type="noConversion"/>
  </si>
  <si>
    <t>의료서비스</t>
    <phoneticPr fontId="13" type="noConversion"/>
  </si>
  <si>
    <t>뇌연구</t>
    <phoneticPr fontId="13" type="noConversion"/>
  </si>
  <si>
    <t>줄기세포</t>
    <phoneticPr fontId="13" type="noConversion"/>
  </si>
  <si>
    <t>유전체</t>
    <phoneticPr fontId="13" type="noConversion"/>
  </si>
  <si>
    <t>생명연구자원</t>
    <phoneticPr fontId="13" type="noConversion"/>
  </si>
  <si>
    <t>농림수축산/식품</t>
    <phoneticPr fontId="13" type="noConversion"/>
  </si>
  <si>
    <t>생명과학, 기초연구 및 기타</t>
    <phoneticPr fontId="13" type="noConversion"/>
  </si>
  <si>
    <t>투자-14</t>
    <phoneticPr fontId="13" type="noConversion"/>
  </si>
  <si>
    <t>투자-15</t>
    <phoneticPr fontId="13" type="noConversion"/>
  </si>
  <si>
    <t>투자-16</t>
    <phoneticPr fontId="13" type="noConversion"/>
  </si>
  <si>
    <t>투자-17</t>
    <phoneticPr fontId="13" type="noConversion"/>
  </si>
  <si>
    <t>투자-18</t>
    <phoneticPr fontId="13" type="noConversion"/>
  </si>
  <si>
    <t>투자-19</t>
    <phoneticPr fontId="13" type="noConversion"/>
  </si>
  <si>
    <t>투자-20</t>
    <phoneticPr fontId="13" type="noConversion"/>
  </si>
  <si>
    <t>투자-21</t>
    <phoneticPr fontId="13" type="noConversion"/>
  </si>
  <si>
    <t>O</t>
    <phoneticPr fontId="13" type="noConversion"/>
  </si>
  <si>
    <t>O</t>
    <phoneticPr fontId="13" type="noConversion"/>
  </si>
  <si>
    <t>O</t>
    <phoneticPr fontId="13" type="noConversion"/>
  </si>
  <si>
    <t>번호</t>
    <phoneticPr fontId="13" type="noConversion"/>
  </si>
  <si>
    <t>O</t>
    <phoneticPr fontId="13" type="noConversion"/>
  </si>
  <si>
    <t>O</t>
    <phoneticPr fontId="13" type="noConversion"/>
  </si>
  <si>
    <t>색1</t>
    <phoneticPr fontId="13" type="noConversion"/>
  </si>
  <si>
    <t>색2</t>
    <phoneticPr fontId="13" type="noConversion"/>
  </si>
  <si>
    <t>색3</t>
  </si>
  <si>
    <t>색4</t>
  </si>
  <si>
    <t>색5</t>
  </si>
  <si>
    <t>색6</t>
  </si>
  <si>
    <t>색7</t>
  </si>
  <si>
    <t>색8</t>
  </si>
  <si>
    <t>색9</t>
  </si>
  <si>
    <t>색10</t>
  </si>
  <si>
    <t>색감 통일</t>
    <phoneticPr fontId="13" type="noConversion"/>
  </si>
  <si>
    <t>바이오의료기술개발</t>
    <phoneticPr fontId="13" type="noConversion"/>
  </si>
  <si>
    <t>총 연구개발비(억원)</t>
    <phoneticPr fontId="13" type="noConversion"/>
  </si>
  <si>
    <t>GDP 대비 연구개발비(%)</t>
    <phoneticPr fontId="13" type="noConversion"/>
  </si>
  <si>
    <t>정부 비중</t>
    <phoneticPr fontId="13" type="noConversion"/>
  </si>
  <si>
    <t>민간 비중</t>
    <phoneticPr fontId="13" type="noConversion"/>
  </si>
  <si>
    <t>국가 R&amp;D 투자액(억원)</t>
    <phoneticPr fontId="13" type="noConversion"/>
  </si>
  <si>
    <t>국가 R&amp;D 과제수(건)</t>
    <phoneticPr fontId="13" type="noConversion"/>
  </si>
  <si>
    <t>연구비(억원)</t>
    <phoneticPr fontId="13" type="noConversion"/>
  </si>
  <si>
    <t>과제수(개)</t>
    <phoneticPr fontId="13" type="noConversion"/>
  </si>
  <si>
    <t>글로벌</t>
    <phoneticPr fontId="13" type="noConversion"/>
  </si>
  <si>
    <t>비고</t>
    <phoneticPr fontId="13" type="noConversion"/>
  </si>
  <si>
    <t>시장규모(조원)</t>
    <phoneticPr fontId="13" type="noConversion"/>
  </si>
  <si>
    <t>시장규모(억달러)</t>
    <phoneticPr fontId="13" type="noConversion"/>
  </si>
  <si>
    <t>국내 바이오 시장</t>
    <phoneticPr fontId="13" type="noConversion"/>
  </si>
  <si>
    <t>국내</t>
    <phoneticPr fontId="13" type="noConversion"/>
  </si>
  <si>
    <t>시장규모는 생산-수출+수입</t>
    <phoneticPr fontId="13" type="noConversion"/>
  </si>
  <si>
    <t>바이오산업 실태조사 보고서</t>
    <phoneticPr fontId="13" type="noConversion"/>
  </si>
  <si>
    <t>국내 바이오 관련 SCIE 논문(편)</t>
    <phoneticPr fontId="13" type="noConversion"/>
  </si>
  <si>
    <t>소계(단위 : 명)</t>
    <phoneticPr fontId="13" type="noConversion"/>
  </si>
  <si>
    <t>조사 대상</t>
    <phoneticPr fontId="13" type="noConversion"/>
  </si>
  <si>
    <t>교육통계에 제시된 소계열분류 중 12개 소계열(농업학, 동물·수의학, 보건학, 산림·원예학, 생명과학, 생물학, 약학, 의료공학, 의학, 재활학, 치의학, 한의학)</t>
  </si>
  <si>
    <t xml:space="preserve"> </t>
    <phoneticPr fontId="13" type="noConversion"/>
  </si>
  <si>
    <t>전체 합계</t>
    <phoneticPr fontId="13" type="noConversion"/>
  </si>
  <si>
    <t>현원(명)</t>
    <phoneticPr fontId="13" type="noConversion"/>
  </si>
  <si>
    <t>비율(%)</t>
    <phoneticPr fontId="13" type="noConversion"/>
  </si>
  <si>
    <t>(단위 : 백만파운드)</t>
    <phoneticPr fontId="13" type="noConversion"/>
  </si>
  <si>
    <t>정부/공공재원</t>
    <phoneticPr fontId="13" type="noConversion"/>
  </si>
  <si>
    <t>민간재원</t>
    <phoneticPr fontId="13" type="noConversion"/>
  </si>
  <si>
    <t>외국재원</t>
    <phoneticPr fontId="13" type="noConversion"/>
  </si>
  <si>
    <t>정부</t>
    <phoneticPr fontId="13" type="noConversion"/>
  </si>
  <si>
    <t>총 R&amp;D 투자</t>
    <phoneticPr fontId="13" type="noConversion"/>
  </si>
  <si>
    <t>△1</t>
    <phoneticPr fontId="13" type="noConversion"/>
  </si>
  <si>
    <t>△2</t>
    <phoneticPr fontId="13" type="noConversion"/>
  </si>
  <si>
    <t>▽1</t>
    <phoneticPr fontId="13" type="noConversion"/>
  </si>
  <si>
    <t>▽2</t>
    <phoneticPr fontId="13" type="noConversion"/>
  </si>
  <si>
    <t>▽2</t>
    <phoneticPr fontId="13" type="noConversion"/>
  </si>
  <si>
    <t>증가율(%)</t>
    <phoneticPr fontId="13" type="noConversion"/>
  </si>
  <si>
    <t>요구사항</t>
    <phoneticPr fontId="13" type="noConversion"/>
  </si>
  <si>
    <t>레드(의약품)</t>
  </si>
  <si>
    <t>레드(진단의료기기)</t>
  </si>
  <si>
    <t>그린(농업)</t>
  </si>
  <si>
    <t>그린(식품)</t>
  </si>
  <si>
    <t>화이트(화학)</t>
  </si>
  <si>
    <t>화이트(환경)</t>
  </si>
  <si>
    <t>화이트(에너지)</t>
  </si>
  <si>
    <t>플랫폼(지원서비스)</t>
  </si>
  <si>
    <t>그래프</t>
    <phoneticPr fontId="13" type="noConversion"/>
  </si>
  <si>
    <t>그래프</t>
    <phoneticPr fontId="13" type="noConversion"/>
  </si>
  <si>
    <t>그래프</t>
    <phoneticPr fontId="13" type="noConversion"/>
  </si>
  <si>
    <t>순위</t>
    <phoneticPr fontId="13" type="noConversion"/>
  </si>
  <si>
    <t>국가</t>
    <phoneticPr fontId="13" type="noConversion"/>
  </si>
  <si>
    <t>2016년 규모</t>
    <phoneticPr fontId="13" type="noConversion"/>
  </si>
  <si>
    <t>2017년 규모</t>
    <phoneticPr fontId="13" type="noConversion"/>
  </si>
  <si>
    <t>NATURE</t>
    <phoneticPr fontId="13" type="noConversion"/>
  </si>
  <si>
    <t>SCIENCE</t>
    <phoneticPr fontId="13" type="noConversion"/>
  </si>
  <si>
    <t>CELL</t>
    <phoneticPr fontId="13" type="noConversion"/>
  </si>
  <si>
    <t>내국인</t>
    <phoneticPr fontId="13" type="noConversion"/>
  </si>
  <si>
    <t>(단위 : 억원, 개)</t>
    <phoneticPr fontId="13" type="noConversion"/>
  </si>
  <si>
    <t>부족률(%)</t>
    <phoneticPr fontId="13" type="noConversion"/>
  </si>
  <si>
    <t>(단위 : 편)</t>
    <phoneticPr fontId="13" type="noConversion"/>
  </si>
  <si>
    <t>등록수(건)</t>
    <phoneticPr fontId="13" type="noConversion"/>
  </si>
  <si>
    <t>규모(십억달러)</t>
    <phoneticPr fontId="13" type="noConversion"/>
  </si>
  <si>
    <t>성장률(%)</t>
    <phoneticPr fontId="13" type="noConversion"/>
  </si>
  <si>
    <t>적용여부</t>
    <phoneticPr fontId="13" type="noConversion"/>
  </si>
  <si>
    <t>→</t>
    <phoneticPr fontId="13" type="noConversion"/>
  </si>
  <si>
    <t>국내 총 GDP</t>
  </si>
  <si>
    <t>국내 총 R&amp;D</t>
  </si>
  <si>
    <t>정부 총 R&amp;D</t>
  </si>
  <si>
    <t>정부 BT R&amp;D</t>
  </si>
  <si>
    <t>과기부 BT R&amp;D</t>
  </si>
  <si>
    <t>과기부 BT 국책사업</t>
  </si>
  <si>
    <t>억원</t>
    <phoneticPr fontId="13" type="noConversion"/>
  </si>
  <si>
    <t>↓</t>
    <phoneticPr fontId="13" type="noConversion"/>
  </si>
  <si>
    <t>순위(위)</t>
    <phoneticPr fontId="13" type="noConversion"/>
  </si>
  <si>
    <t>바이오-08</t>
  </si>
  <si>
    <t>1월</t>
    <phoneticPr fontId="13" type="noConversion"/>
  </si>
  <si>
    <t>2019년</t>
    <phoneticPr fontId="13" type="noConversion"/>
  </si>
  <si>
    <t>한미약품</t>
    <phoneticPr fontId="13" type="noConversion"/>
  </si>
  <si>
    <t>종근당</t>
    <phoneticPr fontId="13" type="noConversion"/>
  </si>
  <si>
    <t>셀트리온</t>
    <phoneticPr fontId="13" type="noConversion"/>
  </si>
  <si>
    <t>유한양행</t>
    <phoneticPr fontId="13" type="noConversion"/>
  </si>
  <si>
    <t>동아에스티</t>
    <phoneticPr fontId="13" type="noConversion"/>
  </si>
  <si>
    <t>엘지화학</t>
    <phoneticPr fontId="13" type="noConversion"/>
  </si>
  <si>
    <t>JW중외제약</t>
    <phoneticPr fontId="13" type="noConversion"/>
  </si>
  <si>
    <t>보령제약</t>
    <phoneticPr fontId="13" type="noConversion"/>
  </si>
  <si>
    <t>제일약품</t>
    <phoneticPr fontId="13" type="noConversion"/>
  </si>
  <si>
    <t>JOHNSON &amp; JOHNSON(존슨앤존슨)</t>
    <phoneticPr fontId="13" type="noConversion"/>
  </si>
  <si>
    <t>Novartis(노바티스)</t>
    <phoneticPr fontId="13" type="noConversion"/>
  </si>
  <si>
    <t>ABBVIE(애브비)</t>
    <phoneticPr fontId="13" type="noConversion"/>
  </si>
  <si>
    <t>SANOFI(사노피)</t>
    <phoneticPr fontId="13" type="noConversion"/>
  </si>
  <si>
    <t>GLAXOSMITHKLINE(글락소 스미스 클라인)</t>
    <phoneticPr fontId="13" type="noConversion"/>
  </si>
  <si>
    <t>GILEAD SCIENCES(길리어드 사이언스)</t>
    <phoneticPr fontId="13" type="noConversion"/>
  </si>
  <si>
    <t>AMGEN(암젠)</t>
    <phoneticPr fontId="13" type="noConversion"/>
  </si>
  <si>
    <t>TAKEDA(타케다)</t>
    <phoneticPr fontId="13" type="noConversion"/>
  </si>
  <si>
    <t>ASTRAZENECA(아스트라제네카)</t>
    <phoneticPr fontId="13" type="noConversion"/>
  </si>
  <si>
    <t>BRISTOL-MYERS SQB.(브리스톨마이어스스큅)</t>
    <phoneticPr fontId="13" type="noConversion"/>
  </si>
  <si>
    <t>BAYER(바이엘)</t>
    <phoneticPr fontId="13" type="noConversion"/>
  </si>
  <si>
    <t xml:space="preserve"> 2017년 </t>
    <phoneticPr fontId="13" type="noConversion"/>
  </si>
  <si>
    <t>2018년 생산액</t>
    <phoneticPr fontId="13" type="noConversion"/>
  </si>
  <si>
    <t>Abbott Laboratories</t>
    <phoneticPr fontId="13" type="noConversion"/>
  </si>
  <si>
    <t>SCOPUS, 생명공학정책연구센터 재가공</t>
    <phoneticPr fontId="13" type="noConversion"/>
  </si>
  <si>
    <t>ROCHE(로슈)</t>
  </si>
  <si>
    <t>Pfizer(화이자)</t>
  </si>
  <si>
    <t>AbbVie</t>
    <phoneticPr fontId="13" type="noConversion"/>
  </si>
  <si>
    <t>Bayer</t>
    <phoneticPr fontId="13" type="noConversion"/>
  </si>
  <si>
    <t>대원제약</t>
    <phoneticPr fontId="13" type="noConversion"/>
  </si>
  <si>
    <t>2018년 비중</t>
    <phoneticPr fontId="13" type="noConversion"/>
  </si>
  <si>
    <t>생명공학정책연구센터, 2018년 국내 바이오 중소·벤처기업 현황 통계, 2020.1</t>
    <phoneticPr fontId="13" type="noConversion"/>
  </si>
  <si>
    <t>2020년</t>
    <phoneticPr fontId="13" type="noConversion"/>
  </si>
  <si>
    <t>기술수준</t>
    <phoneticPr fontId="13" type="noConversion"/>
  </si>
  <si>
    <t>2011년</t>
    <phoneticPr fontId="13" type="noConversion"/>
  </si>
  <si>
    <t>배율(한국=1)</t>
    <phoneticPr fontId="13" type="noConversion"/>
  </si>
  <si>
    <t>2018년 연구개발비</t>
    <phoneticPr fontId="13" type="noConversion"/>
  </si>
  <si>
    <t>ST</t>
    <phoneticPr fontId="13" type="noConversion"/>
  </si>
  <si>
    <t xml:space="preserve">제목 </t>
    <phoneticPr fontId="13" type="noConversion"/>
  </si>
  <si>
    <t xml:space="preserve">BT 정부 투자 </t>
    <phoneticPr fontId="13" type="noConversion"/>
  </si>
  <si>
    <t>전년대비 증가액</t>
    <phoneticPr fontId="13" type="noConversion"/>
  </si>
  <si>
    <t>전년대비 증가율</t>
    <phoneticPr fontId="13" type="noConversion"/>
  </si>
  <si>
    <t>참고</t>
    <phoneticPr fontId="13" type="noConversion"/>
  </si>
  <si>
    <r>
      <t>연평균성장률(</t>
    </r>
    <r>
      <rPr>
        <sz val="11"/>
        <color theme="1"/>
        <rFont val="맑은 고딕"/>
        <family val="2"/>
        <charset val="129"/>
        <scheme val="minor"/>
      </rPr>
      <t>4년간)</t>
    </r>
    <phoneticPr fontId="13" type="noConversion"/>
  </si>
  <si>
    <t>생명공학정책연구센터, 교육통계서비스(https://kess.kedi.re.kr/index) 자료 가공</t>
    <phoneticPr fontId="13" type="noConversion"/>
  </si>
  <si>
    <t>대구</t>
    <phoneticPr fontId="13" type="noConversion"/>
  </si>
  <si>
    <t>기계</t>
  </si>
  <si>
    <t>디스플레이</t>
  </si>
  <si>
    <t>반도체</t>
  </si>
  <si>
    <t>바이오․헬스</t>
  </si>
  <si>
    <t>섬유</t>
  </si>
  <si>
    <t>자동차</t>
  </si>
  <si>
    <t>전자</t>
  </si>
  <si>
    <t>조선</t>
  </si>
  <si>
    <t>철강</t>
  </si>
  <si>
    <t>화학</t>
  </si>
  <si>
    <t>소프트웨어</t>
  </si>
  <si>
    <t>IT 비즈니스</t>
  </si>
  <si>
    <t>바이오헬스 분야 산업기술인력</t>
    <phoneticPr fontId="13" type="noConversion"/>
  </si>
  <si>
    <t>플랫폼(기타)</t>
    <phoneticPr fontId="13" type="noConversion"/>
  </si>
  <si>
    <t>바이오 벤처기업 2018년</t>
    <phoneticPr fontId="13" type="noConversion"/>
  </si>
  <si>
    <t>벤처기업 2018년</t>
    <phoneticPr fontId="13" type="noConversion"/>
  </si>
  <si>
    <r>
      <t xml:space="preserve">○ 국내 바이오 </t>
    </r>
    <r>
      <rPr>
        <sz val="11"/>
        <rFont val="HCI Poppy"/>
        <family val="2"/>
      </rPr>
      <t xml:space="preserve">SCIE </t>
    </r>
    <r>
      <rPr>
        <sz val="11"/>
        <rFont val="맑은 고딕"/>
        <family val="2"/>
        <scheme val="minor"/>
      </rPr>
      <t xml:space="preserve">논문발표 순위는 13위 </t>
    </r>
    <phoneticPr fontId="13" type="noConversion"/>
  </si>
  <si>
    <t xml:space="preserve"> 2011년</t>
  </si>
  <si>
    <t xml:space="preserve"> 2012년</t>
  </si>
  <si>
    <t xml:space="preserve"> 2013년</t>
  </si>
  <si>
    <t xml:space="preserve"> 2014년</t>
  </si>
  <si>
    <t xml:space="preserve"> 2015년</t>
  </si>
  <si>
    <t xml:space="preserve"> 2016년</t>
  </si>
  <si>
    <t xml:space="preserve"> 2017년</t>
  </si>
  <si>
    <t xml:space="preserve"> 2018년</t>
  </si>
  <si>
    <t xml:space="preserve"> 2019년</t>
  </si>
  <si>
    <t>출원기관명</t>
    <phoneticPr fontId="52" type="noConversion"/>
  </si>
  <si>
    <t>특허수</t>
    <phoneticPr fontId="52" type="noConversion"/>
  </si>
  <si>
    <t>대한민국</t>
  </si>
  <si>
    <t>서울대학교</t>
  </si>
  <si>
    <t>한국생명공학연구원</t>
  </si>
  <si>
    <t>고려대학교</t>
  </si>
  <si>
    <t>연세대학교</t>
  </si>
  <si>
    <t>건국대학교</t>
  </si>
  <si>
    <t>삼성전자</t>
  </si>
  <si>
    <t>한국과학기술연구원</t>
  </si>
  <si>
    <t>경북대학교</t>
  </si>
  <si>
    <t>한국과학기술원</t>
  </si>
  <si>
    <t>전남대학교</t>
  </si>
  <si>
    <t>가톨릭대학교</t>
  </si>
  <si>
    <t>에프호프만라로슈</t>
  </si>
  <si>
    <t>제넨테크</t>
  </si>
  <si>
    <t>경희대학교</t>
  </si>
  <si>
    <t>씨제이제일제당</t>
  </si>
  <si>
    <t>충북대학교</t>
  </si>
  <si>
    <t>◈ 국내 바이오 한국특허 출원의 주요 출원기관</t>
    <phoneticPr fontId="13" type="noConversion"/>
  </si>
  <si>
    <t>추격</t>
  </si>
  <si>
    <t>상승</t>
  </si>
  <si>
    <t>중점과학기술</t>
    <phoneticPr fontId="13" type="noConversion"/>
  </si>
  <si>
    <t>기술격차</t>
    <phoneticPr fontId="13" type="noConversion"/>
  </si>
  <si>
    <t>연구단계별 역랑</t>
    <phoneticPr fontId="13" type="noConversion"/>
  </si>
  <si>
    <t>기초</t>
    <phoneticPr fontId="13" type="noConversion"/>
  </si>
  <si>
    <t>응용개발</t>
    <phoneticPr fontId="13" type="noConversion"/>
  </si>
  <si>
    <t>의료영상융합기술</t>
  </si>
  <si>
    <t>유전체정보를 이용한 질환원인규명기술</t>
    <phoneticPr fontId="13" type="noConversion"/>
  </si>
  <si>
    <t>유전자 치료기술</t>
    <phoneticPr fontId="13" type="noConversion"/>
  </si>
  <si>
    <t>줄기세포 기능조절 기술</t>
    <phoneticPr fontId="13" type="noConversion"/>
  </si>
  <si>
    <t xml:space="preserve">맞춤형 신약 개발 기술 </t>
    <phoneticPr fontId="13" type="noConversion"/>
  </si>
  <si>
    <t>바이오마커 기술</t>
    <phoneticPr fontId="13" type="noConversion"/>
  </si>
  <si>
    <r>
      <t>불임</t>
    </r>
    <r>
      <rPr>
        <sz val="11"/>
        <rFont val="맑은 고딕"/>
        <family val="3"/>
        <charset val="128"/>
        <scheme val="minor"/>
      </rPr>
      <t>･</t>
    </r>
    <r>
      <rPr>
        <sz val="11"/>
        <rFont val="맑은 고딕"/>
        <family val="2"/>
        <scheme val="minor"/>
      </rPr>
      <t>난임 극복기술</t>
    </r>
    <phoneticPr fontId="13" type="noConversion"/>
  </si>
  <si>
    <r>
      <t>신</t>
    </r>
    <r>
      <rPr>
        <sz val="11"/>
        <rFont val="맑은 고딕"/>
        <family val="3"/>
        <charset val="128"/>
        <scheme val="minor"/>
      </rPr>
      <t>･</t>
    </r>
    <r>
      <rPr>
        <sz val="11"/>
        <rFont val="맑은 고딕"/>
        <family val="2"/>
        <scheme val="minor"/>
      </rPr>
      <t>변종 감염병 대응기술</t>
    </r>
    <phoneticPr fontId="13" type="noConversion"/>
  </si>
  <si>
    <t>한의약 효능 및 기전 규명기술</t>
    <phoneticPr fontId="13" type="noConversion"/>
  </si>
  <si>
    <t>재활 치료 및 생활지원 기기 기술</t>
    <phoneticPr fontId="13" type="noConversion"/>
  </si>
  <si>
    <t>생체적합 재료 개발기술</t>
    <phoneticPr fontId="13" type="noConversion"/>
  </si>
  <si>
    <t>초정밀 의료용 로봇 기술</t>
    <phoneticPr fontId="13" type="noConversion"/>
  </si>
  <si>
    <t>질병진단 바이오칩 기술</t>
    <phoneticPr fontId="13" type="noConversion"/>
  </si>
  <si>
    <t>바이오 및 생체공학  기반 인공장기 기술</t>
    <phoneticPr fontId="13" type="noConversion"/>
  </si>
  <si>
    <t>디지털 헬스케어 기술</t>
    <phoneticPr fontId="13" type="noConversion"/>
  </si>
  <si>
    <t>정밀의료 인프라 기술</t>
    <phoneticPr fontId="13" type="noConversion"/>
  </si>
  <si>
    <t>시스템생물학 및 합성생물학 분석 및 활용기술</t>
    <phoneticPr fontId="13" type="noConversion"/>
  </si>
  <si>
    <t>뇌신호 관측 및 조절 기술</t>
    <phoneticPr fontId="13" type="noConversion"/>
  </si>
  <si>
    <t>미국</t>
    <phoneticPr fontId="52" type="noConversion"/>
  </si>
  <si>
    <t>이탈리아</t>
    <phoneticPr fontId="52" type="noConversion"/>
  </si>
  <si>
    <t>◈ 글로벌 의료기기 시장(2014~2019)</t>
    <phoneticPr fontId="13" type="noConversion"/>
  </si>
  <si>
    <t>◈ 국가별 의료기기 시장(2019)</t>
    <phoneticPr fontId="13" type="noConversion"/>
  </si>
  <si>
    <t>2019년 규모</t>
    <phoneticPr fontId="13" type="noConversion"/>
  </si>
  <si>
    <t>일본</t>
    <phoneticPr fontId="52" type="noConversion"/>
  </si>
  <si>
    <t>독일</t>
    <phoneticPr fontId="52" type="noConversion"/>
  </si>
  <si>
    <t>중국</t>
    <phoneticPr fontId="52" type="noConversion"/>
  </si>
  <si>
    <t>프랑스</t>
    <phoneticPr fontId="52" type="noConversion"/>
  </si>
  <si>
    <t>영국</t>
    <phoneticPr fontId="52" type="noConversion"/>
  </si>
  <si>
    <t>캐나다</t>
    <phoneticPr fontId="52" type="noConversion"/>
  </si>
  <si>
    <t>스페인</t>
    <phoneticPr fontId="52" type="noConversion"/>
  </si>
  <si>
    <t>한국</t>
    <phoneticPr fontId="52" type="noConversion"/>
  </si>
  <si>
    <t>멕시코</t>
    <phoneticPr fontId="52" type="noConversion"/>
  </si>
  <si>
    <t>브라질</t>
    <phoneticPr fontId="52" type="noConversion"/>
  </si>
  <si>
    <t>호주</t>
    <phoneticPr fontId="52" type="noConversion"/>
  </si>
  <si>
    <t>인도</t>
    <phoneticPr fontId="52" type="noConversion"/>
  </si>
  <si>
    <t>러시아</t>
    <phoneticPr fontId="52" type="noConversion"/>
  </si>
  <si>
    <t>네덜란드</t>
    <phoneticPr fontId="52" type="noConversion"/>
  </si>
  <si>
    <t>스위스</t>
    <phoneticPr fontId="52" type="noConversion"/>
  </si>
  <si>
    <t>벨기에</t>
    <phoneticPr fontId="52" type="noConversion"/>
  </si>
  <si>
    <t>오스트리아</t>
    <phoneticPr fontId="52" type="noConversion"/>
  </si>
  <si>
    <t>폴란드</t>
    <phoneticPr fontId="52" type="noConversion"/>
  </si>
  <si>
    <t>2019년 비중</t>
    <phoneticPr fontId="13" type="noConversion"/>
  </si>
  <si>
    <t>2018년 규모</t>
    <phoneticPr fontId="13" type="noConversion"/>
  </si>
  <si>
    <t>2015년 규모</t>
    <phoneticPr fontId="13" type="noConversion"/>
  </si>
  <si>
    <t>오스템임플란트㈜</t>
    <phoneticPr fontId="13" type="noConversion"/>
  </si>
  <si>
    <t>의료기기-8</t>
    <phoneticPr fontId="13" type="noConversion"/>
  </si>
  <si>
    <t>TEVA(테바)</t>
    <phoneticPr fontId="13" type="noConversion"/>
  </si>
  <si>
    <t>Lilly(릴리)</t>
    <phoneticPr fontId="13" type="noConversion"/>
  </si>
  <si>
    <t>NOVO NORDISK(노보노디스크)</t>
    <phoneticPr fontId="13" type="noConversion"/>
  </si>
  <si>
    <t>Bristol Myers Squibb</t>
    <phoneticPr fontId="13" type="noConversion"/>
  </si>
  <si>
    <t>Takeda</t>
    <phoneticPr fontId="13" type="noConversion"/>
  </si>
  <si>
    <t>AstraZeneca</t>
    <phoneticPr fontId="13" type="noConversion"/>
  </si>
  <si>
    <t>Eli Lilly</t>
    <phoneticPr fontId="13" type="noConversion"/>
  </si>
  <si>
    <t>Bayer</t>
    <phoneticPr fontId="13" type="noConversion"/>
  </si>
  <si>
    <t>Novo Nordisk</t>
    <phoneticPr fontId="13" type="noConversion"/>
  </si>
  <si>
    <t>Boehringer Ingelheim</t>
    <phoneticPr fontId="13" type="noConversion"/>
  </si>
  <si>
    <t>기업명</t>
    <phoneticPr fontId="13" type="noConversion"/>
  </si>
  <si>
    <t>Bristol-Myers SQB</t>
    <phoneticPr fontId="13" type="noConversion"/>
  </si>
  <si>
    <t>Amgen</t>
    <phoneticPr fontId="13" type="noConversion"/>
  </si>
  <si>
    <t>Merck &amp; Co</t>
  </si>
  <si>
    <t>Snofi-Aventis</t>
  </si>
  <si>
    <t>Ono</t>
  </si>
  <si>
    <t>종근당글리아티린연질캡슐</t>
  </si>
  <si>
    <t>램시마주100mg</t>
  </si>
  <si>
    <t>(주)셀트리온</t>
  </si>
  <si>
    <t>(주)한독</t>
  </si>
  <si>
    <t>녹십자-알부민주20%</t>
  </si>
  <si>
    <t>(주)녹십자</t>
  </si>
  <si>
    <t>(주)종근당</t>
  </si>
  <si>
    <t>(주)대웅제약</t>
  </si>
  <si>
    <t>까스활명수큐액</t>
  </si>
  <si>
    <t>아로나민골드정</t>
  </si>
  <si>
    <t>이가탄에프캡슐</t>
  </si>
  <si>
    <t>판콜에스내복액</t>
  </si>
  <si>
    <t>명인제약(주)</t>
  </si>
  <si>
    <t>전문</t>
  </si>
  <si>
    <t>제약사 임상시험</t>
    <phoneticPr fontId="13" type="noConversion"/>
  </si>
  <si>
    <t>바이오의약품 임상시험</t>
    <phoneticPr fontId="13" type="noConversion"/>
  </si>
  <si>
    <t>전체 임상시험</t>
    <phoneticPr fontId="13" type="noConversion"/>
  </si>
  <si>
    <t>유한양행</t>
    <phoneticPr fontId="13" type="noConversion"/>
  </si>
  <si>
    <t>광동제약</t>
    <phoneticPr fontId="13" type="noConversion"/>
  </si>
  <si>
    <t>셀트리온</t>
    <phoneticPr fontId="13" type="noConversion"/>
  </si>
  <si>
    <t>한미약품</t>
    <phoneticPr fontId="13" type="noConversion"/>
  </si>
  <si>
    <t>대웅제약</t>
    <phoneticPr fontId="13" type="noConversion"/>
  </si>
  <si>
    <t>종근당</t>
    <phoneticPr fontId="13" type="noConversion"/>
  </si>
  <si>
    <t>제일약품</t>
    <phoneticPr fontId="13" type="noConversion"/>
  </si>
  <si>
    <t>동아에스티</t>
    <phoneticPr fontId="13" type="noConversion"/>
  </si>
  <si>
    <t>보령제약</t>
    <phoneticPr fontId="13" type="noConversion"/>
  </si>
  <si>
    <t>JW중외제약</t>
    <phoneticPr fontId="13" type="noConversion"/>
  </si>
  <si>
    <t>일동제약</t>
    <phoneticPr fontId="13" type="noConversion"/>
  </si>
  <si>
    <t>동국제약</t>
    <phoneticPr fontId="13" type="noConversion"/>
  </si>
  <si>
    <t>한독</t>
    <phoneticPr fontId="13" type="noConversion"/>
  </si>
  <si>
    <t>휴온스</t>
    <phoneticPr fontId="13" type="noConversion"/>
  </si>
  <si>
    <t>의약품-12</t>
    <phoneticPr fontId="13" type="noConversion"/>
  </si>
  <si>
    <t>의약품-16</t>
    <phoneticPr fontId="13" type="noConversion"/>
  </si>
  <si>
    <t>의약품-18</t>
    <phoneticPr fontId="13" type="noConversion"/>
  </si>
  <si>
    <t>GDP 대비 연구개발비 비중</t>
    <phoneticPr fontId="13" type="noConversion"/>
  </si>
  <si>
    <t>◈ 최근 10년간 주요국의 GDP대비 연구개발비 비중</t>
    <phoneticPr fontId="13" type="noConversion"/>
  </si>
  <si>
    <t>* 바이오의약, 바이오화학·에너지, 바이오식품, 바이오환경,바이오의료기기, 바이오장비 및 기기, 바이오자원, 바이오서비스 산업으로 구성</t>
    <phoneticPr fontId="13" type="noConversion"/>
  </si>
  <si>
    <t>국내 보건산업</t>
    <phoneticPr fontId="13" type="noConversion"/>
  </si>
  <si>
    <t>전체 신규투자</t>
    <phoneticPr fontId="13" type="noConversion"/>
  </si>
  <si>
    <t>바이오/의료 신규투자</t>
    <phoneticPr fontId="13" type="noConversion"/>
  </si>
  <si>
    <t xml:space="preserve">바이오/의료 업종 점유율(%) </t>
    <phoneticPr fontId="13" type="noConversion"/>
  </si>
  <si>
    <t>전체 기술특례상장기업</t>
    <phoneticPr fontId="13" type="noConversion"/>
  </si>
  <si>
    <t>바이오 기술특례상장기업</t>
    <phoneticPr fontId="13" type="noConversion"/>
  </si>
  <si>
    <t>O</t>
  </si>
  <si>
    <t>투자-22</t>
    <phoneticPr fontId="13" type="noConversion"/>
  </si>
  <si>
    <t>기술수출 실적</t>
    <phoneticPr fontId="13" type="noConversion"/>
  </si>
  <si>
    <t>* 계약 규모는 비공개자료 제외</t>
    <phoneticPr fontId="13" type="noConversion"/>
  </si>
  <si>
    <t>1. 우리나라의 BT 연구 개발비 흐름은 어떠한가?</t>
    <phoneticPr fontId="13" type="noConversion"/>
  </si>
  <si>
    <t>2. 우리나라의 총 R&amp;D 투자는 어떤 수준인가?</t>
    <phoneticPr fontId="13" type="noConversion"/>
  </si>
  <si>
    <t>3. 우리나라의 BT R&amp;D 투자는 어떤 수준인가?</t>
    <phoneticPr fontId="13" type="noConversion"/>
  </si>
  <si>
    <t>3. 기술수준</t>
    <phoneticPr fontId="13" type="noConversion"/>
  </si>
  <si>
    <t>◈ 국내 바이오 한국특허 출원의 주요 출원기관</t>
  </si>
  <si>
    <t>4. 산업</t>
    <phoneticPr fontId="13" type="noConversion"/>
  </si>
  <si>
    <t>5. 의약품</t>
  </si>
  <si>
    <t>6. 의료기기</t>
  </si>
  <si>
    <t>4. 부처별/분야별 BT R&amp;D 투자는 어떠한가?</t>
    <phoneticPr fontId="13" type="noConversion"/>
  </si>
  <si>
    <t>1. 우리나라 바이오 분야의 전반적인 인력 현황은?</t>
  </si>
  <si>
    <t>2. 국내 바이오 졸업자 현황은?</t>
  </si>
  <si>
    <t>3. 국내 바이오산업 종사자 현황은?</t>
  </si>
  <si>
    <t>4. 바이오·헬스 분야의 산업기술인력 현황은?</t>
  </si>
  <si>
    <t>5. 바이오 중소·벤처기업의 근로자는 얼마나 있나?</t>
  </si>
  <si>
    <t>1. 바이오 기술수준은 어떠한가?</t>
  </si>
  <si>
    <t>1. 바이오산업 전반적인 규모는 어떠한가?</t>
  </si>
  <si>
    <t>1. 의약품 시장규모는 어떠한가?</t>
  </si>
  <si>
    <t>2. 매출이 많은 제약기업은?</t>
  </si>
  <si>
    <t>3. 제약기업의 R&amp;D 투자현황은?</t>
  </si>
  <si>
    <t>4. 많이 팔리는 의약품은?</t>
  </si>
  <si>
    <t>5. 신약개발 파이프라인은 어떠한가?</t>
  </si>
  <si>
    <t>6. 신약승인 현황은?</t>
  </si>
  <si>
    <t>머리말</t>
    <phoneticPr fontId="13" type="noConversion"/>
  </si>
  <si>
    <t>1. 의료기기 시장규모는 어떠한가?</t>
  </si>
  <si>
    <t>2. 매출이 많은 의료기기 기업은?</t>
  </si>
  <si>
    <t>(단위 : 억원)2</t>
  </si>
  <si>
    <t>Biogen(바이오젠)</t>
    <phoneticPr fontId="13" type="noConversion"/>
  </si>
  <si>
    <t>한림제약</t>
    <phoneticPr fontId="13" type="noConversion"/>
  </si>
  <si>
    <t>Roche</t>
    <phoneticPr fontId="13" type="noConversion"/>
  </si>
  <si>
    <t>LiIIy</t>
    <phoneticPr fontId="13" type="noConversion"/>
  </si>
  <si>
    <t>2019년</t>
    <phoneticPr fontId="13" type="noConversion"/>
  </si>
  <si>
    <t>2019년 연구개발비</t>
    <phoneticPr fontId="13" type="noConversion"/>
  </si>
  <si>
    <t>2019년 비중</t>
    <phoneticPr fontId="13" type="noConversion"/>
  </si>
  <si>
    <t>2019년</t>
    <phoneticPr fontId="13" type="noConversion"/>
  </si>
  <si>
    <t>`</t>
    <phoneticPr fontId="13" type="noConversion"/>
  </si>
  <si>
    <t>주) 농식품부는 농촌진흥청과 산림청을 포함, 기타 부처는 중기부, 식약처, 환경부, 해수부 등을 포함</t>
    <phoneticPr fontId="13" type="noConversion"/>
  </si>
  <si>
    <t xml:space="preserve">2019년 </t>
    <phoneticPr fontId="13" type="noConversion"/>
  </si>
  <si>
    <t>국내 바이오 중소·벤처기업 2,496개(생존기업) 대상</t>
    <phoneticPr fontId="13" type="noConversion"/>
  </si>
  <si>
    <t>2019년</t>
    <phoneticPr fontId="13" type="noConversion"/>
  </si>
  <si>
    <t>출처</t>
    <phoneticPr fontId="13" type="noConversion"/>
  </si>
  <si>
    <t>벤처기업 2019년</t>
    <phoneticPr fontId="13" type="noConversion"/>
  </si>
  <si>
    <t>바이오 벤처기업 2019년</t>
    <phoneticPr fontId="13" type="noConversion"/>
  </si>
  <si>
    <t>2020년</t>
    <phoneticPr fontId="13" type="noConversion"/>
  </si>
  <si>
    <t>◈ 국내 바이오 SCIE 논문발표 수 및 순위</t>
    <phoneticPr fontId="13" type="noConversion"/>
  </si>
  <si>
    <t>한국과학기술기획평가원, 2020년 기술수준평가, 2021.3</t>
    <phoneticPr fontId="13" type="noConversion"/>
  </si>
  <si>
    <t xml:space="preserve">  - 미국(100.0%), EU(92.2%), 일본(81.6%), 중국(78.0%), 한국
(77.9%) 순으로 평가</t>
    <phoneticPr fontId="13" type="noConversion"/>
  </si>
  <si>
    <t>한국</t>
    <phoneticPr fontId="13" type="noConversion"/>
  </si>
  <si>
    <t>중국</t>
    <phoneticPr fontId="13" type="noConversion"/>
  </si>
  <si>
    <t>일본</t>
    <phoneticPr fontId="13" type="noConversion"/>
  </si>
  <si>
    <t>EU</t>
    <phoneticPr fontId="13" type="noConversion"/>
  </si>
  <si>
    <t xml:space="preserve">미국 </t>
    <phoneticPr fontId="13" type="noConversion"/>
  </si>
  <si>
    <t xml:space="preserve"> 추격</t>
  </si>
  <si>
    <t xml:space="preserve"> 선도</t>
  </si>
  <si>
    <t xml:space="preserve"> 최고</t>
  </si>
  <si>
    <t>기술수준(%)</t>
    <phoneticPr fontId="13" type="noConversion"/>
  </si>
  <si>
    <t>기술격차(년)</t>
    <phoneticPr fontId="13" type="noConversion"/>
  </si>
  <si>
    <t xml:space="preserve">기술수준 그룹 </t>
    <phoneticPr fontId="13" type="noConversion"/>
  </si>
  <si>
    <t>연구개발   활동경향</t>
    <phoneticPr fontId="13" type="noConversion"/>
  </si>
  <si>
    <t xml:space="preserve"> 줄기세포 활용기술</t>
    <phoneticPr fontId="13" type="noConversion"/>
  </si>
  <si>
    <t>지능형 약물 전달 최적화 기술</t>
    <phoneticPr fontId="13" type="noConversion"/>
  </si>
  <si>
    <t>우수</t>
    <phoneticPr fontId="13" type="noConversion"/>
  </si>
  <si>
    <t xml:space="preserve"> 보통</t>
    <phoneticPr fontId="13" type="noConversion"/>
  </si>
  <si>
    <t xml:space="preserve"> 상승</t>
  </si>
  <si>
    <t>보통</t>
    <phoneticPr fontId="13" type="noConversion"/>
  </si>
  <si>
    <t xml:space="preserve"> 우수</t>
    <phoneticPr fontId="13" type="noConversion"/>
  </si>
  <si>
    <t xml:space="preserve"> 우수 </t>
    <phoneticPr fontId="13" type="noConversion"/>
  </si>
  <si>
    <t>한국제약바이오협회</t>
  </si>
  <si>
    <t xml:space="preserve">의약품 </t>
    <phoneticPr fontId="13" type="noConversion"/>
  </si>
  <si>
    <t>의료기기</t>
    <phoneticPr fontId="13" type="noConversion"/>
  </si>
  <si>
    <t>바이오 시장</t>
    <phoneticPr fontId="13" type="noConversion"/>
  </si>
  <si>
    <t>의약품</t>
    <phoneticPr fontId="13" type="noConversion"/>
  </si>
  <si>
    <t>Fitch Solutions</t>
  </si>
  <si>
    <t>바이오시장</t>
    <phoneticPr fontId="13" type="noConversion"/>
  </si>
  <si>
    <t>Frost &amp; Sullivan</t>
    <phoneticPr fontId="13" type="noConversion"/>
  </si>
  <si>
    <r>
      <t>○ 글로벌 시장은 출처에 따라 바이오시장 범위가 달라 시장규모가</t>
    </r>
    <r>
      <rPr>
        <sz val="11"/>
        <color theme="1"/>
        <rFont val="맑은 고딕"/>
        <family val="2"/>
        <scheme val="minor"/>
      </rPr>
      <t xml:space="preserve"> 다르며, 바이오 관련 산업인 의약품, 의료기기 시장규모 참고</t>
    </r>
    <r>
      <rPr>
        <sz val="11"/>
        <color theme="1"/>
        <rFont val="맑은 고딕"/>
        <family val="2"/>
        <scheme val="minor"/>
      </rPr>
      <t xml:space="preserve"> </t>
    </r>
    <r>
      <rPr>
        <sz val="11"/>
        <rFont val="HCI Poppy"/>
        <family val="2"/>
      </rPr>
      <t/>
    </r>
    <phoneticPr fontId="13" type="noConversion"/>
  </si>
  <si>
    <t>▽2</t>
  </si>
  <si>
    <t>삼성바이오로직스</t>
    <phoneticPr fontId="13" type="noConversion"/>
  </si>
  <si>
    <t>씨젠</t>
    <phoneticPr fontId="13" type="noConversion"/>
  </si>
  <si>
    <t>열1</t>
  </si>
  <si>
    <t>단위</t>
    <phoneticPr fontId="13" type="noConversion"/>
  </si>
  <si>
    <t>Viatris</t>
    <phoneticPr fontId="13" type="noConversion"/>
  </si>
  <si>
    <t>휴미라(Humira)</t>
    <phoneticPr fontId="13" type="noConversion"/>
  </si>
  <si>
    <t>란투스(Lantus)</t>
    <phoneticPr fontId="13" type="noConversion"/>
  </si>
  <si>
    <t>엘리퀴스(Eliquis)</t>
    <phoneticPr fontId="13" type="noConversion"/>
  </si>
  <si>
    <t>키트루다(keytruda)</t>
    <phoneticPr fontId="13" type="noConversion"/>
  </si>
  <si>
    <t>자렐토(Xarelto)</t>
    <phoneticPr fontId="13" type="noConversion"/>
  </si>
  <si>
    <t>엔브렐(Enbrel)</t>
    <phoneticPr fontId="13" type="noConversion"/>
  </si>
  <si>
    <t>스텔라라(STELARA)</t>
    <phoneticPr fontId="13" type="noConversion"/>
  </si>
  <si>
    <t>옵디보(Opdivo)</t>
    <phoneticPr fontId="13" type="noConversion"/>
  </si>
  <si>
    <t>트루리시티(TRULICITY)</t>
    <phoneticPr fontId="13" type="noConversion"/>
  </si>
  <si>
    <t>한국제약바이오협회, 2017 한국 제약산업 길라잡이</t>
    <phoneticPr fontId="13" type="noConversion"/>
  </si>
  <si>
    <t>Phase I to I</t>
  </si>
  <si>
    <t>Phase II to II</t>
  </si>
  <si>
    <t>Phase III to NDA/BLA</t>
  </si>
  <si>
    <t>NDA/BLA to Approval</t>
    <phoneticPr fontId="13" type="noConversion"/>
  </si>
  <si>
    <t>◈ 신약개발 과정과 성공률</t>
    <phoneticPr fontId="13" type="noConversion"/>
  </si>
  <si>
    <t>◈ 신약개발 과정과 성공률</t>
    <phoneticPr fontId="13" type="noConversion"/>
  </si>
  <si>
    <t>2020년</t>
    <phoneticPr fontId="13" type="noConversion"/>
  </si>
  <si>
    <t>한국신약개발연구조합 홈페이지 &gt; 국내 R&amp;D 동향 &gt; 신약개발 현황</t>
    <phoneticPr fontId="13" type="noConversion"/>
  </si>
  <si>
    <t>알자뷰주사액</t>
  </si>
  <si>
    <t>㈜퓨처켐</t>
  </si>
  <si>
    <t>플로라프로놀(18F)액</t>
  </si>
  <si>
    <t>방사성 의약품</t>
  </si>
  <si>
    <t>2018.02.05</t>
    <phoneticPr fontId="13" type="noConversion"/>
  </si>
  <si>
    <t>2020년</t>
    <phoneticPr fontId="13" type="noConversion"/>
  </si>
  <si>
    <t>4월</t>
  </si>
  <si>
    <t>5월</t>
  </si>
  <si>
    <t>6월</t>
  </si>
  <si>
    <t>8월</t>
  </si>
  <si>
    <t>비공개</t>
  </si>
  <si>
    <t>알테오젠</t>
  </si>
  <si>
    <t>9월</t>
  </si>
  <si>
    <t>10월</t>
  </si>
  <si>
    <t>11월</t>
  </si>
  <si>
    <t>올릭스</t>
  </si>
  <si>
    <t>SK바이오팜</t>
  </si>
  <si>
    <t>보로노이</t>
  </si>
  <si>
    <t>제넥신</t>
  </si>
  <si>
    <t>총 계</t>
    <phoneticPr fontId="13" type="noConversion"/>
  </si>
  <si>
    <t>상위 20위 합계</t>
    <phoneticPr fontId="13" type="noConversion"/>
  </si>
  <si>
    <t>2019년 생산액</t>
    <phoneticPr fontId="13" type="noConversion"/>
  </si>
  <si>
    <t>Takeda</t>
  </si>
  <si>
    <t>Boehringer Ingelheim</t>
  </si>
  <si>
    <t>◈ 최근 10년간 주요국의 연구개발비 및 GDP대비 연구개발비 비중</t>
    <phoneticPr fontId="13" type="noConversion"/>
  </si>
  <si>
    <t>e-나라지표</t>
  </si>
  <si>
    <t xml:space="preserve"> 2020년</t>
  </si>
  <si>
    <t xml:space="preserve">주. 특허출원을 기준으로 이를 단일건으로 산정하여 데이터를 추출 </t>
    <phoneticPr fontId="49" type="noConversion"/>
  </si>
  <si>
    <t>케이캡정50밀리그램</t>
  </si>
  <si>
    <t>플라빅스정75밀리그람</t>
  </si>
  <si>
    <t>(유)한풍제약</t>
  </si>
  <si>
    <t>(주)한국얀센</t>
  </si>
  <si>
    <t>우루사정100밀리그램</t>
  </si>
  <si>
    <t>에이치케이이노엔(주)</t>
  </si>
  <si>
    <t>증감(%)</t>
    <phoneticPr fontId="13" type="noConversion"/>
  </si>
  <si>
    <t>(주)씨젠</t>
  </si>
  <si>
    <t>에스디바이오센서(주)</t>
  </si>
  <si>
    <t>(주)한국애보트진단</t>
  </si>
  <si>
    <t>삼성메디슨(주)</t>
  </si>
  <si>
    <t>(주)수젠텍</t>
  </si>
  <si>
    <t>한국지이초음파(유)</t>
  </si>
  <si>
    <t>상위 10개 기업 합계</t>
    <phoneticPr fontId="13" type="noConversion"/>
  </si>
  <si>
    <t>전체 생산액</t>
    <phoneticPr fontId="13" type="noConversion"/>
  </si>
  <si>
    <t>(단위 : 백만원, %)</t>
    <phoneticPr fontId="13" type="noConversion"/>
  </si>
  <si>
    <t xml:space="preserve"> </t>
    <phoneticPr fontId="13" type="noConversion"/>
  </si>
  <si>
    <t>주2) ‘비율’은 각 해당년도의 전체 총 제조금액 대비 해당 제조업체의 생산액 비율</t>
    <phoneticPr fontId="13" type="noConversion"/>
  </si>
  <si>
    <t>주1) ‘순위’는 각 해당년도의 전체 총 제조업체 중 생산액 기준 해당 제조업체 순위</t>
    <phoneticPr fontId="13" type="noConversion"/>
  </si>
  <si>
    <t>시장규모(억원)</t>
    <phoneticPr fontId="13" type="noConversion"/>
  </si>
  <si>
    <t>생산</t>
    <phoneticPr fontId="13" type="noConversion"/>
  </si>
  <si>
    <t>수출</t>
    <phoneticPr fontId="13" type="noConversion"/>
  </si>
  <si>
    <t>수입</t>
    <phoneticPr fontId="13" type="noConversion"/>
  </si>
  <si>
    <t>무역수지</t>
    <phoneticPr fontId="13" type="noConversion"/>
  </si>
  <si>
    <t>3. 많이 생산된 의료기기 제품군은?</t>
    <phoneticPr fontId="13" type="noConversion"/>
  </si>
  <si>
    <t xml:space="preserve">2020년 생산액 </t>
    <phoneticPr fontId="13" type="noConversion"/>
  </si>
  <si>
    <t>(단위: 백만원, %)</t>
    <phoneticPr fontId="13" type="noConversion"/>
  </si>
  <si>
    <t>치과용임플란트고정체</t>
  </si>
  <si>
    <t>범용초음파영상진단장치</t>
  </si>
  <si>
    <t>치과용임플란트상부구조물</t>
  </si>
  <si>
    <t>핵산추출시약</t>
  </si>
  <si>
    <t>매일착용소프트콘택트렌즈</t>
  </si>
  <si>
    <t>조직수복용생체재료</t>
  </si>
  <si>
    <t>치과용임플란트시술기구</t>
  </si>
  <si>
    <t>상위 10개 제품 합계</t>
    <phoneticPr fontId="13" type="noConversion"/>
  </si>
  <si>
    <t>전체</t>
    <phoneticPr fontId="13" type="noConversion"/>
  </si>
  <si>
    <t>개인용혈당검사지</t>
  </si>
  <si>
    <t>2026년</t>
  </si>
  <si>
    <t>2027년</t>
  </si>
  <si>
    <t xml:space="preserve">출처 </t>
    <phoneticPr fontId="13" type="noConversion"/>
  </si>
  <si>
    <t>(단위 : 십억달러, %)</t>
    <phoneticPr fontId="13" type="noConversion"/>
  </si>
  <si>
    <t>생명공학정책연구센터, 2019년 국내 바이오 중소·벤처기업 현황 통계, 2021.8</t>
    <phoneticPr fontId="13" type="noConversion"/>
  </si>
  <si>
    <t>◈ 국내 생명•보건의료 분야 기술수준 및 격차(2020)</t>
    <phoneticPr fontId="13" type="noConversion"/>
  </si>
  <si>
    <r>
      <t>◈ 우리나라 BT 연구개발비 흐름</t>
    </r>
    <r>
      <rPr>
        <sz val="11"/>
        <color rgb="FF0000FF"/>
        <rFont val="맑은 고딕"/>
        <family val="3"/>
        <charset val="129"/>
        <scheme val="minor"/>
      </rPr>
      <t>(2020)</t>
    </r>
    <phoneticPr fontId="13" type="noConversion"/>
  </si>
  <si>
    <r>
      <t>◈ 우리나라 BT 연구개발비 흐름</t>
    </r>
    <r>
      <rPr>
        <b/>
        <i/>
        <sz val="11"/>
        <color rgb="FF0000FF"/>
        <rFont val="맑은 고딕"/>
        <family val="3"/>
        <charset val="129"/>
        <scheme val="minor"/>
      </rPr>
      <t>(2020)</t>
    </r>
    <phoneticPr fontId="13" type="noConversion"/>
  </si>
  <si>
    <t xml:space="preserve">확인사항 </t>
    <phoneticPr fontId="13" type="noConversion"/>
  </si>
  <si>
    <t>○ ’20년 정부 총 R&amp;D는 23.8조원, 그 중 BT R&amp;D는 18.4%(4.1조원)</t>
    <phoneticPr fontId="13" type="noConversion"/>
  </si>
  <si>
    <t>* 미래유망기술(6T) 중 BT 정부투자액의 비율로서, 정부 총 R&amp;D 투자액 22.4조원 중 BT 비율임(인문사회계열을 제외한 과학기술계열 및 국방 연구개발사업을 대상으로 한 BT 비율은 18.4%임)</t>
    <phoneticPr fontId="13" type="noConversion"/>
  </si>
  <si>
    <t xml:space="preserve"> - 국내 총 연구개발비 중 정부 총 R&amp;D 예산은 25.7% (23.8조원) ≫ BT R&amp;D 예산은 18.4%*(4.1조원) ≫ 과기정통부 BT R&amp;D 예산은 40.3%(1.6조원) ≫ 과기정통부 BT 국책사업 예산은 30.4%(5,062억원) ≫ 바이오·의료기술개발사업 예산은 55%(2,760억원)</t>
    <phoneticPr fontId="13" type="noConversion"/>
  </si>
  <si>
    <r>
      <t>◈ 우리나라 연구개발비 및 GDP 대비 비중</t>
    </r>
    <r>
      <rPr>
        <sz val="11"/>
        <color rgb="FF0000FF"/>
        <rFont val="맑은 고딕"/>
        <family val="3"/>
        <charset val="129"/>
        <scheme val="minor"/>
      </rPr>
      <t>(2011∼2020)</t>
    </r>
    <phoneticPr fontId="13" type="noConversion"/>
  </si>
  <si>
    <t>◈ 우리나라 연구개발비 및 GDP 대비 비중(2011∼2020)</t>
    <phoneticPr fontId="13" type="noConversion"/>
  </si>
  <si>
    <t>2020년</t>
    <phoneticPr fontId="13" type="noConversion"/>
  </si>
  <si>
    <t xml:space="preserve">과기정통부/KISTEP, 2020년도 연구개발활동조사보고서, 2022.1  </t>
    <phoneticPr fontId="13" type="noConversion"/>
  </si>
  <si>
    <t>○ ‘20년 총 연구개발비는 93조 717억원(전년대비 4조 246억원(4.5%) 증가), GDP 대비 연구개발비 비중은 4.81%</t>
    <phoneticPr fontId="13" type="noConversion"/>
  </si>
  <si>
    <t>2019년</t>
    <phoneticPr fontId="13" type="noConversion"/>
  </si>
  <si>
    <t>2020년</t>
    <phoneticPr fontId="13" type="noConversion"/>
  </si>
  <si>
    <t xml:space="preserve">OECD 주요국의 GDP 대비 연구개발투자 비율, 과기정통부/KISTEP, 2020년도 연구개발활동조사보고서, 2022.1     </t>
    <phoneticPr fontId="13" type="noConversion"/>
  </si>
  <si>
    <r>
      <rPr>
        <sz val="11"/>
        <color theme="1"/>
        <rFont val="맑은 고딕"/>
        <family val="3"/>
        <charset val="129"/>
        <scheme val="minor"/>
      </rPr>
      <t>○ 우리나라 GDP 대비 연구개발비 비중은 세계 2위</t>
    </r>
    <r>
      <rPr>
        <sz val="11"/>
        <color rgb="FF0000FF"/>
        <rFont val="맑은 고딕"/>
        <family val="3"/>
        <charset val="129"/>
        <scheme val="minor"/>
      </rPr>
      <t>(세계 1위, 이스라엘 4.93%)</t>
    </r>
    <phoneticPr fontId="13" type="noConversion"/>
  </si>
  <si>
    <t>○ 국내 연구개발비는 78,856백만 달러(환율 적용)로 세계 5위 수준</t>
    <phoneticPr fontId="13" type="noConversion"/>
  </si>
  <si>
    <t>주) R&amp;D관련 통계에는 OECD가 적용하는 환율 1,180.28원/달러 적용</t>
    <phoneticPr fontId="13" type="noConversion"/>
  </si>
  <si>
    <t>한국(2020)</t>
    <phoneticPr fontId="13" type="noConversion"/>
  </si>
  <si>
    <t>미국(2019)</t>
    <phoneticPr fontId="13" type="noConversion"/>
  </si>
  <si>
    <t>일본(2019)</t>
    <phoneticPr fontId="13" type="noConversion"/>
  </si>
  <si>
    <t>독일(2019)</t>
    <phoneticPr fontId="13" type="noConversion"/>
  </si>
  <si>
    <t>프랑스(2019)</t>
    <phoneticPr fontId="13" type="noConversion"/>
  </si>
  <si>
    <t>영국(2019)</t>
    <phoneticPr fontId="13" type="noConversion"/>
  </si>
  <si>
    <t>중국(2019)</t>
    <phoneticPr fontId="13" type="noConversion"/>
  </si>
  <si>
    <t>◈ 우리나라의 재원별 연구개발비(2011∼2020)</t>
    <phoneticPr fontId="13" type="noConversion"/>
  </si>
  <si>
    <r>
      <t>◈ 우리나라의 재원별 연구개발비</t>
    </r>
    <r>
      <rPr>
        <sz val="11"/>
        <color rgb="FF0000FF"/>
        <rFont val="맑은 고딕"/>
        <family val="3"/>
        <charset val="129"/>
        <scheme val="minor"/>
      </rPr>
      <t>(2011∼2020)</t>
    </r>
    <phoneticPr fontId="13" type="noConversion"/>
  </si>
  <si>
    <t>2020년</t>
    <phoneticPr fontId="13" type="noConversion"/>
  </si>
  <si>
    <t>○ ’20년 우리나라의 정부·공공재원 연구개발비는 21조 5,812억원, 정부· 공공재원 비중은 23.2%</t>
    <phoneticPr fontId="13" type="noConversion"/>
  </si>
  <si>
    <t xml:space="preserve"> - 정부·공공재원 연구개발비는 전년대비 2조 4,857억원(13.0%) 증가한 21조 5,812억원</t>
    <phoneticPr fontId="13" type="noConversion"/>
  </si>
  <si>
    <t xml:space="preserve"> - 민간재원 연구개발비는 전년대비 2조 7,476억원(4.0%) 증가한 71조 2,692억원</t>
    <phoneticPr fontId="13" type="noConversion"/>
  </si>
  <si>
    <t xml:space="preserve"> - 외국재원 연구개발비는 전년대비 1조 2,088억원(84.5%) 감소한 2,212억원</t>
    <phoneticPr fontId="13" type="noConversion"/>
  </si>
  <si>
    <t>◈ 정부 R&amp;D사업의 연구개발비(2011∼2020)</t>
    <phoneticPr fontId="13" type="noConversion"/>
  </si>
  <si>
    <r>
      <t>◈ 정부 R&amp;D사업의 연구개발비</t>
    </r>
    <r>
      <rPr>
        <sz val="11"/>
        <color rgb="FF0000FF"/>
        <rFont val="맑은 고딕"/>
        <family val="3"/>
        <charset val="129"/>
        <scheme val="minor"/>
      </rPr>
      <t>(2011∼2020)</t>
    </r>
    <phoneticPr fontId="13" type="noConversion"/>
  </si>
  <si>
    <t>과기정통부/KISTEP, 2020년도 국가연구개발사업 조사·분석보고서, 2021. 8</t>
    <phoneticPr fontId="13" type="noConversion"/>
  </si>
  <si>
    <t>○ ’20년 정부 R&amp;D사업 총 투자액은 23조 8,803억원(전년대비15.8% 증가)</t>
    <phoneticPr fontId="13" type="noConversion"/>
  </si>
  <si>
    <t xml:space="preserve">   - 2020년 국가 R&amp;D 과제수 : 73,501건(전년대비 3,174건 증가)</t>
    <phoneticPr fontId="13" type="noConversion"/>
  </si>
  <si>
    <t>◈ 6T별 정부 R&amp;D사업의 연구개발비(2018∼2020)</t>
    <phoneticPr fontId="13" type="noConversion"/>
  </si>
  <si>
    <r>
      <t>◈ 6T별 정부 R&amp;D사업의 연구개발비</t>
    </r>
    <r>
      <rPr>
        <sz val="11"/>
        <color rgb="FF0000FF"/>
        <rFont val="맑은 고딕"/>
        <family val="3"/>
        <charset val="129"/>
        <scheme val="minor"/>
      </rPr>
      <t>(2017∼2020)</t>
    </r>
    <phoneticPr fontId="13" type="noConversion"/>
  </si>
  <si>
    <t>2020년 연구개발비</t>
    <phoneticPr fontId="13" type="noConversion"/>
  </si>
  <si>
    <t>2020년 비중</t>
    <phoneticPr fontId="13" type="noConversion"/>
  </si>
  <si>
    <t>증감('20-'19년)</t>
    <phoneticPr fontId="13" type="noConversion"/>
  </si>
  <si>
    <t>○ ’20년 미래유망신기술(6T) 분야 총 투자액 14조 6,988억원</t>
    <phoneticPr fontId="13" type="noConversion"/>
  </si>
  <si>
    <t>◈ 6T별 정부와 민간의 연구개발비 비교(2020)</t>
    <phoneticPr fontId="13" type="noConversion"/>
  </si>
  <si>
    <r>
      <t>◈ 6T별 정부와 민간의 연구개발비 비교</t>
    </r>
    <r>
      <rPr>
        <sz val="11"/>
        <color rgb="FF0000FF"/>
        <rFont val="맑은 고딕"/>
        <family val="3"/>
        <charset val="129"/>
        <scheme val="minor"/>
      </rPr>
      <t>(2020)</t>
    </r>
    <phoneticPr fontId="13" type="noConversion"/>
  </si>
  <si>
    <t>과기정통부/KISTEP, 2020년도 연구개발활동조사보고서(2022.1), NTIS 과학 기술통계서비스</t>
    <phoneticPr fontId="13" type="noConversion"/>
  </si>
  <si>
    <t>정부비중</t>
    <phoneticPr fontId="13" type="noConversion"/>
  </si>
  <si>
    <t>민간</t>
    <phoneticPr fontId="13" type="noConversion"/>
  </si>
  <si>
    <t>민간비중</t>
    <phoneticPr fontId="13" type="noConversion"/>
  </si>
  <si>
    <r>
      <rPr>
        <sz val="11"/>
        <color theme="1"/>
        <rFont val="맑은 고딕"/>
        <family val="2"/>
      </rPr>
      <t>※</t>
    </r>
    <r>
      <rPr>
        <sz val="11"/>
        <color theme="1"/>
        <rFont val="맑은 고딕"/>
        <family val="2"/>
        <scheme val="minor"/>
      </rPr>
      <t xml:space="preserve">민간투자 - 로 수치 조정 </t>
    </r>
    <phoneticPr fontId="13" type="noConversion"/>
  </si>
  <si>
    <t>○ ’20년 6T 중 민간 R&amp;D 투자가 가장 많은 분야는 NT분야(민간비중 88.4%)</t>
    <phoneticPr fontId="13" type="noConversion"/>
  </si>
  <si>
    <t xml:space="preserve">  - 그 뒤로 IT분야의 민간 R&amp;D가 많은 투자(민간비중 87.6%)</t>
    <phoneticPr fontId="13" type="noConversion"/>
  </si>
  <si>
    <t xml:space="preserve">  - BT분야의 민간 R&amp;D 투자 비중은 54%로 낮은 수준</t>
    <phoneticPr fontId="13" type="noConversion"/>
  </si>
  <si>
    <t>과기정통부/KISTEP, 2020년도 연구개발활동조사보고서(2022.1), NTIS 과학 기술통계서비스</t>
    <phoneticPr fontId="13" type="noConversion"/>
  </si>
  <si>
    <t>◈ 정부와 민간의 BT 연구개발비(2016∼2020)</t>
    <phoneticPr fontId="13" type="noConversion"/>
  </si>
  <si>
    <r>
      <t>◈ 정부와 민간의 BT 연구개발비</t>
    </r>
    <r>
      <rPr>
        <sz val="11"/>
        <color rgb="FF0000FF"/>
        <rFont val="맑은 고딕"/>
        <family val="3"/>
        <charset val="129"/>
        <scheme val="minor"/>
      </rPr>
      <t>(2016∼2020)</t>
    </r>
    <phoneticPr fontId="13" type="noConversion"/>
  </si>
  <si>
    <t>2020년</t>
    <phoneticPr fontId="13" type="noConversion"/>
  </si>
  <si>
    <t>○ ’20년 국내 BT 연구개발비 중 정부 R&amp;D 예산 비중은 46%(민간비중은 54%로, 2019년 이후 정부 비중을 상회함)</t>
    <phoneticPr fontId="13" type="noConversion"/>
  </si>
  <si>
    <t>◈ BT분야 정부 투자 변화 추이(2016~2020)</t>
    <phoneticPr fontId="13" type="noConversion"/>
  </si>
  <si>
    <t>과기정통부/KISTEP, 2020년도 국가연구개발사업 조사·분석보고서, 2021. 8</t>
    <phoneticPr fontId="13" type="noConversion"/>
  </si>
  <si>
    <r>
      <t>◈ BT분야 정부 투자 변화 추이</t>
    </r>
    <r>
      <rPr>
        <sz val="11"/>
        <color rgb="FF0000FF"/>
        <rFont val="맑은 고딕"/>
        <family val="3"/>
        <charset val="129"/>
        <scheme val="minor"/>
      </rPr>
      <t xml:space="preserve">(2016~2020) </t>
    </r>
    <phoneticPr fontId="13" type="noConversion"/>
  </si>
  <si>
    <t>2020년</t>
    <phoneticPr fontId="13" type="noConversion"/>
  </si>
  <si>
    <t xml:space="preserve">○ ’20년 BT분야 정부 투자는 4조 1,253억원으로 전년대비 12.4% 증가 </t>
    <phoneticPr fontId="13" type="noConversion"/>
  </si>
  <si>
    <t>◈ 주요국 BT 정부투자 비교(2020)</t>
    <phoneticPr fontId="13" type="noConversion"/>
  </si>
  <si>
    <t>한국(조원)</t>
    <phoneticPr fontId="13" type="noConversion"/>
  </si>
  <si>
    <t>미국(억달러)</t>
    <phoneticPr fontId="13" type="noConversion"/>
  </si>
  <si>
    <t>◈ 부처별 BT 연구개발비(2016~2020)</t>
    <phoneticPr fontId="13" type="noConversion"/>
  </si>
  <si>
    <r>
      <t>◈ 부처별 BT 연구개발비 변화 추이</t>
    </r>
    <r>
      <rPr>
        <sz val="11"/>
        <color rgb="FF0000FF"/>
        <rFont val="맑은 고딕"/>
        <family val="3"/>
        <charset val="129"/>
        <scheme val="minor"/>
      </rPr>
      <t>(2016∼2020)</t>
    </r>
    <phoneticPr fontId="13" type="noConversion"/>
  </si>
  <si>
    <t>국가생명공학정책연구센터, 2020년 바이오분야 국가연구개발사업의 포트폴리오 및 포지셔닝 분석, 2022.3(자료 : 과기정통부/KISTEP, 2020년 국가연구개발사업 조사·분석보고서, 2021. 8.)</t>
    <phoneticPr fontId="13" type="noConversion"/>
  </si>
  <si>
    <t>2020년</t>
    <phoneticPr fontId="13" type="noConversion"/>
  </si>
  <si>
    <t>◈ 부처별 BT 연구개발비(2020)</t>
    <phoneticPr fontId="13" type="noConversion"/>
  </si>
  <si>
    <r>
      <t>◈ 부처별 BT 연구개발비</t>
    </r>
    <r>
      <rPr>
        <sz val="11"/>
        <color rgb="FF0000FF"/>
        <rFont val="맑은 고딕"/>
        <family val="3"/>
        <charset val="129"/>
        <scheme val="minor"/>
      </rPr>
      <t>(2020)</t>
    </r>
    <phoneticPr fontId="13" type="noConversion"/>
  </si>
  <si>
    <t>○ ’20년 부처별 BT 정부투자는 과기정통부 1.6조원, 농식품부 7,147억원, 복지부 5524억원, 산업부 3,093억원으로 80% 가량 차지</t>
    <phoneticPr fontId="13" type="noConversion"/>
  </si>
  <si>
    <t>○ ’20년 과기정통부 40%(16,639억원), 농식품부 17%(7,147억원), 복지부 13%(5,524억원), 산업부 8%(3,093억원), 교육부 7%(2,841억원) 순</t>
    <phoneticPr fontId="13" type="noConversion"/>
  </si>
  <si>
    <t>◈ 분야별 BT 연구개발비 변화 추이(2016∼2020)</t>
    <phoneticPr fontId="13" type="noConversion"/>
  </si>
  <si>
    <r>
      <t>◈ 분야별 BT 연구개발비 변화 추이</t>
    </r>
    <r>
      <rPr>
        <sz val="11"/>
        <color rgb="FF0000FF"/>
        <rFont val="맑은 고딕"/>
        <family val="3"/>
        <charset val="129"/>
        <scheme val="minor"/>
      </rPr>
      <t>(2016∼2020)</t>
    </r>
    <phoneticPr fontId="13" type="noConversion"/>
  </si>
  <si>
    <t>2020년</t>
    <phoneticPr fontId="13" type="noConversion"/>
  </si>
  <si>
    <t>○ 최근 5년간 연구비 증가가 큰 분야는 뇌연구(연평균 9.6%), 의료기기(연평균 9.1%), 유전체(연평균 5.5%), 신약(연평균 5.5%)</t>
    <phoneticPr fontId="13" type="noConversion"/>
  </si>
  <si>
    <t xml:space="preserve">   - 연구비 증가폭이 작은 분야는 생명연구자원 분야(연평균 - 1.1%)</t>
    <phoneticPr fontId="13" type="noConversion"/>
  </si>
  <si>
    <t xml:space="preserve">  -  ’20년 연구비 증가가 큰 분야는 의료기기, 신약개발 순 </t>
    <phoneticPr fontId="13" type="noConversion"/>
  </si>
  <si>
    <t>○ 가장 많은 연구비가 지원된 분야는 신약개발과 의료기기 분야</t>
    <phoneticPr fontId="13" type="noConversion"/>
  </si>
  <si>
    <t>출처 : http://index.go.kr/unify/idx-info.do?idxCd=4206#quick_02;</t>
    <phoneticPr fontId="13" type="noConversion"/>
  </si>
  <si>
    <t xml:space="preserve">미국- 2020년도 결산 내역(실제치) 참고, 보건복지부만 포함  </t>
    <phoneticPr fontId="13" type="noConversion"/>
  </si>
  <si>
    <t>국가생명공학정책연구센터, 2020년 바이오분야 국가연구개발사업의 포트폴리오 및 포지셔닝 분석, 2022.3</t>
    <phoneticPr fontId="13" type="noConversion"/>
  </si>
  <si>
    <t>◈ 분야별 BT 연구개발비(2020)</t>
    <phoneticPr fontId="13" type="noConversion"/>
  </si>
  <si>
    <r>
      <t>◈ 분야별 BT 연구개발비</t>
    </r>
    <r>
      <rPr>
        <sz val="11"/>
        <color rgb="FF0000FF"/>
        <rFont val="맑은 고딕"/>
        <family val="3"/>
        <charset val="129"/>
        <scheme val="minor"/>
      </rPr>
      <t>(2020)</t>
    </r>
    <phoneticPr fontId="13" type="noConversion"/>
  </si>
  <si>
    <t>○ 신약개발 12%(4,817억원), 의료기기 11%(5,195억원), 뇌연구 6%(2,570억원)</t>
    <phoneticPr fontId="13" type="noConversion"/>
  </si>
  <si>
    <t xml:space="preserve">  - 의료서비스 5%(2,096억원), 유전체 5%(2,083억원), 생명연구자원 4%(1,555억원), 줄기세포 3%(1,334억원) 순으로 투자</t>
    <phoneticPr fontId="13" type="noConversion"/>
  </si>
  <si>
    <t>◈ 신약개발 분야 연구개발비 변화 추이(2016~2020)</t>
    <phoneticPr fontId="13" type="noConversion"/>
  </si>
  <si>
    <r>
      <t>◈ 신약개발 분야 연구개발비</t>
    </r>
    <r>
      <rPr>
        <sz val="11"/>
        <color rgb="FF0000FF"/>
        <rFont val="맑은 고딕"/>
        <family val="3"/>
        <charset val="129"/>
        <scheme val="minor"/>
      </rPr>
      <t>(2016∼2020)</t>
    </r>
    <phoneticPr fontId="13" type="noConversion"/>
  </si>
  <si>
    <t>2020년</t>
    <phoneticPr fontId="13" type="noConversion"/>
  </si>
  <si>
    <t>○ 신약개발 정부투자 (’16) 3,896억원 → (’20) 4,817억원으로 연평균 5.5% 증가</t>
    <phoneticPr fontId="13" type="noConversion"/>
  </si>
  <si>
    <t>◈ 의료기기 분야 연구개발비 변화 추이(2016~2020)</t>
    <phoneticPr fontId="13" type="noConversion"/>
  </si>
  <si>
    <t>2020년</t>
    <phoneticPr fontId="13" type="noConversion"/>
  </si>
  <si>
    <t xml:space="preserve">○ 의료기기 정부투자 (’16) 3,666억원 → (’20) 5,195억원으로 연평균 9.1% 증가 </t>
    <phoneticPr fontId="13" type="noConversion"/>
  </si>
  <si>
    <t>2020년</t>
    <phoneticPr fontId="13" type="noConversion"/>
  </si>
  <si>
    <t>◈ 의료서비스 분야 연구개발비 변화 추이(2016~2020)</t>
    <phoneticPr fontId="13" type="noConversion"/>
  </si>
  <si>
    <r>
      <t>◈ 의료기기 분야 연구개발비</t>
    </r>
    <r>
      <rPr>
        <sz val="11"/>
        <color rgb="FF0000FF"/>
        <rFont val="맑은 고딕"/>
        <family val="3"/>
        <charset val="129"/>
        <scheme val="minor"/>
      </rPr>
      <t>(2016∼2020)</t>
    </r>
    <phoneticPr fontId="13" type="noConversion"/>
  </si>
  <si>
    <t>○ 의료서비스 정부투자 (’16) 1,741억원 → (’20) 2,096억원으로 연평균 4.8% 증가</t>
    <phoneticPr fontId="13" type="noConversion"/>
  </si>
  <si>
    <t>◈ 뇌연구 분야 연구개발비 변화 추이(2016~2020)</t>
    <phoneticPr fontId="13" type="noConversion"/>
  </si>
  <si>
    <t xml:space="preserve">○ 뇌연구 정부투자 (’16) 1,784억원 → (’20) 2,570억원으로 연평균 9.6% 증가 </t>
    <phoneticPr fontId="13" type="noConversion"/>
  </si>
  <si>
    <r>
      <t>◈ 의료서비스 분야 연구개발비</t>
    </r>
    <r>
      <rPr>
        <sz val="11"/>
        <color rgb="FF0000FF"/>
        <rFont val="맑은 고딕"/>
        <family val="3"/>
        <charset val="129"/>
        <scheme val="minor"/>
      </rPr>
      <t>(2016∼2020)</t>
    </r>
    <phoneticPr fontId="13" type="noConversion"/>
  </si>
  <si>
    <r>
      <t>◈ 뇌연구 분야 연구개발비</t>
    </r>
    <r>
      <rPr>
        <sz val="11"/>
        <color rgb="FF0000FF"/>
        <rFont val="맑은 고딕"/>
        <family val="3"/>
        <charset val="129"/>
        <scheme val="minor"/>
      </rPr>
      <t>(2016∼2020)</t>
    </r>
    <phoneticPr fontId="13" type="noConversion"/>
  </si>
  <si>
    <r>
      <t>◈ 줄기세포 분야 연구개발비</t>
    </r>
    <r>
      <rPr>
        <sz val="11"/>
        <color rgb="FF0000FF"/>
        <rFont val="맑은 고딕"/>
        <family val="3"/>
        <charset val="129"/>
        <scheme val="minor"/>
      </rPr>
      <t>(2016∼2020)</t>
    </r>
    <phoneticPr fontId="13" type="noConversion"/>
  </si>
  <si>
    <t>◈ 줄기세포 분야 연구개발비 변화 추이(2016~2020)</t>
    <phoneticPr fontId="13" type="noConversion"/>
  </si>
  <si>
    <t>○ 줄기세포 정부투자 (’16) 1,282억원 → (’20) 1,334억원으로 연평균 1.0% 증가</t>
    <phoneticPr fontId="13" type="noConversion"/>
  </si>
  <si>
    <t>◈ 유전체 분야 연구개발비 변화 추이(2016~2020)</t>
    <phoneticPr fontId="13" type="noConversion"/>
  </si>
  <si>
    <t>2020년</t>
    <phoneticPr fontId="13" type="noConversion"/>
  </si>
  <si>
    <t xml:space="preserve">○ 유전체 정부투자 (’16) 1,682억원 → (’20) 2,083억원으로 연평균 5.5% 증가 </t>
    <phoneticPr fontId="13" type="noConversion"/>
  </si>
  <si>
    <t>◈ 생명연구자원 분야 연구개발비 변화 추이(2016~2020)</t>
    <phoneticPr fontId="13" type="noConversion"/>
  </si>
  <si>
    <t>○ 생명연구자원 정부투자 (’16) 1,624억원 → (’20) 1,555억원으로 연평균 -1.1% 감소</t>
    <phoneticPr fontId="13" type="noConversion"/>
  </si>
  <si>
    <r>
      <t>◈ 유전체 분야 연구개발비</t>
    </r>
    <r>
      <rPr>
        <sz val="11"/>
        <color rgb="FF0000FF"/>
        <rFont val="맑은 고딕"/>
        <family val="3"/>
        <charset val="129"/>
        <scheme val="minor"/>
      </rPr>
      <t>(2016∼2020)</t>
    </r>
    <phoneticPr fontId="13" type="noConversion"/>
  </si>
  <si>
    <r>
      <t>◈ 생명연구자원 분야 연구개발비</t>
    </r>
    <r>
      <rPr>
        <sz val="11"/>
        <color rgb="FF0000FF"/>
        <rFont val="맑은 고딕"/>
        <family val="3"/>
        <charset val="129"/>
        <scheme val="minor"/>
      </rPr>
      <t>(2016∼2020)</t>
    </r>
    <phoneticPr fontId="13" type="noConversion"/>
  </si>
  <si>
    <t>◈ 국내 바이오 졸업자 현황(2016~2021)</t>
    <phoneticPr fontId="13" type="noConversion"/>
  </si>
  <si>
    <t>생명공학정책연구센터, 교육통계서비스(https://kess.kedi.re.kr/index) 자료 가공</t>
    <phoneticPr fontId="13" type="noConversion"/>
  </si>
  <si>
    <r>
      <t>◈ 국내 바이오 졸업자 현황</t>
    </r>
    <r>
      <rPr>
        <sz val="11"/>
        <color rgb="FF0000FF"/>
        <rFont val="맑은 고딕"/>
        <family val="3"/>
        <charset val="129"/>
        <scheme val="minor"/>
      </rPr>
      <t>(2016~2021)</t>
    </r>
    <phoneticPr fontId="13" type="noConversion"/>
  </si>
  <si>
    <t>◈ 국내 바이오 인력 현황 (2021)</t>
    <phoneticPr fontId="13" type="noConversion"/>
  </si>
  <si>
    <t>2021년</t>
    <phoneticPr fontId="13" type="noConversion"/>
  </si>
  <si>
    <t>고등교육기관 전체 졸업자 약 9.6만명 전수조사</t>
    <phoneticPr fontId="13" type="noConversion"/>
  </si>
  <si>
    <t>◈ 국내 바이오 인력 현황 (2021)</t>
    <phoneticPr fontId="13" type="noConversion"/>
  </si>
  <si>
    <t>○ ’21년 국내 바이오 대학원 졸업자는 석사 8,092명과 박사 3,513명인 총 11,605명을 배출하였으며, 전년대비 1,102명 감소</t>
    <phoneticPr fontId="13" type="noConversion"/>
  </si>
  <si>
    <t xml:space="preserve"> - 전년대비 석사 학위자는 1,310명(남자 843명 증가, 여자 467명 감소)이 감소하였으나, 박사 학위자는 208명(남자 75명, 여자 133명) 증가</t>
    <phoneticPr fontId="13" type="noConversion"/>
  </si>
  <si>
    <t>◈ 국내 바이오산업 종사자 현황(2016~2020)</t>
    <phoneticPr fontId="13" type="noConversion"/>
  </si>
  <si>
    <r>
      <t>◈ 국내 바이오산업 종사자 현황</t>
    </r>
    <r>
      <rPr>
        <sz val="11"/>
        <color rgb="FF0000FF"/>
        <rFont val="맑은 고딕"/>
        <family val="3"/>
        <charset val="129"/>
        <scheme val="minor"/>
      </rPr>
      <t>(2016~2020)</t>
    </r>
    <phoneticPr fontId="13" type="noConversion"/>
  </si>
  <si>
    <t>산업통상자원부, 한국바이오협회, 2020년 기준 국내 바이오산업 실태조사 결과 보고서, 2021.12</t>
    <phoneticPr fontId="13" type="noConversion"/>
  </si>
  <si>
    <t>바이오산업분야 유효표본 1,027개 기업</t>
    <phoneticPr fontId="13" type="noConversion"/>
  </si>
  <si>
    <t>산업통상자원부, 한국바이오협회, 2020년 기준 국내 바이오산업 실태조사 결과 보고서, 2021.12</t>
    <phoneticPr fontId="13" type="noConversion"/>
  </si>
  <si>
    <t>2020년</t>
    <phoneticPr fontId="13" type="noConversion"/>
  </si>
  <si>
    <r>
      <t>○ ‘20년 국내 바이오산업 종사자는 전년대비 4,863명</t>
    </r>
    <r>
      <rPr>
        <b/>
        <sz val="11"/>
        <color rgb="FF0000FF"/>
        <rFont val="맑은 고딕"/>
        <family val="3"/>
        <charset val="129"/>
        <scheme val="minor"/>
      </rPr>
      <t>(10.0%⇧)</t>
    </r>
    <r>
      <rPr>
        <sz val="11"/>
        <color rgb="FF0000FF"/>
        <rFont val="맑은 고딕"/>
        <family val="3"/>
        <charset val="129"/>
        <scheme val="minor"/>
      </rPr>
      <t>이 증가한 총 53,546명</t>
    </r>
    <phoneticPr fontId="13" type="noConversion"/>
  </si>
  <si>
    <t>◈ 바이오산업 업무별/학위별 종사자 인력 분포(2020)</t>
    <phoneticPr fontId="13" type="noConversion"/>
  </si>
  <si>
    <r>
      <t>◈ 바이오산업 업무별/학위별 종사자 인력 분포</t>
    </r>
    <r>
      <rPr>
        <sz val="11"/>
        <color rgb="FF0000FF"/>
        <rFont val="맑은 고딕"/>
        <family val="3"/>
        <charset val="129"/>
        <scheme val="minor"/>
      </rPr>
      <t>(2020)</t>
    </r>
    <phoneticPr fontId="13" type="noConversion"/>
  </si>
  <si>
    <t>○ ’20년 바이오산업 업체는 총 1,027개로, 업무별 종사자는 연구직 31.5%, 생산직 34.5%, 기타 34.0%를 차지하였으며, 학위별 종사자는 학사 48.9%, 석사 18.2%, 박사 5.5%, 기타 27.3% 의 비중을 차지</t>
    <phoneticPr fontId="13" type="noConversion"/>
  </si>
  <si>
    <t>◈ 바이오산업 분야별/업무별 종사자 인력 분포(2020)</t>
    <phoneticPr fontId="13" type="noConversion"/>
  </si>
  <si>
    <r>
      <t>◈ 바이오산업 분야별/업무별 종사자 인력 분포</t>
    </r>
    <r>
      <rPr>
        <sz val="11"/>
        <color rgb="FF0000FF"/>
        <rFont val="맑은 고딕"/>
        <family val="3"/>
        <charset val="129"/>
        <scheme val="minor"/>
      </rPr>
      <t>(2020)</t>
    </r>
    <phoneticPr fontId="13" type="noConversion"/>
  </si>
  <si>
    <t>○ ’20년 바이오산업 중 가장 큰 비중을 차지하는 바이오의약산업에서는 기타 7,579명(34.7%) ≫ 연구직 7,451명(34.1%) ≫  생산직 6,802명(31.2%)   순</t>
    <phoneticPr fontId="13" type="noConversion"/>
  </si>
  <si>
    <t>◈ 바이오산업 종사자 분야별/학위별 인력 분포(2020</t>
    <phoneticPr fontId="13" type="noConversion"/>
  </si>
  <si>
    <r>
      <t>◈ 바이오산업 종사자 분야별/학위별 인력 분포</t>
    </r>
    <r>
      <rPr>
        <sz val="11"/>
        <color rgb="FF0000FF"/>
        <rFont val="맑은 고딕"/>
        <family val="3"/>
        <charset val="129"/>
        <scheme val="minor"/>
      </rPr>
      <t>(2020)</t>
    </r>
    <phoneticPr fontId="13" type="noConversion"/>
  </si>
  <si>
    <t>○ ’20년 바이오산업 중 가장 큰 비중을 차지하는 바이오의약산업에서는 학사 10,710명(49.1%) ≫ 기타 4,925명(22.6%) ≫ 석사 4,709명(21.6%) ≫ 박사 1,488명(6.8%) 순</t>
    <phoneticPr fontId="13" type="noConversion"/>
  </si>
  <si>
    <t>◈ 바이오산업 종사자 지역별 인력 분포(2020)</t>
    <phoneticPr fontId="13" type="noConversion"/>
  </si>
  <si>
    <r>
      <t>◈ 바이오산업 종사자 지역별 인력 분포</t>
    </r>
    <r>
      <rPr>
        <sz val="11"/>
        <color rgb="FF0000FF"/>
        <rFont val="맑은 고딕"/>
        <family val="3"/>
        <charset val="129"/>
        <scheme val="minor"/>
      </rPr>
      <t>(2020)</t>
    </r>
    <phoneticPr fontId="13" type="noConversion"/>
  </si>
  <si>
    <t>○ ’20년 바이오산업 종사자는 경기 30.2% ≫ 충북 16.8% ≫ 서울 15.7% ≫ 인천 11.0% ≫ 강원 5.4% ≫ 대전 4.6% ≫ 충남 3.8% 순(3% 이상만 표시)</t>
    <phoneticPr fontId="13" type="noConversion"/>
  </si>
  <si>
    <t xml:space="preserve">한국산업기술진흥원, 2021년 산업기술인력 수급실태 조사보고서, 2021.12(생명공학정책연구센터 재가공) </t>
    <phoneticPr fontId="13" type="noConversion"/>
  </si>
  <si>
    <t>◈ 12대 주력산업 산업기술인력 현원 및 비중(2020)</t>
    <phoneticPr fontId="13" type="noConversion"/>
  </si>
  <si>
    <t>○ ’20년 12대 주력산업 중 바이오·헬스 분야는 전체 근로자수 1,098,921명 대비 현원 34,140명으로 3.1%를 차지(12개 산업 중 10위)</t>
    <phoneticPr fontId="13" type="noConversion"/>
  </si>
  <si>
    <t>◈ 12대 주력산업 산업기술인력 학력별 분포(2020)</t>
    <phoneticPr fontId="13" type="noConversion"/>
  </si>
  <si>
    <r>
      <t>◈ 12대 주력산업 산업기술인력 현원 및 비중</t>
    </r>
    <r>
      <rPr>
        <sz val="11"/>
        <color rgb="FF0000FF"/>
        <rFont val="맑은 고딕"/>
        <family val="3"/>
        <charset val="129"/>
        <scheme val="minor"/>
      </rPr>
      <t>(2020)</t>
    </r>
    <phoneticPr fontId="13" type="noConversion"/>
  </si>
  <si>
    <r>
      <t>◈ 12대 주력산업 산업기술인력 학력별 분포</t>
    </r>
    <r>
      <rPr>
        <sz val="11"/>
        <color rgb="FF0000FF"/>
        <rFont val="맑은 고딕"/>
        <family val="3"/>
        <charset val="129"/>
        <scheme val="minor"/>
      </rPr>
      <t>(2020)</t>
    </r>
    <phoneticPr fontId="13" type="noConversion"/>
  </si>
  <si>
    <t xml:space="preserve">○ ’20년 바이오·헬스 분야 학력별 산업기술 분포는 고졸출신이 16,310명(47.8%)으로 가장 큰 비중을 차지했으며, 대졸 9,893(29.0%), 전문대졸 5,390명(15.8%), 대학원졸 2,547명(7.5%) 순 </t>
    <phoneticPr fontId="13" type="noConversion"/>
  </si>
  <si>
    <t>◈ 바이오·헬스 분야 산업기술인력 학력별 부족인원 및 부족률(2020)</t>
    <phoneticPr fontId="13" type="noConversion"/>
  </si>
  <si>
    <r>
      <t>◈ 바이오·헬스 분야 산업기술인력 학력별 부족인원 및 부족률</t>
    </r>
    <r>
      <rPr>
        <sz val="11"/>
        <color rgb="FF0000FF"/>
        <rFont val="맑은 고딕"/>
        <family val="3"/>
        <charset val="129"/>
        <scheme val="minor"/>
      </rPr>
      <t>(2020)</t>
    </r>
    <phoneticPr fontId="13" type="noConversion"/>
  </si>
  <si>
    <t>○ ’20년 바이오·헬스 분야 산업기술인력 학력별 부족인원은 고졸출신이 540명(47.7%)으로 가장 큰 비중을 차지하였으며, 대졸 329명(29.1%), 전문대졸 225명(19.9%), 대학원졸 37명(3.3%) 순</t>
    <phoneticPr fontId="13" type="noConversion"/>
  </si>
  <si>
    <t>○ ’20년 바이오·헬스 분야 산업기술인력 학력별 부족률*은 전문대졸이 4.0%로 가장 큰 비중을 차지하였으며, 고졸 3.2%, 대졸 3.2%, 대학원졸 1.9% 순</t>
    <phoneticPr fontId="13" type="noConversion"/>
  </si>
  <si>
    <t>한국산업기술진흥원, 2021년 산업기술인력 수급실태 조사보고서, 2021.12</t>
    <phoneticPr fontId="13" type="noConversion"/>
  </si>
  <si>
    <t>근로자 10인 이상 전국사업체 중 14,678개 표본사업체</t>
    <phoneticPr fontId="13" type="noConversion"/>
  </si>
  <si>
    <t>바이오·헬스 분야는 의약품, 의료기기, 식료품 제조업 관련 21개 산업 세세분류가 해당</t>
    <phoneticPr fontId="13" type="noConversion"/>
  </si>
  <si>
    <t>◈ 국내 NSC 논문발표 현황(2012~2021)</t>
    <phoneticPr fontId="13" type="noConversion"/>
  </si>
  <si>
    <t>2021년</t>
    <phoneticPr fontId="13" type="noConversion"/>
  </si>
  <si>
    <t>한국과학기술기획평가원, 2020년 기술수준평가, 2021.3</t>
    <phoneticPr fontId="13" type="noConversion"/>
  </si>
  <si>
    <r>
      <t xml:space="preserve">  주. 생명</t>
    </r>
    <r>
      <rPr>
        <sz val="11"/>
        <rFont val="맑은 고딕"/>
        <family val="3"/>
        <charset val="128"/>
        <scheme val="minor"/>
      </rPr>
      <t>･</t>
    </r>
    <r>
      <rPr>
        <sz val="11"/>
        <rFont val="맑은 고딕"/>
        <family val="3"/>
        <charset val="129"/>
        <scheme val="minor"/>
      </rPr>
      <t>보건의료 분야 21개 중점과학기술 중 20개 기술의 최고기술 보유국이 미국으로 평가되었으며, 그 중 ‘신</t>
    </r>
    <r>
      <rPr>
        <sz val="11"/>
        <rFont val="맑은 고딕"/>
        <family val="3"/>
        <charset val="128"/>
        <scheme val="minor"/>
      </rPr>
      <t>･</t>
    </r>
    <r>
      <rPr>
        <sz val="11"/>
        <rFont val="맑은 고딕"/>
        <family val="3"/>
        <charset val="129"/>
        <scheme val="minor"/>
      </rPr>
      <t xml:space="preserve">변종 감염병 대응기술’은 미국과 EU가 공동 최고기술 보유국으로 평가 </t>
    </r>
    <phoneticPr fontId="13" type="noConversion"/>
  </si>
  <si>
    <r>
      <t>○ 생명</t>
    </r>
    <r>
      <rPr>
        <sz val="11"/>
        <rFont val="맑은 고딕"/>
        <family val="3"/>
        <charset val="128"/>
        <scheme val="minor"/>
      </rPr>
      <t>･</t>
    </r>
    <r>
      <rPr>
        <sz val="11"/>
        <rFont val="맑은 고딕"/>
        <family val="2"/>
        <scheme val="minor"/>
      </rPr>
      <t>보건의료 분야에서 한국의 기술수준 그룹은 ‘추격’으로 평가되었으며 ‘최고’ 수준은 미국으로 평가</t>
    </r>
    <phoneticPr fontId="13" type="noConversion"/>
  </si>
  <si>
    <r>
      <t xml:space="preserve">○ </t>
    </r>
    <r>
      <rPr>
        <sz val="11"/>
        <rFont val="HCI Poppy"/>
        <family val="2"/>
      </rPr>
      <t>2020</t>
    </r>
    <r>
      <rPr>
        <sz val="11"/>
        <rFont val="맑은 고딕"/>
        <family val="2"/>
        <scheme val="minor"/>
      </rPr>
      <t>년 국내 생명</t>
    </r>
    <r>
      <rPr>
        <sz val="11"/>
        <rFont val="맑은 고딕"/>
        <family val="3"/>
        <charset val="129"/>
      </rPr>
      <t>•보건의료</t>
    </r>
    <r>
      <rPr>
        <sz val="11"/>
        <rFont val="맑은 고딕"/>
        <family val="2"/>
      </rPr>
      <t xml:space="preserve"> 분야</t>
    </r>
    <r>
      <rPr>
        <sz val="11"/>
        <rFont val="맑은 고딕"/>
        <family val="2"/>
        <scheme val="minor"/>
      </rPr>
      <t>의 최고기술 보유국</t>
    </r>
    <r>
      <rPr>
        <sz val="11"/>
        <rFont val="HCI Poppy"/>
        <family val="2"/>
      </rPr>
      <t>(</t>
    </r>
    <r>
      <rPr>
        <sz val="11"/>
        <rFont val="맑은 고딕"/>
        <family val="2"/>
        <scheme val="minor"/>
      </rPr>
      <t>미국</t>
    </r>
    <r>
      <rPr>
        <sz val="11"/>
        <rFont val="HCI Poppy"/>
        <family val="2"/>
      </rPr>
      <t xml:space="preserve">) </t>
    </r>
    <r>
      <rPr>
        <sz val="11"/>
        <rFont val="맑은 고딕"/>
        <family val="2"/>
        <scheme val="minor"/>
      </rPr>
      <t>대비 기술수준은77.9</t>
    </r>
    <r>
      <rPr>
        <sz val="11"/>
        <rFont val="HCI Poppy"/>
        <family val="2"/>
      </rPr>
      <t xml:space="preserve">%, </t>
    </r>
    <r>
      <rPr>
        <sz val="11"/>
        <rFont val="맑은 고딕"/>
        <family val="2"/>
        <scheme val="minor"/>
      </rPr>
      <t>기술격차는 3.1년으로 평가</t>
    </r>
    <phoneticPr fontId="13" type="noConversion"/>
  </si>
  <si>
    <r>
      <t>◈ 국내 생명</t>
    </r>
    <r>
      <rPr>
        <b/>
        <i/>
        <sz val="11"/>
        <rFont val="맑은 고딕"/>
        <family val="3"/>
        <charset val="128"/>
        <scheme val="minor"/>
      </rPr>
      <t>･</t>
    </r>
    <r>
      <rPr>
        <b/>
        <i/>
        <sz val="11"/>
        <rFont val="맑은 고딕"/>
        <family val="3"/>
        <charset val="129"/>
        <scheme val="minor"/>
      </rPr>
      <t>보건의료 분야 기술수준 및 격차(2020)</t>
    </r>
    <phoneticPr fontId="13" type="noConversion"/>
  </si>
  <si>
    <r>
      <t>생명</t>
    </r>
    <r>
      <rPr>
        <b/>
        <sz val="11"/>
        <rFont val="맑은 고딕"/>
        <family val="3"/>
        <charset val="128"/>
        <scheme val="minor"/>
      </rPr>
      <t>･</t>
    </r>
    <r>
      <rPr>
        <b/>
        <sz val="11"/>
        <rFont val="맑은 고딕"/>
        <family val="3"/>
        <charset val="129"/>
        <scheme val="minor"/>
      </rPr>
      <t>보건의료 분야</t>
    </r>
  </si>
  <si>
    <r>
      <t>◈ 국내 생명</t>
    </r>
    <r>
      <rPr>
        <b/>
        <i/>
        <sz val="11"/>
        <rFont val="맑은 고딕"/>
        <family val="3"/>
        <charset val="128"/>
        <scheme val="minor"/>
      </rPr>
      <t>･</t>
    </r>
    <r>
      <rPr>
        <b/>
        <i/>
        <sz val="11"/>
        <rFont val="맑은 고딕"/>
        <family val="3"/>
        <charset val="129"/>
        <scheme val="minor"/>
      </rPr>
      <t>보건의료 분야 중점과힉기술별 기술수준 및 격차 (2020)</t>
    </r>
    <phoneticPr fontId="13" type="noConversion"/>
  </si>
  <si>
    <r>
      <t xml:space="preserve">○ </t>
    </r>
    <r>
      <rPr>
        <sz val="11"/>
        <rFont val="HCI Poppy"/>
        <family val="2"/>
      </rPr>
      <t>2020</t>
    </r>
    <r>
      <rPr>
        <sz val="11"/>
        <rFont val="맑은 고딕"/>
        <family val="2"/>
        <scheme val="minor"/>
      </rPr>
      <t>년 국내 생명</t>
    </r>
    <r>
      <rPr>
        <sz val="11"/>
        <rFont val="맑은 고딕"/>
        <family val="3"/>
        <charset val="128"/>
        <scheme val="minor"/>
      </rPr>
      <t>･</t>
    </r>
    <r>
      <rPr>
        <sz val="11"/>
        <rFont val="맑은 고딕"/>
        <family val="2"/>
        <scheme val="minor"/>
      </rPr>
      <t>보건의료 분야 내 21개 중점과학기술 중 12개 기술의 수준이 80.0% 이상이며, 5개 기술이 70.0% 이하임</t>
    </r>
    <phoneticPr fontId="13" type="noConversion"/>
  </si>
  <si>
    <r>
      <t>뇌신경계 질환 원인 규명 및 치료</t>
    </r>
    <r>
      <rPr>
        <sz val="11"/>
        <rFont val="맑은 고딕"/>
        <family val="3"/>
        <charset val="128"/>
        <scheme val="minor"/>
      </rPr>
      <t>･</t>
    </r>
    <r>
      <rPr>
        <sz val="11"/>
        <rFont val="맑은 고딕"/>
        <family val="3"/>
        <charset val="129"/>
        <scheme val="minor"/>
      </rPr>
      <t>예방기술</t>
    </r>
    <phoneticPr fontId="13" type="noConversion"/>
  </si>
  <si>
    <r>
      <t>◈ 국내 생명</t>
    </r>
    <r>
      <rPr>
        <sz val="11"/>
        <color rgb="FF0000FF"/>
        <rFont val="맑은 고딕"/>
        <family val="3"/>
        <charset val="128"/>
        <scheme val="minor"/>
      </rPr>
      <t>･</t>
    </r>
    <r>
      <rPr>
        <sz val="11"/>
        <color rgb="FF0000FF"/>
        <rFont val="맑은 고딕"/>
        <family val="3"/>
        <charset val="129"/>
        <scheme val="minor"/>
      </rPr>
      <t>보건의료 분야 중점과학기술별 기술수준 및 격차(2020)</t>
    </r>
    <phoneticPr fontId="13" type="noConversion"/>
  </si>
  <si>
    <t>전년도자료 유지</t>
    <phoneticPr fontId="13" type="noConversion"/>
  </si>
  <si>
    <t>2021년</t>
    <phoneticPr fontId="13" type="noConversion"/>
  </si>
  <si>
    <r>
      <t xml:space="preserve">○ </t>
    </r>
    <r>
      <rPr>
        <sz val="11"/>
        <color rgb="FF0000FF"/>
        <rFont val="HCI Poppy"/>
        <family val="2"/>
      </rPr>
      <t>2021</t>
    </r>
    <r>
      <rPr>
        <sz val="11"/>
        <color rgb="FF0000FF"/>
        <rFont val="맑은 고딕"/>
        <family val="2"/>
        <scheme val="minor"/>
      </rPr>
      <t xml:space="preserve">년 국내 바이오 </t>
    </r>
    <r>
      <rPr>
        <sz val="11"/>
        <color rgb="FF0000FF"/>
        <rFont val="HCI Poppy"/>
        <family val="2"/>
      </rPr>
      <t xml:space="preserve">SCIE </t>
    </r>
    <r>
      <rPr>
        <sz val="11"/>
        <color rgb="FF0000FF"/>
        <rFont val="맑은 고딕"/>
        <family val="2"/>
        <scheme val="minor"/>
      </rPr>
      <t>논문발표 수는 11,739편으로 전년 대비 274편 증가</t>
    </r>
    <phoneticPr fontId="13" type="noConversion"/>
  </si>
  <si>
    <t xml:space="preserve">한국생명공학연구원, 2022.4월 기준 </t>
    <phoneticPr fontId="13" type="noConversion"/>
  </si>
  <si>
    <t>2020년 평균환율 적용 환산</t>
    <phoneticPr fontId="13" type="noConversion"/>
  </si>
  <si>
    <t>Orion Market Research</t>
  </si>
  <si>
    <t>Orion Market Research, Global Biotechnology Market 2021-2027, 2021</t>
    <phoneticPr fontId="13" type="noConversion"/>
  </si>
  <si>
    <t>◈ 글로벌 바이오 시장규모(2020)</t>
    <phoneticPr fontId="13" type="noConversion"/>
  </si>
  <si>
    <t>IQVIA</t>
  </si>
  <si>
    <t>한국제약바이오협회, 2021 제약바이오산업 DATABOOK 통계정보, 2022.1</t>
    <phoneticPr fontId="13" type="noConversion"/>
  </si>
  <si>
    <t>한국보건산업진흥원, 2020년 의료기기산업 분석 보고서, 2021.3 (원출처 : Fitch Solutions,  Worldwide Medical Market FactBook, 2020)</t>
    <phoneticPr fontId="13" type="noConversion"/>
  </si>
  <si>
    <t>* 2020년 평균 환율 : 1달러  1,086.3원 (출처 : e-나라지표)</t>
    <phoneticPr fontId="13" type="noConversion"/>
  </si>
  <si>
    <t>◈ 국내 바이오 시장규모(2020)</t>
    <phoneticPr fontId="13" type="noConversion"/>
  </si>
  <si>
    <r>
      <t>◈ 국내 바이오 시장규모</t>
    </r>
    <r>
      <rPr>
        <sz val="11"/>
        <color rgb="FF0000FF"/>
        <rFont val="맑은 고딕"/>
        <family val="3"/>
        <charset val="129"/>
        <scheme val="minor"/>
      </rPr>
      <t>(2020)</t>
    </r>
    <phoneticPr fontId="13" type="noConversion"/>
  </si>
  <si>
    <t>17조원</t>
    <phoneticPr fontId="13" type="noConversion"/>
  </si>
  <si>
    <t>바이오산업분야 유효표본 1,027개 기업, 2020년 국내 바이오산업 생산 규모</t>
    <phoneticPr fontId="13" type="noConversion"/>
  </si>
  <si>
    <r>
      <t>○ 바이오산업 실태조사 보고서 기준 국내 바이오산업 생산 규모는 17</t>
    </r>
    <r>
      <rPr>
        <sz val="11"/>
        <color rgb="FF0000FF"/>
        <rFont val="맑은 고딕"/>
        <family val="3"/>
        <charset val="129"/>
        <scheme val="minor"/>
      </rPr>
      <t>조원이며,바이오 관련 산업인 의약품, 의료기기 시장규모 참고</t>
    </r>
    <phoneticPr fontId="13" type="noConversion"/>
  </si>
  <si>
    <t>23조원</t>
    <phoneticPr fontId="13" type="noConversion"/>
  </si>
  <si>
    <t>식품의약품안전처, 2020년도 의료기기 생산 및 수출입실적 통계자료, 2021.5</t>
    <phoneticPr fontId="13" type="noConversion"/>
  </si>
  <si>
    <t>7.5조원</t>
    <phoneticPr fontId="13" type="noConversion"/>
  </si>
  <si>
    <t>식품의약품안전처</t>
    <phoneticPr fontId="13" type="noConversion"/>
  </si>
  <si>
    <t>한국벤처캐피탈협회, 2021년 Venture Capital Market Brief, 2022.3(생명공학정책연구센터 재가공)</t>
    <phoneticPr fontId="13" type="noConversion"/>
  </si>
  <si>
    <t>2018년</t>
    <phoneticPr fontId="13" type="noConversion"/>
  </si>
  <si>
    <t xml:space="preserve">◈ 국내 VC 신규투자 현황(2017~2021) </t>
    <phoneticPr fontId="13" type="noConversion"/>
  </si>
  <si>
    <r>
      <t>◈ 국내 VC 신규투자 현황</t>
    </r>
    <r>
      <rPr>
        <sz val="11"/>
        <color rgb="FF0000FF"/>
        <rFont val="맑은 고딕"/>
        <family val="3"/>
        <charset val="129"/>
        <scheme val="minor"/>
      </rPr>
      <t>(2017~2021)</t>
    </r>
    <r>
      <rPr>
        <sz val="11"/>
        <rFont val="맑은 고딕"/>
        <family val="3"/>
        <charset val="129"/>
        <scheme val="minor"/>
      </rPr>
      <t xml:space="preserve"> </t>
    </r>
    <phoneticPr fontId="13" type="noConversion"/>
  </si>
  <si>
    <t xml:space="preserve">○ 2021년 국내 벤처캐피탈(VC) 신규투자는 7.6조원. 업종별로는 바이오/의료가 전체의 21.8%로 ICT서비스(31.6%)에 이어 두번째로 높음 </t>
    <phoneticPr fontId="13" type="noConversion"/>
  </si>
  <si>
    <t xml:space="preserve">2021년 </t>
    <phoneticPr fontId="13" type="noConversion"/>
  </si>
  <si>
    <t xml:space="preserve">◈ 국내 바이오/의료 분야 기술특례상장기업 현황(2017~2021) </t>
    <phoneticPr fontId="13" type="noConversion"/>
  </si>
  <si>
    <r>
      <t xml:space="preserve">◈ 국내 </t>
    </r>
    <r>
      <rPr>
        <b/>
        <sz val="11"/>
        <color rgb="FF0000FF"/>
        <rFont val="맑은 고딕"/>
        <family val="3"/>
        <charset val="129"/>
        <scheme val="minor"/>
      </rPr>
      <t>바이오/의료</t>
    </r>
    <r>
      <rPr>
        <sz val="11"/>
        <rFont val="맑은 고딕"/>
        <family val="3"/>
        <charset val="129"/>
        <scheme val="minor"/>
      </rPr>
      <t xml:space="preserve"> 분야 기술특례상장기업 현황</t>
    </r>
    <r>
      <rPr>
        <sz val="11"/>
        <color rgb="FF0000FF"/>
        <rFont val="맑은 고딕"/>
        <family val="3"/>
        <charset val="129"/>
        <scheme val="minor"/>
      </rPr>
      <t xml:space="preserve">(2017~2021) </t>
    </r>
    <phoneticPr fontId="13" type="noConversion"/>
  </si>
  <si>
    <t xml:space="preserve">바이오 -&gt; 바이오/의료로 변경 </t>
    <phoneticPr fontId="13" type="noConversion"/>
  </si>
  <si>
    <t xml:space="preserve">4개년 -&gt; 5개년 현황을 변경 </t>
    <phoneticPr fontId="13" type="noConversion"/>
  </si>
  <si>
    <r>
      <t>◈ 의약품산업 세계시장 규모</t>
    </r>
    <r>
      <rPr>
        <sz val="11"/>
        <color rgb="FF0000FF"/>
        <rFont val="맑은 고딕"/>
        <family val="3"/>
        <charset val="129"/>
        <scheme val="minor"/>
      </rPr>
      <t>(2016~2020)</t>
    </r>
    <phoneticPr fontId="13" type="noConversion"/>
  </si>
  <si>
    <t>◈ 의약품산업 세계시장 규모(2016~2020)</t>
    <phoneticPr fontId="13" type="noConversion"/>
  </si>
  <si>
    <t>한국제약바이오협회, 2021 제약바이오산업 DATABOOK 통계정보, 2022.1</t>
    <phoneticPr fontId="13" type="noConversion"/>
  </si>
  <si>
    <t>한국제약바이오협회, 2021 제약바이오산업 DATABOOK, 2022.1 (원출처 : IQVIA Institute)</t>
    <phoneticPr fontId="13" type="noConversion"/>
  </si>
  <si>
    <t>2020년</t>
    <phoneticPr fontId="13" type="noConversion"/>
  </si>
  <si>
    <t>(단위 : 십억달러, %)</t>
    <phoneticPr fontId="13" type="noConversion"/>
  </si>
  <si>
    <t>○ 의약품산업 세계시장 규모는 ’20년 1조 3,054억달러 규모, 전년대비 2.6% 증가</t>
    <phoneticPr fontId="13" type="noConversion"/>
  </si>
  <si>
    <t>◈ 국내 제약 시장규모(2016~2020)</t>
    <phoneticPr fontId="13" type="noConversion"/>
  </si>
  <si>
    <r>
      <t>◈ 국내 제약 시장규모</t>
    </r>
    <r>
      <rPr>
        <sz val="11"/>
        <color rgb="FF0000FF"/>
        <rFont val="맑은 고딕"/>
        <family val="3"/>
        <charset val="129"/>
        <scheme val="minor"/>
      </rPr>
      <t>(2016~2020)</t>
    </r>
    <phoneticPr fontId="13" type="noConversion"/>
  </si>
  <si>
    <t>2020년</t>
    <phoneticPr fontId="13" type="noConversion"/>
  </si>
  <si>
    <t>한국제약바이오협회, 2021 제약바이오산업 DATABOOK, 2022.1 (원출처 : 식품의약품안전처)</t>
    <phoneticPr fontId="13" type="noConversion"/>
  </si>
  <si>
    <t>* ’20년 평균 환율(1,086.3원)을 적용하여 환산한 금액</t>
    <phoneticPr fontId="13" type="noConversion"/>
  </si>
  <si>
    <t>○ ’20년 국내 의약품 시장규모는 23조 1,722억원으로 글로벌 제약 시장(1조 3,054억달러, 약 1,418조원)의 1.6% 규모 차지</t>
    <phoneticPr fontId="13" type="noConversion"/>
  </si>
  <si>
    <t>식품의약품안전처, 2021 식품의약품 산업동향통계, 2021.12</t>
    <phoneticPr fontId="13" type="noConversion"/>
  </si>
  <si>
    <t>◈ 국내 바이오의약품 산업(2016~2020)</t>
    <phoneticPr fontId="13" type="noConversion"/>
  </si>
  <si>
    <r>
      <t>◈ 국내 바이오의약품 산업</t>
    </r>
    <r>
      <rPr>
        <sz val="11"/>
        <color rgb="FF0000FF"/>
        <rFont val="맑은 고딕"/>
        <family val="3"/>
        <charset val="129"/>
        <scheme val="minor"/>
      </rPr>
      <t>(2016~2020)</t>
    </r>
    <phoneticPr fontId="13" type="noConversion"/>
  </si>
  <si>
    <t>2020년</t>
    <phoneticPr fontId="13" type="noConversion"/>
  </si>
  <si>
    <t>○ ’20년 국내 바이오의약품 시장규모는 3조 3,029억원으로 국내 의약품 시장(23.17조원)의 14.2% 규모 차지</t>
    <phoneticPr fontId="13" type="noConversion"/>
  </si>
  <si>
    <t>◈ 글로벌 주요 제약사 매출 순위(20위/2020)</t>
    <phoneticPr fontId="13" type="noConversion"/>
  </si>
  <si>
    <t>336 페이지</t>
    <phoneticPr fontId="13" type="noConversion"/>
  </si>
  <si>
    <t>식품의약품안전처, 2021 식품의약품 통계연보, 2021.12</t>
    <phoneticPr fontId="13" type="noConversion"/>
  </si>
  <si>
    <r>
      <t>◈ 글로벌 주요 제약사 매출 순위(20위/20</t>
    </r>
    <r>
      <rPr>
        <sz val="11"/>
        <color rgb="FF0000FF"/>
        <rFont val="맑은 고딕"/>
        <family val="3"/>
        <charset val="129"/>
        <scheme val="minor"/>
      </rPr>
      <t>20</t>
    </r>
    <r>
      <rPr>
        <sz val="11"/>
        <rFont val="맑은 고딕"/>
        <family val="3"/>
        <charset val="129"/>
        <scheme val="minor"/>
      </rPr>
      <t>)</t>
    </r>
    <phoneticPr fontId="13" type="noConversion"/>
  </si>
  <si>
    <t>VIATRIS(비아트리스)</t>
    <phoneticPr fontId="13" type="noConversion"/>
  </si>
  <si>
    <t>주요 상장 제약·바이오기업, 덩치는 커졌지만…내실은 ‘글쎄’ &lt; 기획·특집 &lt; 기사본문 - 팜뉴스 (pharmnews.com)</t>
  </si>
  <si>
    <t>생물의약품으로 간주</t>
    <phoneticPr fontId="13" type="noConversion"/>
  </si>
  <si>
    <t>녹십자</t>
    <phoneticPr fontId="13" type="noConversion"/>
  </si>
  <si>
    <t>SK바이오사이언스</t>
    <phoneticPr fontId="13" type="noConversion"/>
  </si>
  <si>
    <t>HK이노엔</t>
    <phoneticPr fontId="13" type="noConversion"/>
  </si>
  <si>
    <r>
      <t>◈ 국내 상장 제약</t>
    </r>
    <r>
      <rPr>
        <b/>
        <sz val="11"/>
        <color rgb="FF0000FF"/>
        <rFont val="맑은 고딕"/>
        <family val="3"/>
        <charset val="129"/>
      </rPr>
      <t>•</t>
    </r>
    <r>
      <rPr>
        <b/>
        <i/>
        <sz val="11"/>
        <color rgb="FF0000FF"/>
        <rFont val="맑은 고딕"/>
        <family val="2"/>
        <charset val="129"/>
        <scheme val="minor"/>
      </rPr>
      <t>바이오기업 매출 순위(20위/2021)</t>
    </r>
    <phoneticPr fontId="13" type="noConversion"/>
  </si>
  <si>
    <t xml:space="preserve">SK바이오팜 </t>
    <phoneticPr fontId="13" type="noConversion"/>
  </si>
  <si>
    <t xml:space="preserve">○ ‘20년 글로벌 주요 제약사 매출 1위는 지난해에 이어 ABBVIE(590억달러) </t>
    <phoneticPr fontId="13" type="noConversion"/>
  </si>
  <si>
    <r>
      <t>◈ 국내 상장 제약</t>
    </r>
    <r>
      <rPr>
        <sz val="11"/>
        <rFont val="맑은 고딕"/>
        <family val="3"/>
        <charset val="129"/>
      </rPr>
      <t>•</t>
    </r>
    <r>
      <rPr>
        <sz val="11"/>
        <rFont val="맑은 고딕"/>
        <family val="3"/>
        <charset val="129"/>
        <scheme val="minor"/>
      </rPr>
      <t>바이오 기업 매출액 순위(20위</t>
    </r>
    <r>
      <rPr>
        <sz val="11"/>
        <color rgb="FF0000FF"/>
        <rFont val="맑은 고딕"/>
        <family val="3"/>
        <charset val="129"/>
        <scheme val="minor"/>
      </rPr>
      <t>/2021</t>
    </r>
    <r>
      <rPr>
        <sz val="11"/>
        <rFont val="맑은 고딕"/>
        <family val="3"/>
        <charset val="129"/>
        <scheme val="minor"/>
      </rPr>
      <t>)</t>
    </r>
    <phoneticPr fontId="13" type="noConversion"/>
  </si>
  <si>
    <t>○ ‘21년 국내 제약바이오기업 매출 1위는 지난해에 이어 셀트리온(1조 9,116억원)</t>
    <phoneticPr fontId="13" type="noConversion"/>
  </si>
  <si>
    <t>◈ 국내 주요 제약기업 생산액 순위(20위/2020)</t>
    <phoneticPr fontId="13" type="noConversion"/>
  </si>
  <si>
    <r>
      <t>◈ 국내 주요 제약기업 생산액 순위(20위/</t>
    </r>
    <r>
      <rPr>
        <sz val="11"/>
        <color rgb="FF0000FF"/>
        <rFont val="맑은 고딕"/>
        <family val="3"/>
        <charset val="129"/>
        <scheme val="minor"/>
      </rPr>
      <t>2020)</t>
    </r>
    <phoneticPr fontId="13" type="noConversion"/>
  </si>
  <si>
    <t>에이치케이이노엔</t>
    <phoneticPr fontId="13" type="noConversion"/>
  </si>
  <si>
    <t xml:space="preserve">한국휴텍스제약 </t>
    <phoneticPr fontId="13" type="noConversion"/>
  </si>
  <si>
    <t>○ ‘20년 국내 주요 제약사 생산액 1위는 셀트리온(1조 4,768억원)</t>
    <phoneticPr fontId="13" type="noConversion"/>
  </si>
  <si>
    <t>팜뉴스, 주요 상장 제약·바이오기업, 덩치는 커졌지만…내실은 ‘글쎄’, 2022.3.30</t>
    <phoneticPr fontId="13" type="noConversion"/>
  </si>
  <si>
    <t>2019년</t>
    <phoneticPr fontId="13" type="noConversion"/>
  </si>
  <si>
    <t>◈ 주요 국가 제약 R&amp;D 투자 비교(2015-2019)</t>
    <phoneticPr fontId="13" type="noConversion"/>
  </si>
  <si>
    <t xml:space="preserve">Pharmaceutical executive, 2022 Pharm Exec 50 Companies, 2022.6 </t>
    <phoneticPr fontId="13" type="noConversion"/>
  </si>
  <si>
    <t xml:space="preserve">Moderna </t>
    <phoneticPr fontId="13" type="noConversion"/>
  </si>
  <si>
    <t>Regneron Pharmaceuticals</t>
    <phoneticPr fontId="13" type="noConversion"/>
  </si>
  <si>
    <t>2022 Pharm Exec Top 50 Companies</t>
  </si>
  <si>
    <t>2021 처방약 판매액(Rx sales)</t>
    <phoneticPr fontId="13" type="noConversion"/>
  </si>
  <si>
    <t>2021 R&amp;D 투자금액</t>
    <phoneticPr fontId="13" type="noConversion"/>
  </si>
  <si>
    <t>Bristol Myers Squibb</t>
  </si>
  <si>
    <t>AstraZeneca</t>
  </si>
  <si>
    <t>Eli Lilly</t>
  </si>
  <si>
    <t>Bayer</t>
  </si>
  <si>
    <t>Regneron Pharmaceuticals</t>
  </si>
  <si>
    <t>Novo Nordisk</t>
  </si>
  <si>
    <t xml:space="preserve">Moderna </t>
  </si>
  <si>
    <t>Viatris</t>
  </si>
  <si>
    <t>Pfizer</t>
    <phoneticPr fontId="13" type="noConversion"/>
  </si>
  <si>
    <t>◈ 글로벌 제약바이오기업 R&amp;D 투자금액 상위 20대 기업(2021)</t>
    <phoneticPr fontId="13" type="noConversion"/>
  </si>
  <si>
    <r>
      <t>◈ 글로벌</t>
    </r>
    <r>
      <rPr>
        <sz val="11"/>
        <color rgb="FF0000FF"/>
        <rFont val="맑은 고딕"/>
        <family val="3"/>
        <charset val="129"/>
        <scheme val="minor"/>
      </rPr>
      <t xml:space="preserve"> 제약바이오</t>
    </r>
    <r>
      <rPr>
        <sz val="11"/>
        <rFont val="맑은 고딕"/>
        <family val="3"/>
        <charset val="129"/>
        <scheme val="minor"/>
      </rPr>
      <t>기업 R&amp;D 투자금액 상위 20대 기업</t>
    </r>
    <r>
      <rPr>
        <sz val="11"/>
        <color rgb="FF0000FF"/>
        <rFont val="맑은 고딕"/>
        <family val="3"/>
        <charset val="129"/>
        <scheme val="minor"/>
      </rPr>
      <t>(2021)</t>
    </r>
    <phoneticPr fontId="13" type="noConversion"/>
  </si>
  <si>
    <r>
      <t xml:space="preserve">◈ 국내 상장 </t>
    </r>
    <r>
      <rPr>
        <sz val="11"/>
        <color rgb="FF0000FF"/>
        <rFont val="맑은 고딕"/>
        <family val="3"/>
        <charset val="129"/>
        <scheme val="minor"/>
      </rPr>
      <t>제약바이오기업</t>
    </r>
    <r>
      <rPr>
        <sz val="11"/>
        <rFont val="맑은 고딕"/>
        <family val="3"/>
        <charset val="129"/>
        <scheme val="minor"/>
      </rPr>
      <t xml:space="preserve"> R&amp;D 투자금액 상위 20대 기업</t>
    </r>
    <r>
      <rPr>
        <sz val="11"/>
        <color rgb="FF0000FF"/>
        <rFont val="맑은 고딕"/>
        <family val="3"/>
        <charset val="129"/>
        <scheme val="minor"/>
      </rPr>
      <t>(2021)</t>
    </r>
    <phoneticPr fontId="13" type="noConversion"/>
  </si>
  <si>
    <t>팜뉴스, 제약바이오 R&amp;D, 규모는 늘었지만 투자 비중은 ‘소폭’ 감소, 2022, 4.11</t>
    <phoneticPr fontId="13" type="noConversion"/>
  </si>
  <si>
    <t>제약바이오 R&amp;D, 규모는 늘었지만 투자 비중은 ‘소폭’ 감소 &lt; 기획·특집 &lt; 기사본문 - 팜뉴스 (pharmnews.com)</t>
  </si>
  <si>
    <t>◈ 국내 상장 제약바이오기업 R&amp;D 투자금액 상위 20대 기업(2021)</t>
    <phoneticPr fontId="13" type="noConversion"/>
  </si>
  <si>
    <t>(단위 : 억원, %)</t>
    <phoneticPr fontId="13" type="noConversion"/>
  </si>
  <si>
    <t xml:space="preserve">2021년 R&amp;D 투자 </t>
    <phoneticPr fontId="13" type="noConversion"/>
  </si>
  <si>
    <t xml:space="preserve"> </t>
    <phoneticPr fontId="13" type="noConversion"/>
  </si>
  <si>
    <t>○ ‘21년 국내 상장기업 중 셀트리온 4,303억원으로 가장 많은 R&amp;D 투자</t>
    <phoneticPr fontId="13" type="noConversion"/>
  </si>
  <si>
    <t>R&amp;D 투자비율</t>
    <phoneticPr fontId="13" type="noConversion"/>
  </si>
  <si>
    <t>삼성바이로직스</t>
    <phoneticPr fontId="13" type="noConversion"/>
  </si>
  <si>
    <t>휴혼스</t>
    <phoneticPr fontId="13" type="noConversion"/>
  </si>
  <si>
    <t>신풍제[약</t>
    <phoneticPr fontId="13" type="noConversion"/>
  </si>
  <si>
    <t>휴젤</t>
    <phoneticPr fontId="13" type="noConversion"/>
  </si>
  <si>
    <t xml:space="preserve">일양약품 </t>
    <phoneticPr fontId="13" type="noConversion"/>
  </si>
  <si>
    <t>◈ 글로벌 매출액 상위 10개 의약품(2020)</t>
    <phoneticPr fontId="13" type="noConversion"/>
  </si>
  <si>
    <r>
      <t>◈ 글로벌 매출액 상위 10개 의약품</t>
    </r>
    <r>
      <rPr>
        <sz val="11"/>
        <color rgb="FF0000FF"/>
        <rFont val="맑은 고딕"/>
        <family val="3"/>
        <charset val="129"/>
        <scheme val="minor"/>
      </rPr>
      <t>(2020)</t>
    </r>
    <phoneticPr fontId="13" type="noConversion"/>
  </si>
  <si>
    <t>빅타비(Biktarvy)</t>
    <phoneticPr fontId="13" type="noConversion"/>
  </si>
  <si>
    <t>Gilead Sciences</t>
    <phoneticPr fontId="13" type="noConversion"/>
  </si>
  <si>
    <t>○ ’20년 글로벌 매출액 상위 1위 의약품은 AbbVie의 Humira(286억달러)</t>
    <phoneticPr fontId="13" type="noConversion"/>
  </si>
  <si>
    <t>Phase I to Approval</t>
    <phoneticPr fontId="13" type="noConversion"/>
  </si>
  <si>
    <r>
      <t>BIO</t>
    </r>
    <r>
      <rPr>
        <sz val="11"/>
        <color theme="1"/>
        <rFont val="맑은 고딕"/>
        <family val="3"/>
        <charset val="129"/>
      </rPr>
      <t>•</t>
    </r>
    <r>
      <rPr>
        <sz val="11"/>
        <color theme="1"/>
        <rFont val="맑은 고딕"/>
        <family val="3"/>
        <charset val="129"/>
        <scheme val="minor"/>
      </rPr>
      <t>Informa Pharma Intelligence•QLS, Clinical Development Success Rates and Contributing Factors 2011-2020, 2021.2</t>
    </r>
    <phoneticPr fontId="13" type="noConversion"/>
  </si>
  <si>
    <t>신약개발 단계별 성공률(2011~2020)</t>
    <phoneticPr fontId="13" type="noConversion"/>
  </si>
  <si>
    <t>의약품-16</t>
    <phoneticPr fontId="13" type="noConversion"/>
  </si>
  <si>
    <t xml:space="preserve">◈ 글로벌 파이프라인(pipeline) 현황 </t>
    <phoneticPr fontId="13" type="noConversion"/>
  </si>
  <si>
    <t xml:space="preserve">◈ 글로벌 파이프라인(pipeline) 현황 </t>
    <phoneticPr fontId="13" type="noConversion"/>
  </si>
  <si>
    <t>○ 신약 1개가 시판되기까지 15년의 기간 소요, 2011~2010년간 임상 1상의 후보물질이 신약으로 허가받는 성공률은 7.9%</t>
    <phoneticPr fontId="13" type="noConversion"/>
  </si>
  <si>
    <t>질환 영역</t>
    <phoneticPr fontId="13" type="noConversion"/>
  </si>
  <si>
    <t xml:space="preserve">파이프라인수 </t>
    <phoneticPr fontId="13" type="noConversion"/>
  </si>
  <si>
    <t>Cancer</t>
  </si>
  <si>
    <t>Neurology</t>
    <phoneticPr fontId="13" type="noConversion"/>
  </si>
  <si>
    <t>Infectious</t>
    <phoneticPr fontId="13" type="noConversion"/>
  </si>
  <si>
    <t>Autoimmune</t>
  </si>
  <si>
    <t>Diagnostic</t>
    <phoneticPr fontId="13" type="noConversion"/>
  </si>
  <si>
    <t>Endocrine/Metabolic</t>
    <phoneticPr fontId="13" type="noConversion"/>
  </si>
  <si>
    <t>Cardiovascular</t>
  </si>
  <si>
    <t>Ophthalmic</t>
  </si>
  <si>
    <t>Inflammation</t>
  </si>
  <si>
    <t>Dermatology</t>
  </si>
  <si>
    <t>Hematology</t>
  </si>
  <si>
    <t>Pulmonary</t>
  </si>
  <si>
    <t>Musculoskeletal</t>
  </si>
  <si>
    <t>Hepatic</t>
  </si>
  <si>
    <t>Gastrointestinal</t>
  </si>
  <si>
    <t>Research</t>
  </si>
  <si>
    <t>Preclinical</t>
  </si>
  <si>
    <t>IND</t>
  </si>
  <si>
    <t>Phase 0</t>
  </si>
  <si>
    <t>Pilot</t>
  </si>
  <si>
    <t>Phase I</t>
  </si>
  <si>
    <t>Phase I/II</t>
  </si>
  <si>
    <t>Phase II</t>
  </si>
  <si>
    <t>Phase II/III</t>
  </si>
  <si>
    <t>Pivotal</t>
  </si>
  <si>
    <t>Phase III</t>
  </si>
  <si>
    <t>Registration</t>
  </si>
  <si>
    <t>Approved</t>
  </si>
  <si>
    <t>Marketed</t>
  </si>
  <si>
    <t>Phase IV</t>
  </si>
  <si>
    <t>원개발사</t>
    <phoneticPr fontId="13" type="noConversion"/>
  </si>
  <si>
    <t xml:space="preserve">Amgen </t>
    <phoneticPr fontId="13" type="noConversion"/>
  </si>
  <si>
    <t xml:space="preserve">Boehringer Ingelheim </t>
    <phoneticPr fontId="13" type="noConversion"/>
  </si>
  <si>
    <t>Johnson &amp; Johnson</t>
    <phoneticPr fontId="13" type="noConversion"/>
  </si>
  <si>
    <t xml:space="preserve">GlaxoSmithKline </t>
    <phoneticPr fontId="13" type="noConversion"/>
  </si>
  <si>
    <t xml:space="preserve">Takeda Pharmaceutical  </t>
    <phoneticPr fontId="13" type="noConversion"/>
  </si>
  <si>
    <t xml:space="preserve">AstraZeneca </t>
    <phoneticPr fontId="13" type="noConversion"/>
  </si>
  <si>
    <t xml:space="preserve">AbbVie  </t>
    <phoneticPr fontId="13" type="noConversion"/>
  </si>
  <si>
    <t xml:space="preserve">Eli Lilly  </t>
    <phoneticPr fontId="13" type="noConversion"/>
  </si>
  <si>
    <t xml:space="preserve">Bayer  </t>
    <phoneticPr fontId="13" type="noConversion"/>
  </si>
  <si>
    <t xml:space="preserve">Pfizer  </t>
    <phoneticPr fontId="13" type="noConversion"/>
  </si>
  <si>
    <t xml:space="preserve">Novartis  </t>
    <phoneticPr fontId="13" type="noConversion"/>
  </si>
  <si>
    <t xml:space="preserve">Bristol Myers Squibb  </t>
    <phoneticPr fontId="13" type="noConversion"/>
  </si>
  <si>
    <t xml:space="preserve">Merck &amp; Co. </t>
    <phoneticPr fontId="13" type="noConversion"/>
  </si>
  <si>
    <t>Sanofi</t>
    <phoneticPr fontId="13" type="noConversion"/>
  </si>
  <si>
    <t xml:space="preserve">  - 글로벌 제약사 Pfizer, Novartis,  Bristol Myers Squibb, Merck &amp; Co., Sanofi 등이 다수의 파이프라인을 보유하고 있음 </t>
    <phoneticPr fontId="13" type="noConversion"/>
  </si>
  <si>
    <t xml:space="preserve">  - 임상단계별로는 비임상(Preclinical) 단계에 파이프라인 수가 가장 많으며, 제품화 단계, 임상 1상, 임상 2상 순 </t>
    <phoneticPr fontId="13" type="noConversion"/>
  </si>
  <si>
    <t>의약품-17</t>
  </si>
  <si>
    <t xml:space="preserve">출처 </t>
    <phoneticPr fontId="13" type="noConversion"/>
  </si>
  <si>
    <t>Biocentury, 생명공학정책연구센터 분석</t>
    <phoneticPr fontId="13" type="noConversion"/>
  </si>
  <si>
    <t>의약품-17</t>
    <phoneticPr fontId="13" type="noConversion"/>
  </si>
  <si>
    <t>의약품-17</t>
    <phoneticPr fontId="13" type="noConversion"/>
  </si>
  <si>
    <t>◈ 국내 제약사 및 바이오의약품 임상시험 건수(2021)</t>
    <phoneticPr fontId="13" type="noConversion"/>
  </si>
  <si>
    <r>
      <t>◈ 국내 제약사 및 바이오의약품 임상시험 건수</t>
    </r>
    <r>
      <rPr>
        <sz val="11"/>
        <color rgb="FF0000FF"/>
        <rFont val="맑은 고딕"/>
        <family val="3"/>
        <charset val="129"/>
        <scheme val="minor"/>
      </rPr>
      <t>(2021)</t>
    </r>
    <phoneticPr fontId="13" type="noConversion"/>
  </si>
  <si>
    <t>(단위: 건)</t>
  </si>
  <si>
    <t xml:space="preserve">2021년 </t>
    <phoneticPr fontId="13" type="noConversion"/>
  </si>
  <si>
    <t>식약처 보도자료, 2021년 임상시험 승인 842건, 증가세 지속, 2022.4.</t>
    <phoneticPr fontId="13" type="noConversion"/>
  </si>
  <si>
    <t>○ 2021년 임상시험 승인 건수는 842건으로 저년대비 5.4% 증가, 매년 꾸준히 증가하고 있음. 바이오의약품 임상시험은 전년대비 11% 증가</t>
    <phoneticPr fontId="13" type="noConversion"/>
  </si>
  <si>
    <t>◈ 미국 FDA 신약 승인현황(2000~2021)</t>
    <phoneticPr fontId="13" type="noConversion"/>
  </si>
  <si>
    <r>
      <t>◈ 미국 FDA 신약 승인현황</t>
    </r>
    <r>
      <rPr>
        <sz val="11"/>
        <color rgb="FF0000FF"/>
        <rFont val="맑은 고딕"/>
        <family val="3"/>
        <charset val="129"/>
        <scheme val="minor"/>
      </rPr>
      <t>(2000~2021)</t>
    </r>
    <phoneticPr fontId="13" type="noConversion"/>
  </si>
  <si>
    <t xml:space="preserve">2021년 </t>
    <phoneticPr fontId="13" type="noConversion"/>
  </si>
  <si>
    <t>○ 2021년 50건의 신약 승인 취득</t>
    <phoneticPr fontId="13" type="noConversion"/>
  </si>
  <si>
    <t>(단위 : 건)</t>
  </si>
  <si>
    <t>합계</t>
    <phoneticPr fontId="13" type="noConversion"/>
  </si>
  <si>
    <t>Novel Drug Approvals for 2021 | FDA</t>
  </si>
  <si>
    <t>FDA, Novel Drug Approvals for 2021</t>
    <phoneticPr fontId="13" type="noConversion"/>
  </si>
  <si>
    <t xml:space="preserve">- 2021년 미국 FDA 신약 승인 현황 중 바이오신약 승인은 14건(28%)를 차지  </t>
    <phoneticPr fontId="13" type="noConversion"/>
  </si>
  <si>
    <t>○ ’99년부터 ’21년까지 허가받은 국내개발신약은 총 34개</t>
    <phoneticPr fontId="13" type="noConversion"/>
  </si>
  <si>
    <t>의약품-18</t>
    <phoneticPr fontId="13" type="noConversion"/>
  </si>
  <si>
    <t>의약품-19</t>
    <phoneticPr fontId="13" type="noConversion"/>
  </si>
  <si>
    <t>의약품-20</t>
    <phoneticPr fontId="13" type="noConversion"/>
  </si>
  <si>
    <t>의약품-21</t>
    <phoneticPr fontId="13" type="noConversion"/>
  </si>
  <si>
    <t>의약품-21</t>
    <phoneticPr fontId="13" type="noConversion"/>
  </si>
  <si>
    <t>렉라자정</t>
  </si>
  <si>
    <t>레이저티닙메실산염일수화물</t>
  </si>
  <si>
    <t>폐암 치료제</t>
  </si>
  <si>
    <t>2021.01.18</t>
    <phoneticPr fontId="13" type="noConversion"/>
  </si>
  <si>
    <t>렉키로나주</t>
  </si>
  <si>
    <t>㈜셀트리온</t>
  </si>
  <si>
    <t>레그단비맙</t>
  </si>
  <si>
    <t>코로나19치료제</t>
  </si>
  <si>
    <t>2021.02.05</t>
    <phoneticPr fontId="13" type="noConversion"/>
  </si>
  <si>
    <t>롤론티스</t>
  </si>
  <si>
    <t>한미약품㈜</t>
  </si>
  <si>
    <t>에플라페그라스팀</t>
  </si>
  <si>
    <t>호중구감소증치료제</t>
  </si>
  <si>
    <t>2021.03.18</t>
    <phoneticPr fontId="13" type="noConversion"/>
  </si>
  <si>
    <t>펙수클루정</t>
  </si>
  <si>
    <t>펙수프라잔염산염</t>
  </si>
  <si>
    <t>위식도역류질환 치료제</t>
  </si>
  <si>
    <t>2021.12.30</t>
    <phoneticPr fontId="13" type="noConversion"/>
  </si>
  <si>
    <t xml:space="preserve"> - 국내 개발신약 허가 품목은 ’15년 5개 이후, ’16년 1개, ’17년 1개, ’18년 2개, '19년과 '20년은 0개 , 2021년 4개 </t>
    <phoneticPr fontId="13" type="noConversion"/>
  </si>
  <si>
    <r>
      <t>보건복지부, 2021년도 제약산업 육성</t>
    </r>
    <r>
      <rPr>
        <sz val="11"/>
        <color rgb="FF0000FF"/>
        <rFont val="맑은 고딕"/>
        <family val="3"/>
        <charset val="129"/>
      </rPr>
      <t>·</t>
    </r>
    <r>
      <rPr>
        <sz val="9.35"/>
        <color rgb="FF0000FF"/>
        <rFont val="맑은 고딕"/>
        <family val="3"/>
        <charset val="129"/>
      </rPr>
      <t>지원 시행계획(안), 2021.4</t>
    </r>
    <phoneticPr fontId="13" type="noConversion"/>
  </si>
  <si>
    <t>◈ 해외 기술수출 실적(2021)</t>
    <phoneticPr fontId="13" type="noConversion"/>
  </si>
  <si>
    <r>
      <t>◈ 해외 기술수출 실적</t>
    </r>
    <r>
      <rPr>
        <sz val="11"/>
        <color rgb="FF0000FF"/>
        <rFont val="맑은 고딕"/>
        <family val="3"/>
        <charset val="129"/>
        <scheme val="minor"/>
      </rPr>
      <t>(2021)</t>
    </r>
    <phoneticPr fontId="13" type="noConversion"/>
  </si>
  <si>
    <t>◈ 최근 4년간 해외 기술수출 실적(2018~2021)</t>
    <phoneticPr fontId="13" type="noConversion"/>
  </si>
  <si>
    <t>(단위 : 조원)</t>
  </si>
  <si>
    <t>2021</t>
    <phoneticPr fontId="13" type="noConversion"/>
  </si>
  <si>
    <t>◈ 최근 4년간 해외 기술수출 실적(2018~2021)</t>
    <phoneticPr fontId="13" type="noConversion"/>
  </si>
  <si>
    <t>MEDI:GATE NEWS 국산신약 저력 보여준 2021년…기술수출 33건 ·FDA·EMA 승인 4건 (medigatenews.com)</t>
  </si>
  <si>
    <t xml:space="preserve">  - 파이프라인이 가장 많은 질환영역은 종양으로 34.6% 점유, 그 뒤로 신경질환, 감염질환, 자가면역질환, 진단 영역 , 내분비/대사질환 순 </t>
    <phoneticPr fontId="13" type="noConversion"/>
  </si>
  <si>
    <t xml:space="preserve">○ ’21년 국내 제약바이오기업의 해외 기술수출은 총 33건으로 계약 규모는 13조 3,720억원 규모 </t>
    <phoneticPr fontId="13" type="noConversion"/>
  </si>
  <si>
    <t>메디게이트, 국산신약 저력 보여준 2021년…기술수출 33건 ·FDA·EMA 승인 4건, 2022.1.13(원출처 : 한국제약바이오협회)</t>
    <phoneticPr fontId="13" type="noConversion"/>
  </si>
  <si>
    <t>계약상대</t>
    <phoneticPr fontId="13" type="noConversion"/>
  </si>
  <si>
    <t>인타스 파마슈티컬스</t>
  </si>
  <si>
    <t>인간 히알루로니다제 (ALT-B4</t>
  </si>
  <si>
    <t>인도</t>
    <phoneticPr fontId="13" type="noConversion"/>
  </si>
  <si>
    <t>약 1,266억원</t>
  </si>
  <si>
    <t>GC녹십자랩셀-아티바</t>
  </si>
  <si>
    <t>MSD</t>
  </si>
  <si>
    <t>미국</t>
    <phoneticPr fontId="13" type="noConversion"/>
  </si>
  <si>
    <t>고형암에 쓰는 CAR-NK 세포 치료제 3종(공동개발)</t>
  </si>
  <si>
    <t>약 2조 900억원 (약 18억 6,600만 달러)</t>
    <phoneticPr fontId="13" type="noConversion"/>
  </si>
  <si>
    <t>제품 또는 기술</t>
    <phoneticPr fontId="13" type="noConversion"/>
  </si>
  <si>
    <t>KG바이오</t>
  </si>
  <si>
    <t>인도네시아</t>
    <phoneticPr fontId="13" type="noConversion"/>
  </si>
  <si>
    <t>GX-17 (코로나19 치료제와 면역항암제로 개발 중)</t>
  </si>
  <si>
    <t>약 1조 2,000억원 (약 11억 달러)</t>
  </si>
  <si>
    <t>상해하이니</t>
  </si>
  <si>
    <t xml:space="preserve">중국 </t>
    <phoneticPr fontId="13" type="noConversion"/>
  </si>
  <si>
    <t>위식도역류질환 치료 신약 '펙수프라잔</t>
  </si>
  <si>
    <t>약 3,800억원</t>
  </si>
  <si>
    <t>이뮨온시아</t>
  </si>
  <si>
    <t>3D메디슨</t>
  </si>
  <si>
    <t>CD47 항체 항암신약후보 물질 ‘IMC-002’</t>
  </si>
  <si>
    <t>약 5,400억원 (약 4억 7,050만 달러</t>
  </si>
  <si>
    <t>펩트론</t>
  </si>
  <si>
    <t>치루제약</t>
  </si>
  <si>
    <t>표적항암 항체치료제 MUC1 타겟 암 치료용 항체 후보 약물-접합체(ADC) ‘PAb001-ADC’</t>
  </si>
  <si>
    <t>약 6,340억 원 (약 5억 3900만 달러)</t>
  </si>
  <si>
    <t>LG화학</t>
  </si>
  <si>
    <t>트랜스테라 바이오사이언스</t>
    <phoneticPr fontId="13" type="noConversion"/>
  </si>
  <si>
    <t>자가면역질환 치료 후보물질 ‘LC510255’</t>
    <phoneticPr fontId="13" type="noConversion"/>
  </si>
  <si>
    <t>한독·CMG제약</t>
  </si>
  <si>
    <t>AUM바이오사이언스</t>
  </si>
  <si>
    <t>싱가포르</t>
    <phoneticPr fontId="13" type="noConversion"/>
  </si>
  <si>
    <t>표적항암제 후보물질 CHC2014</t>
  </si>
  <si>
    <t>약 1,934억원 (약 1억 7250만 달러)</t>
  </si>
  <si>
    <t>뉴로가스트릭스</t>
  </si>
  <si>
    <t>‘펙수프라잔’ 위식도역류질환 치료제</t>
  </si>
  <si>
    <t>약 4,800억원 (약 4억 3,000만 달러)</t>
  </si>
  <si>
    <t>팬젠</t>
  </si>
  <si>
    <t>VEM</t>
    <phoneticPr fontId="13" type="noConversion"/>
  </si>
  <si>
    <t>터키</t>
    <phoneticPr fontId="13" type="noConversion"/>
  </si>
  <si>
    <t>빈혈치료제 바이오시밀러 생산기술</t>
  </si>
  <si>
    <t>약 33억 4천만원 (약 300만 달러)</t>
  </si>
  <si>
    <t>레고캠바이오</t>
  </si>
  <si>
    <t>익수다테라퓨틱스</t>
  </si>
  <si>
    <t xml:space="preserve">영국 </t>
    <phoneticPr fontId="13" type="noConversion"/>
  </si>
  <si>
    <t>항체약물접합체 플랫폼기술</t>
  </si>
  <si>
    <t>4,237억원</t>
  </si>
  <si>
    <t>펙수프라잔</t>
    <phoneticPr fontId="13" type="noConversion"/>
  </si>
  <si>
    <t>중남미 4개국</t>
    <phoneticPr fontId="13" type="noConversion"/>
  </si>
  <si>
    <t>위식도역류질환 치료제 ‘펙수 프라잔(Fexuprazan)’</t>
  </si>
  <si>
    <t>약 340억원</t>
  </si>
  <si>
    <t>HK이노엔</t>
  </si>
  <si>
    <t>뤄신</t>
  </si>
  <si>
    <t>'케이캡' 위식도 역류질환 치료주사</t>
  </si>
  <si>
    <t>비공개</t>
    <phoneticPr fontId="13" type="noConversion"/>
  </si>
  <si>
    <t>툴젠</t>
  </si>
  <si>
    <t>카세릭스</t>
  </si>
  <si>
    <t>호주</t>
    <phoneticPr fontId="13" type="noConversion"/>
  </si>
  <si>
    <t>CAR-T 치료제</t>
  </si>
  <si>
    <t>약 1,500억원</t>
  </si>
  <si>
    <t>프랑스</t>
    <phoneticPr fontId="13" type="noConversion"/>
  </si>
  <si>
    <t>와이바이오로직스</t>
    <phoneticPr fontId="13" type="noConversion"/>
  </si>
  <si>
    <t>피에르파브르</t>
  </si>
  <si>
    <t>고형암 치료를 위한 신규 항체 후보물질</t>
  </si>
  <si>
    <t>약 1,164억원</t>
  </si>
  <si>
    <t>동아ST</t>
  </si>
  <si>
    <t>인타스</t>
    <phoneticPr fontId="13" type="noConversion"/>
  </si>
  <si>
    <t>스텔라라 바이오시밀러 ‘DMB-3115’의 글로벌 라이선스 아웃 계약</t>
  </si>
  <si>
    <t>약 1,200억원 (총 1억 500만달러)</t>
  </si>
  <si>
    <t>바이오팜솔루션즈</t>
  </si>
  <si>
    <t>경신제약</t>
  </si>
  <si>
    <t xml:space="preserve">중국 </t>
    <phoneticPr fontId="13" type="noConversion"/>
  </si>
  <si>
    <t>소아연축ㆍ뇌전증 치료물질 계약</t>
  </si>
  <si>
    <t>468억원 (약 4,000만 달러)</t>
  </si>
  <si>
    <t>브리켈바이오텍</t>
  </si>
  <si>
    <t>미국</t>
    <phoneticPr fontId="13" type="noConversion"/>
  </si>
  <si>
    <t>자가면역질환 치료제 프로그램</t>
  </si>
  <si>
    <t>약 3,800억원 (3억2350만달러)</t>
  </si>
  <si>
    <t>디앤디파마텍</t>
  </si>
  <si>
    <t>선전 살루브리스 제약</t>
  </si>
  <si>
    <t xml:space="preserve">중국 </t>
    <phoneticPr fontId="13" type="noConversion"/>
  </si>
  <si>
    <t>대사성질환 치료제 DD01</t>
  </si>
  <si>
    <t>비공개/ 계약금 약 47 억원 (약400만 달러)</t>
  </si>
  <si>
    <t>GalNAc-asiRNA 기반 기술 관련 신약후보물질 2종</t>
    <phoneticPr fontId="13" type="noConversion"/>
  </si>
  <si>
    <t>한소제약</t>
    <phoneticPr fontId="13" type="noConversion"/>
  </si>
  <si>
    <t>5,368억원
(약 4억 5,100만 달러)</t>
    <phoneticPr fontId="13" type="noConversion"/>
  </si>
  <si>
    <t>에이프릴바이오</t>
  </si>
  <si>
    <t>룬드벡</t>
  </si>
  <si>
    <t>덴마크</t>
    <phoneticPr fontId="13" type="noConversion"/>
  </si>
  <si>
    <t>자가면역 질환 치료 후보물질 APB-A1</t>
  </si>
  <si>
    <t>약 5370억원 (4억4800만 달러)</t>
  </si>
  <si>
    <t>아그라스</t>
    <phoneticPr fontId="13" type="noConversion"/>
  </si>
  <si>
    <t>아랍에미리트 등 중동 6개국(사우디아라비아· 아랍에미리트·쿠웨이트·바레인· 오만·카타르)</t>
    <phoneticPr fontId="13" type="noConversion"/>
  </si>
  <si>
    <t>위식도역류질환 치료 신약 '펙수프라잔' 라이선스아웃 (기술수출)</t>
  </si>
  <si>
    <t>약 991억원 (약 8,466만 달러)</t>
  </si>
  <si>
    <t>큐라클</t>
  </si>
  <si>
    <t>테아오픈이노베이션</t>
  </si>
  <si>
    <t>당뇨병성 황반부종 및 습성 황반변성 치료제 ‘CU06-RE’</t>
  </si>
  <si>
    <t>약 1906억9005만원 (1억6350만달러)</t>
  </si>
  <si>
    <t>고바이오랩</t>
  </si>
  <si>
    <t>상해의약그룹 자회사 신이</t>
  </si>
  <si>
    <t xml:space="preserve">중국 </t>
    <phoneticPr fontId="13" type="noConversion"/>
  </si>
  <si>
    <t>면역질환 치료 소재 KBL697와 KBL693</t>
  </si>
  <si>
    <t>약 1200억원 (1억1000만 달러</t>
  </si>
  <si>
    <t>앱토즈 바이오사이언스</t>
  </si>
  <si>
    <t>캐나다</t>
    <phoneticPr fontId="13" type="noConversion"/>
  </si>
  <si>
    <t>급성골수성 백혈병(AML) 치료 신약 'HM43239'</t>
  </si>
  <si>
    <t>약 4961억원 (4억2000만달러</t>
  </si>
  <si>
    <t>이그니스테라퓨틱스</t>
  </si>
  <si>
    <t xml:space="preserve">중국 </t>
    <phoneticPr fontId="13" type="noConversion"/>
  </si>
  <si>
    <t>세노바메이트 등 6개 CNS 신약</t>
  </si>
  <si>
    <t>약 2180억원(지분) (1억 8500만달러)</t>
  </si>
  <si>
    <t>피라미드바이오사이언스</t>
  </si>
  <si>
    <t>MPS1 타겟 고형암치료제 (VRN08)</t>
  </si>
  <si>
    <t>약 1조원 (8억4600만달러)</t>
  </si>
  <si>
    <t>레고켐바이오</t>
  </si>
  <si>
    <t>소티오바이오텍</t>
  </si>
  <si>
    <t>체코</t>
    <phoneticPr fontId="13" type="noConversion"/>
  </si>
  <si>
    <t>항체약물접합체(ADC) 플랫폼 기술</t>
  </si>
  <si>
    <t>약 1조2127억원 (10억2750만달러)</t>
  </si>
  <si>
    <t>2월</t>
  </si>
  <si>
    <t>3월</t>
  </si>
  <si>
    <t>7월</t>
  </si>
  <si>
    <t>비공개</t>
    <phoneticPr fontId="13" type="noConversion"/>
  </si>
  <si>
    <t>양쯔강약업그룹</t>
    <phoneticPr fontId="13" type="noConversion"/>
  </si>
  <si>
    <t xml:space="preserve"> DA-7310(요로감염증)</t>
    <phoneticPr fontId="13" type="noConversion"/>
  </si>
  <si>
    <t xml:space="preserve">12월 </t>
    <phoneticPr fontId="13" type="noConversion"/>
  </si>
  <si>
    <t>아일랜드</t>
    <phoneticPr fontId="13" type="noConversion"/>
  </si>
  <si>
    <t>엔도그룹</t>
    <phoneticPr fontId="13" type="noConversion"/>
  </si>
  <si>
    <t>세노바메이트</t>
  </si>
  <si>
    <t>433억 465만원 (4100만달러)</t>
    <phoneticPr fontId="13" type="noConversion"/>
  </si>
  <si>
    <t>브레인트리 래보라토리스</t>
    <phoneticPr fontId="13" type="noConversion"/>
  </si>
  <si>
    <t>케이캡(테고프라잔)</t>
    <phoneticPr fontId="13" type="noConversion"/>
  </si>
  <si>
    <t>6400억원 (5억 4000만달러)</t>
    <phoneticPr fontId="13" type="noConversion"/>
  </si>
  <si>
    <t xml:space="preserve">영국 </t>
    <phoneticPr fontId="13" type="noConversion"/>
  </si>
  <si>
    <t>레고켐바이오사이언스</t>
    <phoneticPr fontId="13" type="noConversion"/>
  </si>
  <si>
    <t>익수다테라퓨틱스</t>
    <phoneticPr fontId="13" type="noConversion"/>
  </si>
  <si>
    <t>표적유방암치료제 LCB14(HER2-ADC)</t>
    <phoneticPr fontId="13" type="noConversion"/>
  </si>
  <si>
    <t>1조 1846억원 (10억달러)</t>
    <phoneticPr fontId="13" type="noConversion"/>
  </si>
  <si>
    <t>한미약품</t>
    <phoneticPr fontId="13" type="noConversion"/>
  </si>
  <si>
    <t>에퍼메드 테라퓨틱스</t>
    <phoneticPr fontId="13" type="noConversion"/>
  </si>
  <si>
    <t>안과분야 신약 루미네이트(리수테가닙)</t>
    <phoneticPr fontId="13" type="noConversion"/>
  </si>
  <si>
    <t>약 1719억원 (1억 4500만달러)</t>
    <phoneticPr fontId="13" type="noConversion"/>
  </si>
  <si>
    <t>약 13조 3,720억원 (비공개 제외)</t>
    <phoneticPr fontId="13" type="noConversion"/>
  </si>
  <si>
    <t>○ ’21년 국내 제약바이오기업의 해외 기술수출 실적은 전년대비 약 21% 증가</t>
    <phoneticPr fontId="13" type="noConversion"/>
  </si>
  <si>
    <t>헬스케어 디지털 트윈</t>
    <phoneticPr fontId="13" type="noConversion"/>
  </si>
  <si>
    <t>글로벌 의약품</t>
    <phoneticPr fontId="13" type="noConversion"/>
  </si>
  <si>
    <t>글로벌 배양육</t>
    <phoneticPr fontId="13" type="noConversion"/>
  </si>
  <si>
    <t>RNA 치료제</t>
    <phoneticPr fontId="13" type="noConversion"/>
  </si>
  <si>
    <t>체외진단</t>
    <phoneticPr fontId="13" type="noConversion"/>
  </si>
  <si>
    <t>바이오산업</t>
    <phoneticPr fontId="13" type="noConversion"/>
  </si>
  <si>
    <t>합성생물학</t>
    <phoneticPr fontId="13" type="noConversion"/>
  </si>
  <si>
    <t xml:space="preserve">디지털헬스 테크놀로지 </t>
    <phoneticPr fontId="13" type="noConversion"/>
  </si>
  <si>
    <t>◈ 주요국의 제약시장 순위(2021)</t>
    <phoneticPr fontId="13" type="noConversion"/>
  </si>
  <si>
    <r>
      <t>◈ 주요국의 제약시장 순위</t>
    </r>
    <r>
      <rPr>
        <sz val="11"/>
        <color rgb="FF0000FF"/>
        <rFont val="맑은 고딕"/>
        <family val="3"/>
        <charset val="129"/>
        <scheme val="minor"/>
      </rPr>
      <t>(2021)</t>
    </r>
    <phoneticPr fontId="13" type="noConversion"/>
  </si>
  <si>
    <t>IQVIA INSTITUTE, The Global Use of Medicines 2022 
Outlook to 2026, 2021.12</t>
    <phoneticPr fontId="13" type="noConversion"/>
  </si>
  <si>
    <t>Global Top 20 Countries Ranking and Invoice Spending Relative to United States</t>
  </si>
  <si>
    <t>2016년 순위변동</t>
    <phoneticPr fontId="13" type="noConversion"/>
  </si>
  <si>
    <t>2016년 국가</t>
    <phoneticPr fontId="13" type="noConversion"/>
  </si>
  <si>
    <t>2016년 % of U.S.</t>
    <phoneticPr fontId="13" type="noConversion"/>
  </si>
  <si>
    <t>2021년 순위변동</t>
    <phoneticPr fontId="13" type="noConversion"/>
  </si>
  <si>
    <t>2021년 국가</t>
    <phoneticPr fontId="13" type="noConversion"/>
  </si>
  <si>
    <t>2021년 % of U.S.</t>
    <phoneticPr fontId="13" type="noConversion"/>
  </si>
  <si>
    <t>2026년 국가</t>
    <phoneticPr fontId="13" type="noConversion"/>
  </si>
  <si>
    <t>2026년 순위변동</t>
    <phoneticPr fontId="13" type="noConversion"/>
  </si>
  <si>
    <t>2026년 % of U.S.</t>
    <phoneticPr fontId="13" type="noConversion"/>
  </si>
  <si>
    <t>The Global Use of Medicines 2022
Outlook to 2026</t>
    <phoneticPr fontId="13" type="noConversion"/>
  </si>
  <si>
    <t>ARGENTINA</t>
  </si>
  <si>
    <t>△2</t>
    <phoneticPr fontId="13" type="noConversion"/>
  </si>
  <si>
    <t>▽3</t>
    <phoneticPr fontId="13" type="noConversion"/>
  </si>
  <si>
    <t>△1</t>
  </si>
  <si>
    <t>▽1</t>
    <phoneticPr fontId="13" type="noConversion"/>
  </si>
  <si>
    <t>△3</t>
    <phoneticPr fontId="13" type="noConversion"/>
  </si>
  <si>
    <t>▽1</t>
    <phoneticPr fontId="13" type="noConversion"/>
  </si>
  <si>
    <t>▽3</t>
    <phoneticPr fontId="13" type="noConversion"/>
  </si>
  <si>
    <t>ARGENTINA</t>
    <phoneticPr fontId="13" type="noConversion"/>
  </si>
  <si>
    <t>△2</t>
    <phoneticPr fontId="13" type="noConversion"/>
  </si>
  <si>
    <t>△3</t>
    <phoneticPr fontId="13" type="noConversion"/>
  </si>
  <si>
    <t>△19</t>
    <phoneticPr fontId="13" type="noConversion"/>
  </si>
  <si>
    <t>▽2</t>
    <phoneticPr fontId="13" type="noConversion"/>
  </si>
  <si>
    <t>▽4</t>
    <phoneticPr fontId="13" type="noConversion"/>
  </si>
  <si>
    <t>ARGENTINA</t>
    <phoneticPr fontId="13" type="noConversion"/>
  </si>
  <si>
    <t>SAUDI ARABIA</t>
    <phoneticPr fontId="13" type="noConversion"/>
  </si>
  <si>
    <t>SAUDI ARABIA</t>
    <phoneticPr fontId="13" type="noConversion"/>
  </si>
  <si>
    <t>△1</t>
    <phoneticPr fontId="13" type="noConversion"/>
  </si>
  <si>
    <t>△2</t>
    <phoneticPr fontId="13" type="noConversion"/>
  </si>
  <si>
    <t>△1</t>
    <phoneticPr fontId="13" type="noConversion"/>
  </si>
  <si>
    <t>▽2</t>
    <phoneticPr fontId="13" type="noConversion"/>
  </si>
  <si>
    <t>△4</t>
    <phoneticPr fontId="13" type="noConversion"/>
  </si>
  <si>
    <t>△3</t>
    <phoneticPr fontId="13" type="noConversion"/>
  </si>
  <si>
    <t>○ ’21년 국내 제약시장규모는 세계 13위(세계 1위 미국)</t>
    <phoneticPr fontId="13" type="noConversion"/>
  </si>
  <si>
    <r>
      <t xml:space="preserve">  </t>
    </r>
    <r>
      <rPr>
        <sz val="11"/>
        <color rgb="FF0000FF"/>
        <rFont val="맑은 고딕"/>
        <family val="3"/>
        <charset val="129"/>
      </rPr>
      <t>- 미국시장 대비 국내 제약시장의 비중은 '21년 3.0%에서</t>
    </r>
    <r>
      <rPr>
        <sz val="11"/>
        <color rgb="FF0000FF"/>
        <rFont val="맑은 고딕"/>
        <family val="3"/>
        <charset val="129"/>
        <scheme val="minor"/>
      </rPr>
      <t xml:space="preserve"> ’25년 3.3%로 확대  </t>
    </r>
    <phoneticPr fontId="13" type="noConversion"/>
  </si>
  <si>
    <r>
      <t xml:space="preserve">○ </t>
    </r>
    <r>
      <rPr>
        <sz val="11"/>
        <color rgb="FF0000FF"/>
        <rFont val="HCI Poppy"/>
        <family val="2"/>
      </rPr>
      <t>2021</t>
    </r>
    <r>
      <rPr>
        <sz val="11"/>
        <color rgb="FF0000FF"/>
        <rFont val="맑은 고딕"/>
        <family val="2"/>
        <scheme val="minor"/>
      </rPr>
      <t xml:space="preserve">년 국내 바이오 관련 </t>
    </r>
    <r>
      <rPr>
        <sz val="11"/>
        <color rgb="FF0000FF"/>
        <rFont val="HCI Poppy"/>
        <family val="2"/>
      </rPr>
      <t xml:space="preserve">NSC </t>
    </r>
    <r>
      <rPr>
        <sz val="11"/>
        <color rgb="FF0000FF"/>
        <rFont val="맑은 고딕"/>
        <family val="2"/>
        <scheme val="minor"/>
      </rPr>
      <t xml:space="preserve">논문은 총 </t>
    </r>
    <r>
      <rPr>
        <sz val="11"/>
        <color rgb="FF0000FF"/>
        <rFont val="맑은 고딕"/>
        <family val="2"/>
      </rPr>
      <t>45</t>
    </r>
    <r>
      <rPr>
        <sz val="11"/>
        <color rgb="FF0000FF"/>
        <rFont val="맑은 고딕"/>
        <family val="2"/>
        <scheme val="minor"/>
      </rPr>
      <t>편</t>
    </r>
    <phoneticPr fontId="13" type="noConversion"/>
  </si>
  <si>
    <r>
      <t xml:space="preserve">○ 최근 국내 바이오 관련 </t>
    </r>
    <r>
      <rPr>
        <sz val="11"/>
        <rFont val="HCI Poppy"/>
        <family val="2"/>
      </rPr>
      <t xml:space="preserve">NSC </t>
    </r>
    <r>
      <rPr>
        <sz val="11"/>
        <rFont val="맑은 고딕"/>
        <family val="2"/>
        <scheme val="minor"/>
      </rPr>
      <t>논문 수는 30편 이상 발표되고 있으며</t>
    </r>
    <r>
      <rPr>
        <sz val="11"/>
        <rFont val="HCI Poppy"/>
        <family val="2"/>
      </rPr>
      <t xml:space="preserve">, </t>
    </r>
    <r>
      <rPr>
        <sz val="11"/>
        <rFont val="맑은 고딕"/>
        <family val="2"/>
        <scheme val="minor"/>
      </rPr>
      <t xml:space="preserve">전체 </t>
    </r>
    <r>
      <rPr>
        <sz val="11"/>
        <rFont val="HCI Poppy"/>
        <family val="2"/>
      </rPr>
      <t>NSC</t>
    </r>
    <r>
      <rPr>
        <sz val="11"/>
        <rFont val="맑은 고딕"/>
        <family val="3"/>
        <charset val="129"/>
        <scheme val="minor"/>
      </rPr>
      <t xml:space="preserve"> </t>
    </r>
    <r>
      <rPr>
        <sz val="11"/>
        <rFont val="맑은 고딕"/>
        <family val="2"/>
        <scheme val="minor"/>
      </rPr>
      <t xml:space="preserve">논문 중 바이오 관련 논문 비중도 절반 수준 유지 </t>
    </r>
    <phoneticPr fontId="13" type="noConversion"/>
  </si>
  <si>
    <r>
      <t>◈ 국내 NSC 논문발표 현황</t>
    </r>
    <r>
      <rPr>
        <sz val="11"/>
        <color rgb="FF0000FF"/>
        <rFont val="맑은 고딕"/>
        <family val="3"/>
        <charset val="129"/>
        <scheme val="minor"/>
      </rPr>
      <t>(2012~2021)</t>
    </r>
    <phoneticPr fontId="13" type="noConversion"/>
  </si>
  <si>
    <t xml:space="preserve">○ 글로벌 임상 파이프라인 개수는 약 35,150개 정도로 집계(Biocentury, 2022.7.12일 기준) </t>
    <phoneticPr fontId="13" type="noConversion"/>
  </si>
  <si>
    <r>
      <t>◈ 글로벌 의료기기 시장</t>
    </r>
    <r>
      <rPr>
        <sz val="11"/>
        <color rgb="FF0000FF"/>
        <rFont val="맑은 고딕"/>
        <family val="3"/>
        <charset val="129"/>
        <scheme val="minor"/>
      </rPr>
      <t>(2014~2019)</t>
    </r>
    <phoneticPr fontId="13" type="noConversion"/>
  </si>
  <si>
    <t>해외 시장규모현황&lt;시장정보&lt;의료기기산업 정보-의료기기산업정보 (khidi.or.kr)</t>
  </si>
  <si>
    <t>○ 글로벌 의료기기 시장은 ’19년 4,094억 달러(연평균 성장률 5.9%)</t>
    <phoneticPr fontId="13" type="noConversion"/>
  </si>
  <si>
    <t xml:space="preserve"> - 대륙별로는 아메리카 지역이 1,985억 달러로 전체의 48.5%를 차지, 유럽 지역 1,147억 달러, 아시아-태평양 지역 856억 달러의 시장을 형성</t>
    <phoneticPr fontId="13" type="noConversion"/>
  </si>
  <si>
    <t>○ 글로벌 의료기기 시장에서 한국은 세계10위(65억 달러)로 세계 의료기기 시장에서 1.6%를 차지</t>
    <phoneticPr fontId="13" type="noConversion"/>
  </si>
  <si>
    <t>의료기기산업 종합정보시스템</t>
    <phoneticPr fontId="13" type="noConversion"/>
  </si>
  <si>
    <t>연평균성장률('15-'19)</t>
    <phoneticPr fontId="13" type="noConversion"/>
  </si>
  <si>
    <t>상위 20개국 합계</t>
  </si>
  <si>
    <t xml:space="preserve">세계시장 </t>
    <phoneticPr fontId="13" type="noConversion"/>
  </si>
  <si>
    <t xml:space="preserve"> - 미국이 1,772억 달러로 시장의 43.3% 점유, 그 뒤로 일본 285억 달러, 독일 284억 달러, 중국 280억 달러 순. 한국은 65억달러 수준(연평균 성장률 6.5%)으로 세계 10위를 차지</t>
    <phoneticPr fontId="13" type="noConversion"/>
  </si>
  <si>
    <t>◈ 국내 의료기기 시장(2017~2021)</t>
    <phoneticPr fontId="13" type="noConversion"/>
  </si>
  <si>
    <r>
      <t>◈ 국내 의료기기 시장</t>
    </r>
    <r>
      <rPr>
        <sz val="11"/>
        <color rgb="FF0000FF"/>
        <rFont val="맑은 고딕"/>
        <family val="3"/>
        <charset val="129"/>
        <scheme val="minor"/>
      </rPr>
      <t>(2017~2021)</t>
    </r>
    <phoneticPr fontId="13" type="noConversion"/>
  </si>
  <si>
    <t>2021년</t>
    <phoneticPr fontId="13" type="noConversion"/>
  </si>
  <si>
    <t>○ 국내 의료기기 시장은 ’21년 9조 1,341억원(연평균 성장률 10.2%)</t>
    <phoneticPr fontId="13" type="noConversion"/>
  </si>
  <si>
    <t>식품의약품안전처, 2021년 의료기기 생산 및 수·출입 실적 통계자료, 2022.4</t>
    <phoneticPr fontId="13" type="noConversion"/>
  </si>
  <si>
    <t>◈ 글로벌 의료기기 기업 매출순위(2021)</t>
    <phoneticPr fontId="13" type="noConversion"/>
  </si>
  <si>
    <t>2021년 매출액</t>
    <phoneticPr fontId="13" type="noConversion"/>
  </si>
  <si>
    <t>2021 Medtech Big 100: The world’s largest medical technology industry companies - Medical Design and Outsourcing</t>
  </si>
  <si>
    <t xml:space="preserve">Siemens Healthineers  </t>
    <phoneticPr fontId="13" type="noConversion"/>
  </si>
  <si>
    <t xml:space="preserve">Boston Scientific  </t>
    <phoneticPr fontId="13" type="noConversion"/>
  </si>
  <si>
    <t xml:space="preserve">Becton, Dickinson  </t>
    <phoneticPr fontId="13" type="noConversion"/>
  </si>
  <si>
    <t>Medical Design &amp; Outsourcing, 2021 Medtech Big 100 : The world’s largest medical technology industry companies, 2021.11</t>
    <phoneticPr fontId="13" type="noConversion"/>
  </si>
  <si>
    <t>○ Medtronic의 2021년 매출액은 301억 달러로 글로벌 의료기기 시장 매출 1위를 차지</t>
    <phoneticPr fontId="13" type="noConversion"/>
  </si>
  <si>
    <t xml:space="preserve"> - Johnson &amp; Johnson은 229억 달러로 2위를 차지</t>
    <phoneticPr fontId="13" type="noConversion"/>
  </si>
  <si>
    <t xml:space="preserve">독일 </t>
    <phoneticPr fontId="13" type="noConversion"/>
  </si>
  <si>
    <t>네델란드</t>
    <phoneticPr fontId="13" type="noConversion"/>
  </si>
  <si>
    <t>Royal Philips</t>
    <phoneticPr fontId="13" type="noConversion"/>
  </si>
  <si>
    <t>Danaher Corporation</t>
    <phoneticPr fontId="13" type="noConversion"/>
  </si>
  <si>
    <t>미국</t>
    <phoneticPr fontId="13" type="noConversion"/>
  </si>
  <si>
    <t>Medline Industries</t>
    <phoneticPr fontId="13" type="noConversion"/>
  </si>
  <si>
    <t>미국</t>
    <phoneticPr fontId="13" type="noConversion"/>
  </si>
  <si>
    <t>GE Healthcare</t>
    <phoneticPr fontId="13" type="noConversion"/>
  </si>
  <si>
    <t>미국</t>
    <phoneticPr fontId="13" type="noConversion"/>
  </si>
  <si>
    <t>Cardinal Health </t>
    <phoneticPr fontId="13" type="noConversion"/>
  </si>
  <si>
    <t>EssilorLuxottica</t>
    <phoneticPr fontId="13" type="noConversion"/>
  </si>
  <si>
    <t>프랑스</t>
    <phoneticPr fontId="13" type="noConversion"/>
  </si>
  <si>
    <t>Stryker Corporation</t>
    <phoneticPr fontId="13" type="noConversion"/>
  </si>
  <si>
    <t>미국</t>
    <phoneticPr fontId="13" type="noConversion"/>
  </si>
  <si>
    <t>Baxter International Inc.</t>
    <phoneticPr fontId="13" type="noConversion"/>
  </si>
  <si>
    <t>미국</t>
    <phoneticPr fontId="13" type="noConversion"/>
  </si>
  <si>
    <t>Henry Schein</t>
    <phoneticPr fontId="13" type="noConversion"/>
  </si>
  <si>
    <t>미국</t>
    <phoneticPr fontId="13" type="noConversion"/>
  </si>
  <si>
    <t>Owens &amp; Minor</t>
    <phoneticPr fontId="13" type="noConversion"/>
  </si>
  <si>
    <t>미국</t>
    <phoneticPr fontId="13" type="noConversion"/>
  </si>
  <si>
    <t>B. Braun Melsungen</t>
    <phoneticPr fontId="13" type="noConversion"/>
  </si>
  <si>
    <t xml:space="preserve">독일 </t>
    <phoneticPr fontId="13" type="noConversion"/>
  </si>
  <si>
    <t>3M Company</t>
    <phoneticPr fontId="13" type="noConversion"/>
  </si>
  <si>
    <t xml:space="preserve">Zimmer Biomet  </t>
    <phoneticPr fontId="13" type="noConversion"/>
  </si>
  <si>
    <t>Alcon</t>
    <phoneticPr fontId="13" type="noConversion"/>
  </si>
  <si>
    <t>스위스</t>
    <phoneticPr fontId="13" type="noConversion"/>
  </si>
  <si>
    <r>
      <t xml:space="preserve">◈ </t>
    </r>
    <r>
      <rPr>
        <b/>
        <i/>
        <sz val="11"/>
        <color rgb="FF0000FF"/>
        <rFont val="맑은 고딕"/>
        <family val="3"/>
        <charset val="129"/>
        <scheme val="minor"/>
      </rPr>
      <t>국내 의료기기 생산액 상위 10개사 현황(2021)</t>
    </r>
    <phoneticPr fontId="13" type="noConversion"/>
  </si>
  <si>
    <t>2020년 규모</t>
    <phoneticPr fontId="13" type="noConversion"/>
  </si>
  <si>
    <t>2020년 비율</t>
    <phoneticPr fontId="13" type="noConversion"/>
  </si>
  <si>
    <t xml:space="preserve">2020년 순위 </t>
    <phoneticPr fontId="13" type="noConversion"/>
  </si>
  <si>
    <t>2021년 규모</t>
    <phoneticPr fontId="13" type="noConversion"/>
  </si>
  <si>
    <t>2021년 비율</t>
    <phoneticPr fontId="13" type="noConversion"/>
  </si>
  <si>
    <t>2021년 순위</t>
    <phoneticPr fontId="13" type="noConversion"/>
  </si>
  <si>
    <t>(주)덴티움 용인공장</t>
    <phoneticPr fontId="52" type="noConversion"/>
  </si>
  <si>
    <t>(주)세라젬</t>
  </si>
  <si>
    <t>(주)바텍</t>
  </si>
  <si>
    <t>○ 2021년 기준 의료기기 상위 10개사의 생산액은 전체 생산액의 44%인 5조 6,912억원</t>
    <phoneticPr fontId="13" type="noConversion"/>
  </si>
  <si>
    <r>
      <t>◈ 글로벌 의료기기 기업 매출순위</t>
    </r>
    <r>
      <rPr>
        <sz val="11"/>
        <color rgb="FF0000FF"/>
        <rFont val="맑은 고딕"/>
        <family val="3"/>
        <charset val="129"/>
        <scheme val="minor"/>
      </rPr>
      <t>(2021)</t>
    </r>
    <phoneticPr fontId="13" type="noConversion"/>
  </si>
  <si>
    <r>
      <t>◈ 국내 의료기기 생산액 상위 10개사 현황</t>
    </r>
    <r>
      <rPr>
        <sz val="11"/>
        <color rgb="FF0000FF"/>
        <rFont val="맑은 고딕"/>
        <family val="3"/>
        <charset val="129"/>
        <scheme val="minor"/>
      </rPr>
      <t>(2021)</t>
    </r>
    <phoneticPr fontId="13" type="noConversion"/>
  </si>
  <si>
    <t xml:space="preserve"> - 오스템임플란트가 1조 6,394억원으로 가장 많은 생산액 달성, 에스디바이오센서는 1조 3,334억원으로 2위(전년대비 177% 성장)</t>
    <phoneticPr fontId="13" type="noConversion"/>
  </si>
  <si>
    <t>◈ 국내 의료기기 등급별(1~4등급) 생산 현황(2018~2021)</t>
    <phoneticPr fontId="13" type="noConversion"/>
  </si>
  <si>
    <r>
      <t>◈ 국내 의료기기 등급별(1~4등급) 생산 현황</t>
    </r>
    <r>
      <rPr>
        <sz val="11"/>
        <color rgb="FF0000FF"/>
        <rFont val="맑은 고딕"/>
        <family val="3"/>
        <charset val="129"/>
        <scheme val="minor"/>
      </rPr>
      <t>(2018~2021)</t>
    </r>
    <phoneticPr fontId="13" type="noConversion"/>
  </si>
  <si>
    <t>2021년 생산액</t>
    <phoneticPr fontId="13" type="noConversion"/>
  </si>
  <si>
    <t>2021년 생산비중</t>
    <phoneticPr fontId="13" type="noConversion"/>
  </si>
  <si>
    <t>○ 2021년 기준, 3등급 제품의 생산액은 6조 499억원으로 전체 생산액의 46.9%를 차지</t>
    <phoneticPr fontId="13" type="noConversion"/>
  </si>
  <si>
    <t xml:space="preserve"> - 1등급 의료기기 제품 생산액 12.7%(1조 6,364억원)</t>
    <phoneticPr fontId="13" type="noConversion"/>
  </si>
  <si>
    <r>
      <rPr>
        <b/>
        <sz val="11"/>
        <color rgb="FFFF0000"/>
        <rFont val="맑은 고딕"/>
        <family val="3"/>
        <charset val="129"/>
      </rPr>
      <t>※</t>
    </r>
    <r>
      <rPr>
        <b/>
        <sz val="11"/>
        <color rgb="FFFF0000"/>
        <rFont val="맑은 고딕"/>
        <family val="2"/>
        <charset val="129"/>
      </rPr>
      <t xml:space="preserve"> </t>
    </r>
    <r>
      <rPr>
        <b/>
        <i/>
        <sz val="11"/>
        <color rgb="FFFF0000"/>
        <rFont val="맑은 고딕"/>
        <family val="2"/>
        <charset val="129"/>
        <scheme val="minor"/>
      </rPr>
      <t>그림 일부 변경</t>
    </r>
    <phoneticPr fontId="13" type="noConversion"/>
  </si>
  <si>
    <r>
      <t>◈ 국내 의료기기 생산액 상위 10개 품목</t>
    </r>
    <r>
      <rPr>
        <sz val="11"/>
        <color rgb="FF0000FF"/>
        <rFont val="맑은 고딕"/>
        <family val="3"/>
        <charset val="129"/>
        <scheme val="minor"/>
      </rPr>
      <t>(2021)</t>
    </r>
    <phoneticPr fontId="13" type="noConversion"/>
  </si>
  <si>
    <t>◈ 국내 의료기기 생산액 상위 10개 품목(2021)</t>
    <phoneticPr fontId="13" type="noConversion"/>
  </si>
  <si>
    <t xml:space="preserve">2020년 생산액 </t>
    <phoneticPr fontId="13" type="noConversion"/>
  </si>
  <si>
    <t xml:space="preserve">2020년 순위 </t>
    <phoneticPr fontId="13" type="noConversion"/>
  </si>
  <si>
    <t>전년대비 증감</t>
    <phoneticPr fontId="13" type="noConversion"/>
  </si>
  <si>
    <t>2021년 생산액</t>
    <phoneticPr fontId="13" type="noConversion"/>
  </si>
  <si>
    <t xml:space="preserve">2021년 순위 </t>
    <phoneticPr fontId="13" type="noConversion"/>
  </si>
  <si>
    <t>고위험성감염체유전자검사시약</t>
  </si>
  <si>
    <t>감염체진단면역검사시약</t>
  </si>
  <si>
    <t>-</t>
  </si>
  <si>
    <t>-</t>
    <phoneticPr fontId="13" type="noConversion"/>
  </si>
  <si>
    <t>고위험성감염체면역검사시약</t>
    <phoneticPr fontId="13" type="noConversion"/>
  </si>
  <si>
    <t xml:space="preserve">○ 2021년 국내 의료기기 제품 중에서 생산액이 가장 상위인 제품은 고위험성감염체면역검사시약(2조 124억원) </t>
    <phoneticPr fontId="13" type="noConversion"/>
  </si>
  <si>
    <t>치과용임플란트고정체</t>
    <phoneticPr fontId="13" type="noConversion"/>
  </si>
  <si>
    <t xml:space="preserve"> - 그 다음은 치과용임플란트고정체(1조 4,446억원)이 차지 </t>
    <phoneticPr fontId="13" type="noConversion"/>
  </si>
  <si>
    <t>◈ 국내 의료기기 수출액 상위 10개 품목(2021)</t>
    <phoneticPr fontId="13" type="noConversion"/>
  </si>
  <si>
    <r>
      <t>◈ 국내 의료기기 수출액 상위 10개 품목</t>
    </r>
    <r>
      <rPr>
        <sz val="11"/>
        <color rgb="FF0000FF"/>
        <rFont val="맑은 고딕"/>
        <family val="3"/>
        <charset val="129"/>
        <scheme val="minor"/>
      </rPr>
      <t>(2021)</t>
    </r>
    <phoneticPr fontId="13" type="noConversion"/>
  </si>
  <si>
    <t>2020년 수출액</t>
    <phoneticPr fontId="13" type="noConversion"/>
  </si>
  <si>
    <t>순위</t>
    <phoneticPr fontId="13" type="noConversion"/>
  </si>
  <si>
    <t>2021년 수출액</t>
    <phoneticPr fontId="13" type="noConversion"/>
  </si>
  <si>
    <t>2021년 순위</t>
    <phoneticPr fontId="13" type="noConversion"/>
  </si>
  <si>
    <t>(단위: 백만달러, %)</t>
    <phoneticPr fontId="13" type="noConversion"/>
  </si>
  <si>
    <t>고위험성감염체면역검사시약</t>
    <phoneticPr fontId="13" type="noConversion"/>
  </si>
  <si>
    <t>고위험성감염체유전자검사시약</t>
    <phoneticPr fontId="13" type="noConversion"/>
  </si>
  <si>
    <t xml:space="preserve"> - 그 다음은 고위험성감염체유전자검사시약으로 9.1억 달러(약 1.2조원)</t>
    <phoneticPr fontId="13" type="noConversion"/>
  </si>
  <si>
    <t xml:space="preserve">○ 국내 의료기기 제품 중에서 수출액이 가장 많은 제품은 고위험성감염체면역검사시약(26.5억 달러, 약 3.4조원) </t>
    <phoneticPr fontId="13" type="noConversion"/>
  </si>
  <si>
    <t>※ 표 내용 추가</t>
    <phoneticPr fontId="13" type="noConversion"/>
  </si>
  <si>
    <t xml:space="preserve">7. 바이오산업 </t>
    <phoneticPr fontId="13" type="noConversion"/>
  </si>
  <si>
    <t>◈ 응용분야별 글로벌 바이오산업 시장 현황 및 전망</t>
    <phoneticPr fontId="13" type="noConversion"/>
  </si>
  <si>
    <t>1. 글로벌 바이오산업 시장 현황은?</t>
    <phoneticPr fontId="13" type="noConversion"/>
  </si>
  <si>
    <t>바이오산업-01</t>
    <phoneticPr fontId="13" type="noConversion"/>
  </si>
  <si>
    <t>바이오산업-01</t>
    <phoneticPr fontId="13" type="noConversion"/>
  </si>
  <si>
    <t>◈ 글로벌 바이오산업 시장 현황 및 전망(2020~2027)</t>
    <phoneticPr fontId="13" type="noConversion"/>
  </si>
  <si>
    <t>(단위 : 백만달러)</t>
    <phoneticPr fontId="13" type="noConversion"/>
  </si>
  <si>
    <t>코로나19 이전</t>
    <phoneticPr fontId="13" type="noConversion"/>
  </si>
  <si>
    <t xml:space="preserve">코로나19 이후 </t>
    <phoneticPr fontId="13" type="noConversion"/>
  </si>
  <si>
    <t>Orion Market Research, Global Biotechnology Market 2021-2027, 2021 ; 생명공학정책연구센터 BiolNdustry 164, 글로벌 바이오산업 시장의 동향과 전망, 2021.10</t>
    <phoneticPr fontId="13" type="noConversion"/>
  </si>
  <si>
    <t xml:space="preserve">○ 글로벌 바이오산업은 코로나19 발생 이후 진단 및 치료 솔루션 수요 증가에 따라 ’20년 
5,041억 달러에서 ’27년 9,114억 달러로 연평균 7.7% 성장할 것으로 전망 </t>
    <phoneticPr fontId="13" type="noConversion"/>
  </si>
  <si>
    <t>바이오산업-02</t>
    <phoneticPr fontId="13" type="noConversion"/>
  </si>
  <si>
    <t>바이오산업-02</t>
    <phoneticPr fontId="13" type="noConversion"/>
  </si>
  <si>
    <t>◈ 응용분야별 글로벌 바이오산업 시장 현황 및 전망</t>
    <phoneticPr fontId="13" type="noConversion"/>
  </si>
  <si>
    <t>CAGR(%)</t>
    <phoneticPr fontId="13" type="noConversion"/>
  </si>
  <si>
    <t>헬스케어</t>
  </si>
  <si>
    <t>산업공정</t>
  </si>
  <si>
    <t>(단위 : 백만달러)</t>
    <phoneticPr fontId="13" type="noConversion"/>
  </si>
  <si>
    <t xml:space="preserve">○ 응용분야별로는 헬스케어 분야가 가장 큰 시장으로 '20년 3,094억 달러(61%)에서 '27년 5,836억 달러(64%)로 성장할 전망 </t>
    <phoneticPr fontId="13" type="noConversion"/>
  </si>
  <si>
    <t>작물생산 및 농업</t>
    <phoneticPr fontId="13" type="noConversion"/>
  </si>
  <si>
    <t>천연자원 및 환경</t>
    <phoneticPr fontId="13" type="noConversion"/>
  </si>
  <si>
    <t>바이오산업-03</t>
    <phoneticPr fontId="13" type="noConversion"/>
  </si>
  <si>
    <t xml:space="preserve">◈ 기술분야별 글로벌 바이오산업 시장 현황 및 전망 </t>
    <phoneticPr fontId="13" type="noConversion"/>
  </si>
  <si>
    <r>
      <rPr>
        <sz val="11"/>
        <color rgb="FF0000FF"/>
        <rFont val="맑은 고딕"/>
        <family val="3"/>
        <charset val="129"/>
      </rPr>
      <t>–</t>
    </r>
    <r>
      <rPr>
        <sz val="9.35"/>
        <color rgb="FF0000FF"/>
        <rFont val="맑은 고딕"/>
        <family val="3"/>
        <charset val="129"/>
      </rPr>
      <t xml:space="preserve"> </t>
    </r>
    <r>
      <rPr>
        <sz val="11"/>
        <color rgb="FF0000FF"/>
        <rFont val="맑은 고딕"/>
        <family val="3"/>
        <charset val="129"/>
        <scheme val="minor"/>
      </rPr>
      <t xml:space="preserve">기타 분야(생물정보학 소프트웨어, 바이오마커 발견을 위한 분석도구의 수요 증가 등)의 연평균 성장률은 10.2%로 가장 빠른 성장이 기대 </t>
    </r>
    <phoneticPr fontId="13" type="noConversion"/>
  </si>
  <si>
    <t>바이오산업-03</t>
    <phoneticPr fontId="13" type="noConversion"/>
  </si>
  <si>
    <t>바이오산업-04</t>
    <phoneticPr fontId="13" type="noConversion"/>
  </si>
  <si>
    <t>세포기반 분석</t>
    <phoneticPr fontId="52" type="noConversion"/>
  </si>
  <si>
    <t>조직 및 재생공학</t>
    <phoneticPr fontId="52" type="noConversion"/>
  </si>
  <si>
    <t>발효</t>
  </si>
  <si>
    <t>나노바이오테크놀로지</t>
    <phoneticPr fontId="52" type="noConversion"/>
  </si>
  <si>
    <t>DNA 시퀀싱</t>
    <phoneticPr fontId="52" type="noConversion"/>
  </si>
  <si>
    <t xml:space="preserve">○ 기술분야별로는 DNA 시퀀싱이 가장 큰 시장으로 '20년 1,789억 달러(35%)에서 '27년 3,554억 달러(39%)로 연평균 9,2%로 성장할 전망 </t>
    <phoneticPr fontId="13" type="noConversion"/>
  </si>
  <si>
    <r>
      <rPr>
        <sz val="11"/>
        <color rgb="FF0000FF"/>
        <rFont val="맑은 고딕"/>
        <family val="3"/>
        <charset val="129"/>
      </rPr>
      <t>–</t>
    </r>
    <r>
      <rPr>
        <sz val="9.35"/>
        <color rgb="FF0000FF"/>
        <rFont val="맑은 고딕"/>
        <family val="3"/>
        <charset val="129"/>
      </rPr>
      <t xml:space="preserve"> 그 뒤로 </t>
    </r>
    <r>
      <rPr>
        <sz val="11"/>
        <color rgb="FF0000FF"/>
        <rFont val="맑은 고딕"/>
        <family val="3"/>
        <charset val="129"/>
      </rPr>
      <t>세포기반분석 시장 규모는 '20년 1,050억 달러에서 '27년 1,804억 달러로 확대될 전망</t>
    </r>
    <phoneticPr fontId="13" type="noConversion"/>
  </si>
  <si>
    <t>바이오산업-04</t>
    <phoneticPr fontId="13" type="noConversion"/>
  </si>
  <si>
    <t xml:space="preserve">◈ 지역별 글로벌 바이오산업 시장 현황 및 전망 </t>
    <phoneticPr fontId="13" type="noConversion"/>
  </si>
  <si>
    <t xml:space="preserve">◈ 지역별 글로벌 바이오산업 시장 현황 및 전망 </t>
    <phoneticPr fontId="13" type="noConversion"/>
  </si>
  <si>
    <t>북미</t>
  </si>
  <si>
    <t>유럽</t>
  </si>
  <si>
    <t>아시아-태평양</t>
  </si>
  <si>
    <t>의약품-01</t>
    <phoneticPr fontId="13" type="noConversion"/>
  </si>
  <si>
    <t>◈ 저분자 의약품 시장 현황 및 전망</t>
    <phoneticPr fontId="13" type="noConversion"/>
  </si>
  <si>
    <t>◈ 바이오 의약품 시장 현황 및 전망</t>
    <phoneticPr fontId="13" type="noConversion"/>
  </si>
  <si>
    <t>1. 글로벌 의약품 시장규모는 어떠한가?</t>
    <phoneticPr fontId="13" type="noConversion"/>
  </si>
  <si>
    <t>◈ 글로벌 의약품 시장 현황 및 전망(2019~2026)</t>
    <phoneticPr fontId="13" type="noConversion"/>
  </si>
  <si>
    <t>◈ 글로벌 의약품 시장 현황 및 전망(2019~2026)</t>
    <phoneticPr fontId="13" type="noConversion"/>
  </si>
  <si>
    <t>의약품-01</t>
    <phoneticPr fontId="13" type="noConversion"/>
  </si>
  <si>
    <t>의약품-02</t>
    <phoneticPr fontId="13" type="noConversion"/>
  </si>
  <si>
    <t>◈ 저분자 의약품 시장 현황 및 전망</t>
    <phoneticPr fontId="13" type="noConversion"/>
  </si>
  <si>
    <t>의약품-02</t>
    <phoneticPr fontId="13" type="noConversion"/>
  </si>
  <si>
    <t xml:space="preserve">Frost&amp;Sullivan, Global Pharmaceuticals Outlook 2022, 2022.03; 생명공학정책연구센터 BiolNdustry 168, 글로벌 의약품 시장 현황 및 전망, 2022.3 </t>
    <phoneticPr fontId="13" type="noConversion"/>
  </si>
  <si>
    <t xml:space="preserve"> 2026년 </t>
    <phoneticPr fontId="13" type="noConversion"/>
  </si>
  <si>
    <t xml:space="preserve"> 2026년 </t>
    <phoneticPr fontId="13" type="noConversion"/>
  </si>
  <si>
    <t>(단위 : 십억달러, %)</t>
    <phoneticPr fontId="13" type="noConversion"/>
  </si>
  <si>
    <t>CAGR('21~'26)</t>
    <phoneticPr fontId="13" type="noConversion"/>
  </si>
  <si>
    <t>◈ 바이오 의약품 시장 현황 및 전망</t>
    <phoneticPr fontId="13" type="noConversion"/>
  </si>
  <si>
    <t>시장규모</t>
    <phoneticPr fontId="13" type="noConversion"/>
  </si>
  <si>
    <t>의약품-03</t>
    <phoneticPr fontId="13" type="noConversion"/>
  </si>
  <si>
    <t>의약품-03</t>
    <phoneticPr fontId="13" type="noConversion"/>
  </si>
  <si>
    <t>의약품-04</t>
    <phoneticPr fontId="13" type="noConversion"/>
  </si>
  <si>
    <t>(단위 : 십억달러, %)</t>
    <phoneticPr fontId="13" type="noConversion"/>
  </si>
  <si>
    <t>* 부족인원 대비 부족인원과 현원을 합산한 필요인원의 비율</t>
    <phoneticPr fontId="13" type="noConversion"/>
  </si>
  <si>
    <t xml:space="preserve">○ 2021년 기준 전체 의약품 시장의 63.9%(9,136억 달러)를 저분자 의약품이 차지하고 있음. 연평균 4.6%의 성장률로 성장하여  2026년에는 1조 1,427억 달러(61.8%)에 이를 것으로 예상  </t>
    <phoneticPr fontId="13" type="noConversion"/>
  </si>
  <si>
    <r>
      <t xml:space="preserve">○ 글로벌 바이오의약품 시장은 </t>
    </r>
    <r>
      <rPr>
        <sz val="11"/>
        <color theme="1"/>
        <rFont val="HCI Poppy"/>
        <family val="2"/>
      </rPr>
      <t>2021</t>
    </r>
    <r>
      <rPr>
        <sz val="11"/>
        <color theme="1"/>
        <rFont val="맑은 고딕"/>
        <family val="2"/>
        <scheme val="minor"/>
      </rPr>
      <t xml:space="preserve">년 </t>
    </r>
    <r>
      <rPr>
        <sz val="11"/>
        <color theme="1"/>
        <rFont val="맑은 고딕"/>
        <family val="2"/>
      </rPr>
      <t>5,157</t>
    </r>
    <r>
      <rPr>
        <sz val="11"/>
        <color theme="1"/>
        <rFont val="맑은 고딕"/>
        <family val="2"/>
        <scheme val="minor"/>
      </rPr>
      <t xml:space="preserve">억 달러에서 연평균 </t>
    </r>
    <r>
      <rPr>
        <sz val="11"/>
        <color theme="1"/>
        <rFont val="맑은 고딕"/>
        <family val="2"/>
      </rPr>
      <t>6.5</t>
    </r>
    <r>
      <rPr>
        <sz val="11"/>
        <color theme="1"/>
        <rFont val="HCI Poppy"/>
        <family val="2"/>
      </rPr>
      <t>%</t>
    </r>
    <r>
      <rPr>
        <sz val="11"/>
        <color theme="1"/>
        <rFont val="맑은 고딕"/>
        <family val="2"/>
        <scheme val="minor"/>
      </rPr>
      <t xml:space="preserve">로 성장하여 </t>
    </r>
    <r>
      <rPr>
        <sz val="11"/>
        <color theme="1"/>
        <rFont val="HCI Poppy"/>
        <family val="2"/>
      </rPr>
      <t>2026</t>
    </r>
    <r>
      <rPr>
        <sz val="11"/>
        <color theme="1"/>
        <rFont val="맑은 고딕"/>
        <family val="2"/>
        <scheme val="minor"/>
      </rPr>
      <t>년에는7,052억 달러 규모에 이를 전망. 전체 의약품 내 비중은 2021년 36.1%에서 2026년 38.2%로 확대될 전망</t>
    </r>
    <phoneticPr fontId="13" type="noConversion"/>
  </si>
  <si>
    <t>2026년</t>
    <phoneticPr fontId="13" type="noConversion"/>
  </si>
  <si>
    <t>치료영역</t>
    <phoneticPr fontId="13" type="noConversion"/>
  </si>
  <si>
    <t>Anti-Rheumatic Drugs</t>
  </si>
  <si>
    <t>Antiviral Drugs</t>
  </si>
  <si>
    <t>Dermatological Drugs</t>
    <phoneticPr fontId="13" type="noConversion"/>
  </si>
  <si>
    <t>Immunosuppressants</t>
  </si>
  <si>
    <t>Oncology Drugs</t>
  </si>
  <si>
    <t>Other Therapeutic Areas</t>
  </si>
  <si>
    <t>Vaccines</t>
  </si>
  <si>
    <t xml:space="preserve">합계 </t>
    <phoneticPr fontId="13" type="noConversion"/>
  </si>
  <si>
    <t>2022년</t>
    <phoneticPr fontId="13" type="noConversion"/>
  </si>
  <si>
    <t xml:space="preserve">○ 치료영역별로는 종양 부분이 가장 높은 점유율(18%)을 차지할 것으로 전망(2022년 기준). 혁신적인 치료제 도입이 예상되어 2026년에는 23.2%로 점유율이 증가할 것으로 예상 </t>
    <phoneticPr fontId="13" type="noConversion"/>
  </si>
  <si>
    <t>Anti-Diabetes Drugs</t>
    <phoneticPr fontId="13" type="noConversion"/>
  </si>
  <si>
    <t xml:space="preserve">◈ 주요 치료영역별 현황 </t>
    <phoneticPr fontId="13" type="noConversion"/>
  </si>
  <si>
    <t>9. 합성생물학</t>
    <phoneticPr fontId="13" type="noConversion"/>
  </si>
  <si>
    <t xml:space="preserve"> - 그 뒤로는 백신 7.3%, 항당뇨제 5.3%, 항류마티스제 5.0%, 면역억제제 4.2%, 항바이러스제 3.7% 순</t>
    <phoneticPr fontId="13" type="noConversion"/>
  </si>
  <si>
    <t xml:space="preserve">◈ 주요 치료영역별 현황 </t>
    <phoneticPr fontId="13" type="noConversion"/>
  </si>
  <si>
    <t>◈ 주요 도구별 시장 현황 및 전망</t>
    <phoneticPr fontId="13" type="noConversion"/>
  </si>
  <si>
    <t xml:space="preserve">◈ 주요 기술별 시장 현황 및 전망 </t>
    <phoneticPr fontId="13" type="noConversion"/>
  </si>
  <si>
    <t>◈ 응용분야별 시장 현황 및 전망</t>
    <phoneticPr fontId="13" type="noConversion"/>
  </si>
  <si>
    <t>◈ 지역별 합성생물학 시장 현황 및 전망</t>
    <phoneticPr fontId="13" type="noConversion"/>
  </si>
  <si>
    <t>합성생물학-01</t>
    <phoneticPr fontId="13" type="noConversion"/>
  </si>
  <si>
    <t>합성생물학-01</t>
    <phoneticPr fontId="13" type="noConversion"/>
  </si>
  <si>
    <t>합성생물학-03</t>
  </si>
  <si>
    <t xml:space="preserve">Frost&amp;Sullivan, Global Pharmaceuticals Outlook 2022, 2022.03; 생명공학정책연구센터 BiolNdustry 168, 글로벌 의약품 시장 현황 및 전망, 2022.3 </t>
    <phoneticPr fontId="13" type="noConversion"/>
  </si>
  <si>
    <t>합성생물학-02</t>
    <phoneticPr fontId="13" type="noConversion"/>
  </si>
  <si>
    <t>합성생물학-02</t>
    <phoneticPr fontId="13" type="noConversion"/>
  </si>
  <si>
    <t xml:space="preserve">2018년 </t>
    <phoneticPr fontId="13" type="noConversion"/>
  </si>
  <si>
    <t>◈ 주요 도구별 시장 현황 및 전망</t>
    <phoneticPr fontId="13" type="noConversion"/>
  </si>
  <si>
    <t>나노바이오하이브리드</t>
    <phoneticPr fontId="13" type="noConversion"/>
  </si>
  <si>
    <t>이종핵산</t>
    <phoneticPr fontId="13" type="noConversion"/>
  </si>
  <si>
    <t>복제기술키트</t>
    <phoneticPr fontId="13" type="noConversion"/>
  </si>
  <si>
    <t>섀시 유기체</t>
    <phoneticPr fontId="13" type="noConversion"/>
  </si>
  <si>
    <t>올리고뉴클레오타이드</t>
    <phoneticPr fontId="13" type="noConversion"/>
  </si>
  <si>
    <t>효소</t>
    <phoneticPr fontId="13" type="noConversion"/>
  </si>
  <si>
    <t xml:space="preserve">Frost&amp;Sullivan, Emerging Opportunities in Synthetic Biology Platforms, 2019.3; 생명공학정책연구센터 BiolNdustry 163, 합생생물학 플랫폼의 시장 현황 및 전망, 2021.9 </t>
    <phoneticPr fontId="13" type="noConversion"/>
  </si>
  <si>
    <t xml:space="preserve">◈  주요 기술별 시장 현황 및 전망 </t>
    <phoneticPr fontId="13" type="noConversion"/>
  </si>
  <si>
    <t>합성생물학-03</t>
    <phoneticPr fontId="13" type="noConversion"/>
  </si>
  <si>
    <t>합성생물학-03</t>
    <phoneticPr fontId="13" type="noConversion"/>
  </si>
  <si>
    <t>(단위 : 십억달러, %)</t>
    <phoneticPr fontId="13" type="noConversion"/>
  </si>
  <si>
    <t>측정 및 모델링</t>
  </si>
  <si>
    <t>부위 지정 돌연변이 유발</t>
  </si>
  <si>
    <t>복제 및 시퀀싱</t>
  </si>
  <si>
    <t>차세대 시퀀싱</t>
  </si>
  <si>
    <t>게놈 공학 및 편집</t>
    <phoneticPr fontId="13" type="noConversion"/>
  </si>
  <si>
    <t>유전자 합성</t>
  </si>
  <si>
    <t>합성생물학-04</t>
    <phoneticPr fontId="13" type="noConversion"/>
  </si>
  <si>
    <t>합성생물학-04</t>
    <phoneticPr fontId="13" type="noConversion"/>
  </si>
  <si>
    <t xml:space="preserve">○ 2018년 기준 올리고뉴클레오타이드(30.9%)와 섀시 유기체(26.0%) 시장이 가장 높은 큰 시장을 형성하고 있으며, 20% 이상의 높은 연평균성장률로 성장할 전망 </t>
    <phoneticPr fontId="13" type="noConversion"/>
  </si>
  <si>
    <t>○ 유전자합성 분야가 가장 큰 시장(2018년 기준 26.9%)을 형성하고 있으며, 게놈 공학 및 편집 기술은 가장 높은 성장률(24.4%)로 성장할 것으로 기대</t>
    <phoneticPr fontId="13" type="noConversion"/>
  </si>
  <si>
    <t>◈ 응용분야별 시장 현황 및 전망</t>
    <phoneticPr fontId="13" type="noConversion"/>
  </si>
  <si>
    <t>(단위 : 십억달러, %)</t>
    <phoneticPr fontId="13" type="noConversion"/>
  </si>
  <si>
    <t>마이크로/나노기술</t>
    <phoneticPr fontId="13" type="noConversion"/>
  </si>
  <si>
    <t>환경</t>
    <phoneticPr fontId="13" type="noConversion"/>
  </si>
  <si>
    <t>생물보안</t>
    <phoneticPr fontId="13" type="noConversion"/>
  </si>
  <si>
    <t>농업</t>
    <phoneticPr fontId="13" type="noConversion"/>
  </si>
  <si>
    <t>재생에너지</t>
    <phoneticPr fontId="13" type="noConversion"/>
  </si>
  <si>
    <t>스마트 테라퓨틱스</t>
    <phoneticPr fontId="13" type="noConversion"/>
  </si>
  <si>
    <t>합성생물학-05</t>
    <phoneticPr fontId="13" type="noConversion"/>
  </si>
  <si>
    <t>합성생물학-04</t>
    <phoneticPr fontId="13" type="noConversion"/>
  </si>
  <si>
    <t>합성생물학-05</t>
    <phoneticPr fontId="13" type="noConversion"/>
  </si>
  <si>
    <t xml:space="preserve">○ 합성생물학 산업은 스마트 테라퓨틱스(30.9%)와 새로운 재생에너지(28.1%) 개발에 집중되어 있으며, 이들 분야는 20% 이상의 높은 성장률로 성장할 것으로 전망 </t>
    <phoneticPr fontId="13" type="noConversion"/>
  </si>
  <si>
    <t>◈ 지역별 합성생물학 시장 현황 및 전망</t>
    <phoneticPr fontId="13" type="noConversion"/>
  </si>
  <si>
    <t>북미</t>
    <phoneticPr fontId="13" type="noConversion"/>
  </si>
  <si>
    <t>유럽</t>
    <phoneticPr fontId="13" type="noConversion"/>
  </si>
  <si>
    <t>아시아-태평양</t>
    <phoneticPr fontId="13" type="noConversion"/>
  </si>
  <si>
    <t>그외 국가</t>
    <phoneticPr fontId="13" type="noConversion"/>
  </si>
  <si>
    <t xml:space="preserve">○ 북미 지역이 47.4%(2,388억 달러)로 가장 큰 비중을 차지. 그 다음으로 유럽 25.8%(1,299억 달러), 아시아-태평양 21.6%(1,086억 달러), 기타 순으로 시장규모 형성 </t>
    <phoneticPr fontId="13" type="noConversion"/>
  </si>
  <si>
    <r>
      <t xml:space="preserve">○ 북미 </t>
    </r>
    <r>
      <rPr>
        <sz val="11"/>
        <color theme="1"/>
        <rFont val="맑은 고딕"/>
        <family val="2"/>
        <scheme val="minor"/>
      </rPr>
      <t>지역이</t>
    </r>
    <r>
      <rPr>
        <sz val="11"/>
        <color theme="1"/>
        <rFont val="맑은 고딕"/>
        <family val="2"/>
        <scheme val="minor"/>
      </rPr>
      <t xml:space="preserve"> 39.1%(2018년 16.7억</t>
    </r>
    <r>
      <rPr>
        <sz val="11"/>
        <color theme="1"/>
        <rFont val="맑은 고딕"/>
        <family val="2"/>
        <scheme val="minor"/>
      </rPr>
      <t>달러</t>
    </r>
    <r>
      <rPr>
        <sz val="11"/>
        <color theme="1"/>
        <rFont val="맑은 고딕"/>
        <family val="2"/>
        <scheme val="minor"/>
      </rPr>
      <t>)</t>
    </r>
    <r>
      <rPr>
        <sz val="11"/>
        <color theme="1"/>
        <rFont val="맑은 고딕"/>
        <family val="2"/>
        <scheme val="minor"/>
      </rPr>
      <t>로</t>
    </r>
    <r>
      <rPr>
        <sz val="11"/>
        <color theme="1"/>
        <rFont val="맑은 고딕"/>
        <family val="2"/>
        <scheme val="minor"/>
      </rPr>
      <t xml:space="preserve"> </t>
    </r>
    <r>
      <rPr>
        <sz val="11"/>
        <color theme="1"/>
        <rFont val="맑은 고딕"/>
        <family val="2"/>
        <scheme val="minor"/>
      </rPr>
      <t>가장</t>
    </r>
    <r>
      <rPr>
        <sz val="11"/>
        <color theme="1"/>
        <rFont val="맑은 고딕"/>
        <family val="2"/>
        <scheme val="minor"/>
      </rPr>
      <t xml:space="preserve"> </t>
    </r>
    <r>
      <rPr>
        <sz val="11"/>
        <color theme="1"/>
        <rFont val="맑은 고딕"/>
        <family val="2"/>
        <scheme val="minor"/>
      </rPr>
      <t>큰</t>
    </r>
    <r>
      <rPr>
        <sz val="11"/>
        <color theme="1"/>
        <rFont val="맑은 고딕"/>
        <family val="2"/>
        <scheme val="minor"/>
      </rPr>
      <t xml:space="preserve"> </t>
    </r>
    <r>
      <rPr>
        <sz val="11"/>
        <color theme="1"/>
        <rFont val="맑은 고딕"/>
        <family val="2"/>
        <scheme val="minor"/>
      </rPr>
      <t>비중을</t>
    </r>
    <r>
      <rPr>
        <sz val="11"/>
        <color theme="1"/>
        <rFont val="맑은 고딕"/>
        <family val="2"/>
        <scheme val="minor"/>
      </rPr>
      <t xml:space="preserve"> </t>
    </r>
    <r>
      <rPr>
        <sz val="11"/>
        <color theme="1"/>
        <rFont val="맑은 고딕"/>
        <family val="2"/>
        <scheme val="minor"/>
      </rPr>
      <t>차지</t>
    </r>
    <r>
      <rPr>
        <sz val="11"/>
        <color theme="1"/>
        <rFont val="맑은 고딕"/>
        <family val="2"/>
        <scheme val="minor"/>
      </rPr>
      <t xml:space="preserve">. </t>
    </r>
    <r>
      <rPr>
        <sz val="11"/>
        <color theme="1"/>
        <rFont val="맑은 고딕"/>
        <family val="2"/>
        <scheme val="minor"/>
      </rPr>
      <t>그</t>
    </r>
    <r>
      <rPr>
        <sz val="11"/>
        <color theme="1"/>
        <rFont val="맑은 고딕"/>
        <family val="2"/>
        <scheme val="minor"/>
      </rPr>
      <t xml:space="preserve"> </t>
    </r>
    <r>
      <rPr>
        <sz val="11"/>
        <color theme="1"/>
        <rFont val="맑은 고딕"/>
        <family val="2"/>
        <scheme val="minor"/>
      </rPr>
      <t>다음으로</t>
    </r>
    <r>
      <rPr>
        <sz val="11"/>
        <color theme="1"/>
        <rFont val="맑은 고딕"/>
        <family val="2"/>
        <scheme val="minor"/>
      </rPr>
      <t xml:space="preserve"> </t>
    </r>
    <r>
      <rPr>
        <sz val="11"/>
        <color theme="1"/>
        <rFont val="맑은 고딕"/>
        <family val="2"/>
        <scheme val="minor"/>
      </rPr>
      <t>유럽</t>
    </r>
    <r>
      <rPr>
        <sz val="11"/>
        <color theme="1"/>
        <rFont val="맑은 고딕"/>
        <family val="2"/>
        <scheme val="minor"/>
      </rPr>
      <t xml:space="preserve"> 33.9%(14.5</t>
    </r>
    <r>
      <rPr>
        <sz val="11"/>
        <color theme="1"/>
        <rFont val="맑은 고딕"/>
        <family val="2"/>
        <scheme val="minor"/>
      </rPr>
      <t>억달러</t>
    </r>
    <r>
      <rPr>
        <sz val="11"/>
        <color theme="1"/>
        <rFont val="맑은 고딕"/>
        <family val="2"/>
        <scheme val="minor"/>
      </rPr>
      <t xml:space="preserve">), </t>
    </r>
    <r>
      <rPr>
        <sz val="11"/>
        <color theme="1"/>
        <rFont val="맑은 고딕"/>
        <family val="2"/>
        <scheme val="minor"/>
      </rPr>
      <t>아시아</t>
    </r>
    <r>
      <rPr>
        <sz val="11"/>
        <color theme="1"/>
        <rFont val="맑은 고딕"/>
        <family val="2"/>
        <scheme val="minor"/>
      </rPr>
      <t>-</t>
    </r>
    <r>
      <rPr>
        <sz val="11"/>
        <color theme="1"/>
        <rFont val="맑은 고딕"/>
        <family val="2"/>
        <scheme val="minor"/>
      </rPr>
      <t>태평양</t>
    </r>
    <r>
      <rPr>
        <sz val="11"/>
        <color theme="1"/>
        <rFont val="맑은 고딕"/>
        <family val="2"/>
        <scheme val="minor"/>
      </rPr>
      <t xml:space="preserve"> 17.1%(7.3</t>
    </r>
    <r>
      <rPr>
        <sz val="11"/>
        <color theme="1"/>
        <rFont val="맑은 고딕"/>
        <family val="2"/>
        <scheme val="minor"/>
      </rPr>
      <t>억달러</t>
    </r>
    <r>
      <rPr>
        <sz val="11"/>
        <color theme="1"/>
        <rFont val="맑은 고딕"/>
        <family val="2"/>
        <scheme val="minor"/>
      </rPr>
      <t>), 그외 국가</t>
    </r>
    <r>
      <rPr>
        <sz val="11"/>
        <color theme="1"/>
        <rFont val="맑은 고딕"/>
        <family val="2"/>
        <scheme val="minor"/>
      </rPr>
      <t xml:space="preserve"> </t>
    </r>
    <r>
      <rPr>
        <sz val="11"/>
        <color theme="1"/>
        <rFont val="맑은 고딕"/>
        <family val="2"/>
        <scheme val="minor"/>
      </rPr>
      <t>순으로</t>
    </r>
    <r>
      <rPr>
        <sz val="11"/>
        <color theme="1"/>
        <rFont val="맑은 고딕"/>
        <family val="2"/>
        <scheme val="minor"/>
      </rPr>
      <t xml:space="preserve"> </t>
    </r>
    <r>
      <rPr>
        <sz val="11"/>
        <color theme="1"/>
        <rFont val="맑은 고딕"/>
        <family val="2"/>
        <scheme val="minor"/>
      </rPr>
      <t>시장규모</t>
    </r>
    <r>
      <rPr>
        <sz val="11"/>
        <color theme="1"/>
        <rFont val="맑은 고딕"/>
        <family val="2"/>
        <scheme val="minor"/>
      </rPr>
      <t xml:space="preserve"> </t>
    </r>
    <r>
      <rPr>
        <sz val="11"/>
        <color theme="1"/>
        <rFont val="맑은 고딕"/>
        <family val="2"/>
        <scheme val="minor"/>
      </rPr>
      <t>형성</t>
    </r>
    <r>
      <rPr>
        <sz val="11"/>
        <color theme="1"/>
        <rFont val="맑은 고딕"/>
        <family val="2"/>
        <scheme val="minor"/>
      </rPr>
      <t xml:space="preserve"> </t>
    </r>
    <phoneticPr fontId="13" type="noConversion"/>
  </si>
  <si>
    <t>10. 체외진단</t>
    <phoneticPr fontId="13" type="noConversion"/>
  </si>
  <si>
    <t>10. 체외진단</t>
    <phoneticPr fontId="13" type="noConversion"/>
  </si>
  <si>
    <t xml:space="preserve">◈ 위크플로우(작업)별 시장 현황 및 전망 </t>
    <phoneticPr fontId="13" type="noConversion"/>
  </si>
  <si>
    <t>1.합성생물학 시장규모는 어떠한가?</t>
    <phoneticPr fontId="13" type="noConversion"/>
  </si>
  <si>
    <t>1. 체외진단 시장규모는 어떠한가?</t>
    <phoneticPr fontId="13" type="noConversion"/>
  </si>
  <si>
    <t xml:space="preserve">◈ 체외진단 기술별 시장 현황 및 전망 </t>
    <phoneticPr fontId="13" type="noConversion"/>
  </si>
  <si>
    <t xml:space="preserve">◈ 지역별 체외진단 시장 현황 및 전망 </t>
    <phoneticPr fontId="13" type="noConversion"/>
  </si>
  <si>
    <t>제목</t>
    <phoneticPr fontId="13" type="noConversion"/>
  </si>
  <si>
    <t>체외진단-01</t>
    <phoneticPr fontId="13" type="noConversion"/>
  </si>
  <si>
    <t xml:space="preserve">Frost&amp;Sullivan, Emerging Opportunities in Synthetic Biology Platforms, 2019.3; 생명공학정책연구센터 BiolNdustry 163, 합생생물학 플랫폼의 시장 현황 및 전망, 2021.9 </t>
    <phoneticPr fontId="13" type="noConversion"/>
  </si>
  <si>
    <t xml:space="preserve">Frost &amp; Sullivan, Global In Vitro Diagnostics Market Outlook 2021, 2021.9; 생명공학정책연구센터 BiolNdustry 165, 글로벌 체외진단 시장 현황 및 전망, 2021.11 </t>
    <phoneticPr fontId="13" type="noConversion"/>
  </si>
  <si>
    <t xml:space="preserve">◈  체외진단 기술별 시장 현황 및 전망 </t>
    <phoneticPr fontId="13" type="noConversion"/>
  </si>
  <si>
    <t>체외진단-02</t>
  </si>
  <si>
    <t>체외진단-02</t>
    <phoneticPr fontId="13" type="noConversion"/>
  </si>
  <si>
    <t>체외진단-02</t>
    <phoneticPr fontId="13" type="noConversion"/>
  </si>
  <si>
    <t>체외진단-03</t>
  </si>
  <si>
    <t>체외진단-04</t>
  </si>
  <si>
    <t>체외진단-05</t>
  </si>
  <si>
    <t>체외진단-06</t>
  </si>
  <si>
    <t>체외진단-07</t>
  </si>
  <si>
    <t>체외진단-08</t>
  </si>
  <si>
    <t>체외진단-09</t>
  </si>
  <si>
    <t>체외진단-10</t>
  </si>
  <si>
    <t>(단위 : 십억달러, %)</t>
    <phoneticPr fontId="13" type="noConversion"/>
  </si>
  <si>
    <t>임상면역분석</t>
    <phoneticPr fontId="13" type="noConversion"/>
  </si>
  <si>
    <t>자가모니터링</t>
    <phoneticPr fontId="13" type="noConversion"/>
  </si>
  <si>
    <t>현장테스트</t>
    <phoneticPr fontId="13" type="noConversion"/>
  </si>
  <si>
    <t>분자진단</t>
    <phoneticPr fontId="13" type="noConversion"/>
  </si>
  <si>
    <t>임상미생물학</t>
    <phoneticPr fontId="13" type="noConversion"/>
  </si>
  <si>
    <t>조직진단</t>
    <phoneticPr fontId="13" type="noConversion"/>
  </si>
  <si>
    <t>혈액학</t>
    <phoneticPr fontId="13" type="noConversion"/>
  </si>
  <si>
    <t>지혈</t>
    <phoneticPr fontId="13" type="noConversion"/>
  </si>
  <si>
    <t>기타</t>
    <phoneticPr fontId="13" type="noConversion"/>
  </si>
  <si>
    <t>2019년</t>
    <phoneticPr fontId="13" type="noConversion"/>
  </si>
  <si>
    <t>CAGR('20~'25)</t>
    <phoneticPr fontId="13" type="noConversion"/>
  </si>
  <si>
    <t xml:space="preserve">◈ 위크플로우(작업)별 시장 현황 및 전망 </t>
    <phoneticPr fontId="13" type="noConversion"/>
  </si>
  <si>
    <t>체외진단-03</t>
    <phoneticPr fontId="13" type="noConversion"/>
  </si>
  <si>
    <t>체외진단-03</t>
    <phoneticPr fontId="13" type="noConversion"/>
  </si>
  <si>
    <t>체외진단-04</t>
    <phoneticPr fontId="13" type="noConversion"/>
  </si>
  <si>
    <t>제목</t>
    <phoneticPr fontId="13" type="noConversion"/>
  </si>
  <si>
    <t>분산테스트</t>
    <phoneticPr fontId="13" type="noConversion"/>
  </si>
  <si>
    <t>주변기기테스트</t>
    <phoneticPr fontId="13" type="noConversion"/>
  </si>
  <si>
    <t>중앙집중식</t>
    <phoneticPr fontId="13" type="noConversion"/>
  </si>
  <si>
    <t xml:space="preserve">◈ 지역별 체외진단 시장 현황 및 전망 </t>
    <phoneticPr fontId="13" type="noConversion"/>
  </si>
  <si>
    <t>체외진단-04</t>
    <phoneticPr fontId="13" type="noConversion"/>
  </si>
  <si>
    <t>북아메리카</t>
    <phoneticPr fontId="13" type="noConversion"/>
  </si>
  <si>
    <t>유럽</t>
    <phoneticPr fontId="13" type="noConversion"/>
  </si>
  <si>
    <t>아시아-태평양</t>
    <phoneticPr fontId="13" type="noConversion"/>
  </si>
  <si>
    <t>그외 국가</t>
    <phoneticPr fontId="13" type="noConversion"/>
  </si>
  <si>
    <r>
      <t xml:space="preserve">○ 글로벌 합성생물학 시장은 </t>
    </r>
    <r>
      <rPr>
        <sz val="11"/>
        <color rgb="FF0000FF"/>
        <rFont val="HCI Poppy"/>
        <family val="2"/>
      </rPr>
      <t>2018</t>
    </r>
    <r>
      <rPr>
        <sz val="11"/>
        <color rgb="FF0000FF"/>
        <rFont val="맑은 고딕"/>
        <family val="2"/>
        <scheme val="minor"/>
      </rPr>
      <t>년 42.7억달러에서 연평균 19.7</t>
    </r>
    <r>
      <rPr>
        <sz val="11"/>
        <color rgb="FF0000FF"/>
        <rFont val="HCI Poppy"/>
        <family val="2"/>
      </rPr>
      <t>%</t>
    </r>
    <r>
      <rPr>
        <sz val="11"/>
        <color rgb="FF0000FF"/>
        <rFont val="맑은 고딕"/>
        <family val="2"/>
        <scheme val="minor"/>
      </rPr>
      <t xml:space="preserve">로 성장하여 </t>
    </r>
    <r>
      <rPr>
        <sz val="11"/>
        <color rgb="FF0000FF"/>
        <rFont val="HCI Poppy"/>
        <family val="2"/>
      </rPr>
      <t>2023</t>
    </r>
    <r>
      <rPr>
        <sz val="11"/>
        <color rgb="FF0000FF"/>
        <rFont val="맑은 고딕"/>
        <family val="2"/>
        <scheme val="minor"/>
      </rPr>
      <t>년 104.9억달러로 성장할 전망</t>
    </r>
    <phoneticPr fontId="13" type="noConversion"/>
  </si>
  <si>
    <t>2019년</t>
    <phoneticPr fontId="13" type="noConversion"/>
  </si>
  <si>
    <t>2020년</t>
    <phoneticPr fontId="13" type="noConversion"/>
  </si>
  <si>
    <t>(단위 : 십억달러, %)</t>
    <phoneticPr fontId="13" type="noConversion"/>
  </si>
  <si>
    <t>○ 글로벌 체외진단 시장은 2020년 859억달러에서 연평균 6.7%로 성장하여 2025년 1,188억달러로 성장할 전망</t>
    <phoneticPr fontId="13" type="noConversion"/>
  </si>
  <si>
    <t xml:space="preserve">○ 임상면역분석 기술의 2020년 매출은 244억 달러로 체외진단 시장에서 가장 큰 수익을 기록, 연평균 8%로 증가하여 2025년까지 359억 달러로 성장이 예상  </t>
    <phoneticPr fontId="13" type="noConversion"/>
  </si>
  <si>
    <r>
      <rPr>
        <sz val="11"/>
        <color rgb="FF0000FF"/>
        <rFont val="맑은 고딕"/>
        <family val="3"/>
        <charset val="129"/>
      </rPr>
      <t xml:space="preserve">– </t>
    </r>
    <r>
      <rPr>
        <sz val="11"/>
        <color rgb="FF0000FF"/>
        <rFont val="맑은 고딕"/>
        <family val="3"/>
        <charset val="129"/>
        <scheme val="minor"/>
      </rPr>
      <t xml:space="preserve">코로나19 팬데믹 상황에 대한 수요를 고려하면 분자진단과 현장테스트 기술 분야는 빠르게 성장할 것으로 전망 </t>
    </r>
    <phoneticPr fontId="13" type="noConversion"/>
  </si>
  <si>
    <t xml:space="preserve">○ 2020년 기준 워크플로우별 시장 현황은 중앙집중식이 절반 가량(48%)를 차지하고 있으며, 분산테스트 30%, 주변기기테스트 22%를 차지하고 있음 </t>
    <phoneticPr fontId="13" type="noConversion"/>
  </si>
  <si>
    <t xml:space="preserve">○ 북아메리카 지역이 37.5%(2020년 322.2억달러)로 가장 큰 비중을 차지. 그 다음으로 유럽 24.5%(210억달러), 아시아-태평양 22.90%(189억달러), 그외 국가 16.0% 순으로 시장규모 형성 </t>
    <phoneticPr fontId="13" type="noConversion"/>
  </si>
  <si>
    <t>11.헬스케어 디지털 트윈</t>
    <phoneticPr fontId="13" type="noConversion"/>
  </si>
  <si>
    <t xml:space="preserve">11헬스케어 디지털 트윈 </t>
    <phoneticPr fontId="13" type="noConversion"/>
  </si>
  <si>
    <t xml:space="preserve">◈ 미국의 디지털 트윈 분야별 시장 현황 및 전망 </t>
    <phoneticPr fontId="13" type="noConversion"/>
  </si>
  <si>
    <t>1. 헬스케어 디지털 트윈 시장규모는 어떠한가?</t>
    <phoneticPr fontId="13" type="noConversion"/>
  </si>
  <si>
    <t>헬스케어 디지털 트윈-01</t>
    <phoneticPr fontId="13" type="noConversion"/>
  </si>
  <si>
    <t>헬스케어 디지털 트윈-01</t>
    <phoneticPr fontId="13" type="noConversion"/>
  </si>
  <si>
    <t>헬스케어 디지털 트윈-02</t>
    <phoneticPr fontId="13" type="noConversion"/>
  </si>
  <si>
    <t>2017년</t>
    <phoneticPr fontId="13" type="noConversion"/>
  </si>
  <si>
    <t>2018년</t>
    <phoneticPr fontId="13" type="noConversion"/>
  </si>
  <si>
    <t>CAGR('19~'25)</t>
    <phoneticPr fontId="13" type="noConversion"/>
  </si>
  <si>
    <r>
      <t xml:space="preserve">○ 글로벌 헬스케어 디지털 트윈(Digital Twin) 시장은 </t>
    </r>
    <r>
      <rPr>
        <sz val="11"/>
        <color rgb="FF0000FF"/>
        <rFont val="HCI Poppy"/>
        <family val="2"/>
      </rPr>
      <t>2019</t>
    </r>
    <r>
      <rPr>
        <sz val="11"/>
        <color rgb="FF0000FF"/>
        <rFont val="맑은 고딕"/>
        <family val="2"/>
        <scheme val="minor"/>
      </rPr>
      <t xml:space="preserve">년 </t>
    </r>
    <r>
      <rPr>
        <sz val="11"/>
        <color rgb="FF0000FF"/>
        <rFont val="맑은 고딕"/>
        <family val="2"/>
      </rPr>
      <t>6</t>
    </r>
    <r>
      <rPr>
        <sz val="11"/>
        <color rgb="FF0000FF"/>
        <rFont val="맑은 고딕"/>
        <family val="2"/>
        <scheme val="minor"/>
      </rPr>
      <t>억 달러에서 연평균 26</t>
    </r>
    <r>
      <rPr>
        <sz val="11"/>
        <color rgb="FF0000FF"/>
        <rFont val="HCI Poppy"/>
        <family val="2"/>
      </rPr>
      <t>%</t>
    </r>
    <r>
      <rPr>
        <sz val="11"/>
        <color rgb="FF0000FF"/>
        <rFont val="맑은 고딕"/>
        <family val="2"/>
        <scheme val="minor"/>
      </rPr>
      <t xml:space="preserve">로 성장하여 </t>
    </r>
    <r>
      <rPr>
        <sz val="11"/>
        <color rgb="FF0000FF"/>
        <rFont val="HCI Poppy"/>
        <family val="2"/>
      </rPr>
      <t>2025</t>
    </r>
    <r>
      <rPr>
        <sz val="11"/>
        <color rgb="FF0000FF"/>
        <rFont val="맑은 고딕"/>
        <family val="2"/>
        <scheme val="minor"/>
      </rPr>
      <t>년 24억 달러로 확대될 전망</t>
    </r>
    <phoneticPr fontId="13" type="noConversion"/>
  </si>
  <si>
    <t xml:space="preserve">◈ 미국의 디지털 트윈 분야별 시장 현황 및 전망 </t>
    <phoneticPr fontId="13" type="noConversion"/>
  </si>
  <si>
    <t>Frost &amp; Sullivan, Digital Twins Outlook in Healthcare 2019-2025, 2019.9 ; 생명공학정책연구센터 BiolNdustry 169, 헬스케어 디지털 트윈 시장 현황 및 전망, 2022.4</t>
    <phoneticPr fontId="13" type="noConversion"/>
  </si>
  <si>
    <t>Maufacturing</t>
    <phoneticPr fontId="13" type="noConversion"/>
  </si>
  <si>
    <t>transportation</t>
    <phoneticPr fontId="13" type="noConversion"/>
  </si>
  <si>
    <t xml:space="preserve">Energy &amp; Utilities </t>
    <phoneticPr fontId="13" type="noConversion"/>
  </si>
  <si>
    <t>Healthcare</t>
    <phoneticPr fontId="13" type="noConversion"/>
  </si>
  <si>
    <t>Consumer</t>
    <phoneticPr fontId="13" type="noConversion"/>
  </si>
  <si>
    <t>Other</t>
    <phoneticPr fontId="13" type="noConversion"/>
  </si>
  <si>
    <t>2017년</t>
    <phoneticPr fontId="13" type="noConversion"/>
  </si>
  <si>
    <t>2019년</t>
    <phoneticPr fontId="13" type="noConversion"/>
  </si>
  <si>
    <t>2020년</t>
    <phoneticPr fontId="13" type="noConversion"/>
  </si>
  <si>
    <t xml:space="preserve">○ 미국의 헬스케어 디지털 트윈 시장은 2019년 24.2억 달러에서 연평균 66.1%로 성장하여 2025년 114.9억 달러로 성장할 전망 </t>
    <phoneticPr fontId="13" type="noConversion"/>
  </si>
  <si>
    <r>
      <t xml:space="preserve"> </t>
    </r>
    <r>
      <rPr>
        <sz val="11"/>
        <color rgb="FF0000FF"/>
        <rFont val="맑은 고딕"/>
        <family val="3"/>
        <charset val="129"/>
      </rPr>
      <t>–</t>
    </r>
    <r>
      <rPr>
        <sz val="11"/>
        <color rgb="FF0000FF"/>
        <rFont val="맑은 고딕"/>
        <family val="2"/>
      </rPr>
      <t xml:space="preserve"> 이중 헬스케어 디지털 트윈 시장은 2025년 13.5억 달러로 전체의 11.7%를 차지할 것으로 전망되어, 미국이 글로벌 헬스케어 디지털 트윈 시장의 56.3%를 점유할 것으로 기대  </t>
    </r>
    <phoneticPr fontId="13" type="noConversion"/>
  </si>
  <si>
    <t>12.바이오의약품 CDMO</t>
    <phoneticPr fontId="13" type="noConversion"/>
  </si>
  <si>
    <t>◈ 글로벌 바이오산업 시장 현황 및 전망(2020~2027)</t>
    <phoneticPr fontId="13" type="noConversion"/>
  </si>
  <si>
    <t>◈ 글로벌 합성생물학 시장 현황 및 전망(2018~2023)</t>
    <phoneticPr fontId="13" type="noConversion"/>
  </si>
  <si>
    <t>◈ 글로벌 헬스케어 디지털 트윈 시장 현황 및 전망(2017~2025)</t>
    <phoneticPr fontId="13" type="noConversion"/>
  </si>
  <si>
    <t>◈ 글로벌 헬스케어 디지털 트윈 시장 현황 및 전망(2017~2025)</t>
    <phoneticPr fontId="13" type="noConversion"/>
  </si>
  <si>
    <t>◈ 글로벌 합성생물학 시장 현황 및 전망(2018~2023)</t>
    <phoneticPr fontId="13" type="noConversion"/>
  </si>
  <si>
    <t xml:space="preserve">◈ 글로벌 바이오의약품 CDMO 시장 현황 및 전망(2020~2026) </t>
    <phoneticPr fontId="13" type="noConversion"/>
  </si>
  <si>
    <t>1.바이오의약품 CDMO 시장규모는 어떠한가?</t>
    <phoneticPr fontId="13" type="noConversion"/>
  </si>
  <si>
    <t>바이오의약품CDMO-01</t>
    <phoneticPr fontId="13" type="noConversion"/>
  </si>
  <si>
    <t xml:space="preserve">◈ 글로벌 바이오의약품 CDMO 시장 현황 및 전망(2020~2026) </t>
    <phoneticPr fontId="13" type="noConversion"/>
  </si>
  <si>
    <t>Frost &amp; Sullivan, Global Biologics Contract Development and 
Manufacturing Organizations Growth Opportunities, 2021.6 ; 생명공학정책연구센터 BiolNdustry 162, 글로벌 바이오의약품 CDMO(Bio-CDMO) 시장 전망과 성장 기회, 2021.8</t>
    <phoneticPr fontId="13" type="noConversion"/>
  </si>
  <si>
    <r>
      <t xml:space="preserve">○ 글로벌  바이오의약품 CDMO(Bio-CDMO) 시장은 </t>
    </r>
    <r>
      <rPr>
        <sz val="11"/>
        <color rgb="FF0000FF"/>
        <rFont val="HCI Poppy"/>
        <family val="2"/>
      </rPr>
      <t>2020</t>
    </r>
    <r>
      <rPr>
        <sz val="11"/>
        <color rgb="FF0000FF"/>
        <rFont val="맑은 고딕"/>
        <family val="2"/>
        <scheme val="minor"/>
      </rPr>
      <t xml:space="preserve">년 </t>
    </r>
    <r>
      <rPr>
        <sz val="11"/>
        <color rgb="FF0000FF"/>
        <rFont val="맑은 고딕"/>
        <family val="2"/>
      </rPr>
      <t>113.8</t>
    </r>
    <r>
      <rPr>
        <sz val="11"/>
        <color rgb="FF0000FF"/>
        <rFont val="맑은 고딕"/>
        <family val="2"/>
        <scheme val="minor"/>
      </rPr>
      <t>억 달러에서 연평균 10.1</t>
    </r>
    <r>
      <rPr>
        <sz val="11"/>
        <color rgb="FF0000FF"/>
        <rFont val="HCI Poppy"/>
        <family val="2"/>
      </rPr>
      <t>%</t>
    </r>
    <r>
      <rPr>
        <sz val="11"/>
        <color rgb="FF0000FF"/>
        <rFont val="맑은 고딕"/>
        <family val="2"/>
        <scheme val="minor"/>
      </rPr>
      <t xml:space="preserve">로 성장하여 </t>
    </r>
    <r>
      <rPr>
        <sz val="11"/>
        <color rgb="FF0000FF"/>
        <rFont val="HCI Poppy"/>
        <family val="2"/>
      </rPr>
      <t>2026</t>
    </r>
    <r>
      <rPr>
        <sz val="11"/>
        <color rgb="FF0000FF"/>
        <rFont val="맑은 고딕"/>
        <family val="2"/>
        <scheme val="minor"/>
      </rPr>
      <t>년 203.1억 달러로 성장할 전망</t>
    </r>
    <phoneticPr fontId="13" type="noConversion"/>
  </si>
  <si>
    <t>2026년</t>
    <phoneticPr fontId="13" type="noConversion"/>
  </si>
  <si>
    <t>(단위 : 십억달러, %)</t>
    <phoneticPr fontId="13" type="noConversion"/>
  </si>
  <si>
    <t>전년대비성장률</t>
    <phoneticPr fontId="13" type="noConversion"/>
  </si>
  <si>
    <t>◈ 제품 유형별 시장 현황 및 전망</t>
    <phoneticPr fontId="13" type="noConversion"/>
  </si>
  <si>
    <t>원료의약품</t>
    <phoneticPr fontId="13" type="noConversion"/>
  </si>
  <si>
    <t>완제의약품</t>
    <phoneticPr fontId="13" type="noConversion"/>
  </si>
  <si>
    <t>(단위 : 십억달러, %)</t>
    <phoneticPr fontId="13" type="noConversion"/>
  </si>
  <si>
    <t xml:space="preserve">○ 2020년 기준 제품 유형별로는 완제의약품 43%, 원료의약품이 57%를 차지하고 있음. 완제의약품은 2026년까지 10.7%의 높은 성장률로 성장할 것으로 전망 </t>
    <phoneticPr fontId="13" type="noConversion"/>
  </si>
  <si>
    <t>바이오의약품CDMO-01</t>
    <phoneticPr fontId="13" type="noConversion"/>
  </si>
  <si>
    <t>바이오의약품CDMO--02</t>
    <phoneticPr fontId="13" type="noConversion"/>
  </si>
  <si>
    <t>바이오의약품CDMO-01</t>
    <phoneticPr fontId="13" type="noConversion"/>
  </si>
  <si>
    <t>바이오의약품CDMO-02</t>
    <phoneticPr fontId="13" type="noConversion"/>
  </si>
  <si>
    <t>바이오의약품CDMO--03</t>
    <phoneticPr fontId="13" type="noConversion"/>
  </si>
  <si>
    <t>◈ 세포주 유형별 시장 현황 및 전망</t>
    <phoneticPr fontId="13" type="noConversion"/>
  </si>
  <si>
    <t>바이오의약품CDMO-03</t>
    <phoneticPr fontId="13" type="noConversion"/>
  </si>
  <si>
    <t>미생물</t>
    <phoneticPr fontId="13" type="noConversion"/>
  </si>
  <si>
    <t>포유류</t>
    <phoneticPr fontId="13" type="noConversion"/>
  </si>
  <si>
    <t xml:space="preserve">바이러스 벡터 및 기타 </t>
    <phoneticPr fontId="13" type="noConversion"/>
  </si>
  <si>
    <t xml:space="preserve">○ 2020년 기준 세포주 유형별로는 포유류가 57%로 가장 높은 비중을 차지하고 있으며, 미생물 34%, 바이러스벡터 및 기타 9% 순. 바이러스 벡터 및 기타는 2026년까지 약 20%의 높은 성장률로의 성장이 전망됨  </t>
    <phoneticPr fontId="13" type="noConversion"/>
  </si>
  <si>
    <t>바이오의약품CDMO--04</t>
    <phoneticPr fontId="13" type="noConversion"/>
  </si>
  <si>
    <t>바이오의약품CDMO-04</t>
    <phoneticPr fontId="13" type="noConversion"/>
  </si>
  <si>
    <t xml:space="preserve">◈  글로벌 바이오의약품 CDMO 시장의 주요 플레이어 </t>
    <phoneticPr fontId="13" type="noConversion"/>
  </si>
  <si>
    <t>Lonza</t>
  </si>
  <si>
    <t>Samsung Biologics</t>
    <phoneticPr fontId="13" type="noConversion"/>
  </si>
  <si>
    <t>○ 2020년 기준 바이오의약품 CDMO 시장을 지배하는 주요 기업은 Lonza, Samsung Biologics, Catalent Biologics 등이 있으며, Top 5 기업이 전체 시장의 59.4%를 차지</t>
    <phoneticPr fontId="13" type="noConversion"/>
  </si>
  <si>
    <t>Catalent Biologics</t>
    <phoneticPr fontId="13" type="noConversion"/>
  </si>
  <si>
    <t>Boehringer Ingelheim BioXcellence</t>
  </si>
  <si>
    <t>Thermo Fisher Scientific</t>
  </si>
  <si>
    <t>WuXi Biologics</t>
    <phoneticPr fontId="13" type="noConversion"/>
  </si>
  <si>
    <t xml:space="preserve"> Others </t>
  </si>
  <si>
    <t xml:space="preserve"> 합계  </t>
  </si>
  <si>
    <t>2020년 시장 점유율</t>
    <phoneticPr fontId="13" type="noConversion"/>
  </si>
  <si>
    <t>100</t>
  </si>
  <si>
    <t>바이오의약품 CDMO(Bio-CDMO)</t>
    <phoneticPr fontId="13" type="noConversion"/>
  </si>
  <si>
    <t xml:space="preserve">Frost &amp; Sullivan, Global In Vitro Diagnostics Market Outlook 2021, 2021.9; 생명공학정책연구센터 BiolNdustry 165, 글로벌 체외진단 시장 현황 및 전망, 2021.11 </t>
    <phoneticPr fontId="13" type="noConversion"/>
  </si>
  <si>
    <t>전년대비 성장률</t>
    <phoneticPr fontId="13" type="noConversion"/>
  </si>
  <si>
    <t xml:space="preserve">◈ 글로벌 체외진단 시장 현황 및 전망(2020~2025) </t>
    <phoneticPr fontId="13" type="noConversion"/>
  </si>
  <si>
    <t>13. 백신</t>
    <phoneticPr fontId="13" type="noConversion"/>
  </si>
  <si>
    <t>14. 디지털헬스</t>
    <phoneticPr fontId="13" type="noConversion"/>
  </si>
  <si>
    <t>◈ 국내 바이오 미국특허 등록 건수 및 순위(2011~2021)</t>
    <phoneticPr fontId="13" type="noConversion"/>
  </si>
  <si>
    <t>Fitch solutions, Worldwide Medical Devices Market Factbook, 2020의 자료를 기반으로 하며, 우리나라 시장규모는 식약처의 생산수출입 실적 기준의 시장규모와 차이가 날 수 있음</t>
    <phoneticPr fontId="13" type="noConversion"/>
  </si>
  <si>
    <t>Fitch solutions, Worldwide Medical Devices Market Factbook, 2020</t>
  </si>
  <si>
    <t>추가</t>
    <phoneticPr fontId="13" type="noConversion"/>
  </si>
  <si>
    <t>추가</t>
    <phoneticPr fontId="13" type="noConversion"/>
  </si>
  <si>
    <r>
      <t>◈ 국가별 의료기기 시장</t>
    </r>
    <r>
      <rPr>
        <sz val="11"/>
        <color rgb="FF0000FF"/>
        <rFont val="맑은 고딕"/>
        <family val="3"/>
        <charset val="129"/>
        <scheme val="minor"/>
      </rPr>
      <t>(2019)</t>
    </r>
    <phoneticPr fontId="13" type="noConversion"/>
  </si>
  <si>
    <t>◈ 글로벌 의료기기 시장 전망(2020~2026)</t>
    <phoneticPr fontId="13" type="noConversion"/>
  </si>
  <si>
    <t>Wound Care</t>
    <phoneticPr fontId="13" type="noConversion"/>
  </si>
  <si>
    <t>Audiology</t>
  </si>
  <si>
    <t>Aesthetics</t>
    <phoneticPr fontId="13" type="noConversion"/>
  </si>
  <si>
    <t>Urology</t>
    <phoneticPr fontId="13" type="noConversion"/>
  </si>
  <si>
    <t>Neurology</t>
  </si>
  <si>
    <t>Robotics</t>
  </si>
  <si>
    <t>Others</t>
  </si>
  <si>
    <t>(단위 : 십억달러)</t>
    <phoneticPr fontId="13" type="noConversion"/>
  </si>
  <si>
    <t>시장규모</t>
    <phoneticPr fontId="13" type="noConversion"/>
  </si>
  <si>
    <t xml:space="preserve">    * 긍정적 관점의 예상치</t>
    <phoneticPr fontId="13" type="noConversion"/>
  </si>
  <si>
    <t>의료기기-03</t>
    <phoneticPr fontId="13" type="noConversion"/>
  </si>
  <si>
    <t>그래프</t>
    <phoneticPr fontId="13" type="noConversion"/>
  </si>
  <si>
    <t>의료기기-04</t>
    <phoneticPr fontId="13" type="noConversion"/>
  </si>
  <si>
    <t xml:space="preserve">Frost&amp;Sullivan, Global Pharmaceuticals Outlook 2022, 2022.03; 생명공학정책연구센터 BiolNdustry 168, 글로벌 의약품 시장 현황 및 전망, 2022.3 </t>
    <phoneticPr fontId="13" type="noConversion"/>
  </si>
  <si>
    <t xml:space="preserve">Frost&amp;Sullivan,Global Medical Devices 
Outlook, 2022, 2022.3, 생명공학정책연구센터 재구성  </t>
    <phoneticPr fontId="13" type="noConversion"/>
  </si>
  <si>
    <t xml:space="preserve">2019년 </t>
    <phoneticPr fontId="13" type="noConversion"/>
  </si>
  <si>
    <t>2019년</t>
    <phoneticPr fontId="13" type="noConversion"/>
  </si>
  <si>
    <t>CAGR('21~'26)</t>
    <phoneticPr fontId="13" type="noConversion"/>
  </si>
  <si>
    <t xml:space="preserve">○ 글로벌 의료기기 시장은 2021년 4,252억 달러에서 연평균 성장률 8.5%로 성장*하여 2026년 6,396억 달러를 형성할 전망 </t>
    <phoneticPr fontId="13" type="noConversion"/>
  </si>
  <si>
    <t>◈ 글로벌 의료기기 시장 전망(2020~2026)</t>
    <phoneticPr fontId="13" type="noConversion"/>
  </si>
  <si>
    <t>Orthopedics</t>
    <phoneticPr fontId="13" type="noConversion"/>
  </si>
  <si>
    <t>Patient Monitoring Devices</t>
    <phoneticPr fontId="13" type="noConversion"/>
  </si>
  <si>
    <t>의료기기-04</t>
    <phoneticPr fontId="13" type="noConversion"/>
  </si>
  <si>
    <t>의료기기-05</t>
  </si>
  <si>
    <t>(단위  : 십억달러)</t>
    <phoneticPr fontId="13" type="noConversion"/>
  </si>
  <si>
    <t>Cardiology</t>
    <phoneticPr fontId="13" type="noConversion"/>
  </si>
  <si>
    <t>Minimally Invasive</t>
    <phoneticPr fontId="13" type="noConversion"/>
  </si>
  <si>
    <t>Respiratory</t>
    <phoneticPr fontId="13" type="noConversion"/>
  </si>
  <si>
    <t>Ophthalmology</t>
    <phoneticPr fontId="13" type="noConversion"/>
  </si>
  <si>
    <t xml:space="preserve">○ 2021년 기준 순환기내과(Cardiology) 관련 장비 시장이 517억달러(12.2%)로 가장 큰 시장을 형성하고 있으며, 최소 침습(Minimally Invasive) 장비 442억 달러, 호흡기(Respiratory) 402억달러, 안과(Ophthalmology) 장비 343억달러 순  </t>
    <phoneticPr fontId="13" type="noConversion"/>
  </si>
  <si>
    <t>◈ 의료기기 세부분야별 시장 전망</t>
    <phoneticPr fontId="13" type="noConversion"/>
  </si>
  <si>
    <t xml:space="preserve">◈ 글로벌 체외진단 시장 현황 및 전망(2020~2025) </t>
    <phoneticPr fontId="13" type="noConversion"/>
  </si>
  <si>
    <t>◈  Covid-19 백신의 지역별 시장 현황(2021)</t>
    <phoneticPr fontId="13" type="noConversion"/>
  </si>
  <si>
    <t>의료기기-05</t>
    <phoneticPr fontId="13" type="noConversion"/>
  </si>
  <si>
    <t>제목 05</t>
    <phoneticPr fontId="13" type="noConversion"/>
  </si>
  <si>
    <t>의료기기-06</t>
    <phoneticPr fontId="13" type="noConversion"/>
  </si>
  <si>
    <t>제목 06</t>
    <phoneticPr fontId="13" type="noConversion"/>
  </si>
  <si>
    <t>의료기기-06</t>
    <phoneticPr fontId="13" type="noConversion"/>
  </si>
  <si>
    <t>의료기기-07</t>
    <phoneticPr fontId="13" type="noConversion"/>
  </si>
  <si>
    <t>제목 07</t>
    <phoneticPr fontId="13" type="noConversion"/>
  </si>
  <si>
    <t>의료기기-07</t>
    <phoneticPr fontId="13" type="noConversion"/>
  </si>
  <si>
    <t>의료기기-9</t>
    <phoneticPr fontId="13" type="noConversion"/>
  </si>
  <si>
    <t>의료기기-9</t>
    <phoneticPr fontId="13" type="noConversion"/>
  </si>
  <si>
    <t>의료기기-10</t>
    <phoneticPr fontId="13" type="noConversion"/>
  </si>
  <si>
    <t>의료기기-10</t>
    <phoneticPr fontId="13" type="noConversion"/>
  </si>
  <si>
    <r>
      <t xml:space="preserve"> </t>
    </r>
    <r>
      <rPr>
        <sz val="11"/>
        <color rgb="FFFF0000"/>
        <rFont val="맑은 고딕"/>
        <family val="3"/>
        <charset val="129"/>
      </rPr>
      <t>※</t>
    </r>
    <r>
      <rPr>
        <sz val="9.35"/>
        <color rgb="FFFF0000"/>
        <rFont val="맑은 고딕"/>
        <family val="3"/>
        <charset val="129"/>
      </rPr>
      <t xml:space="preserve"> </t>
    </r>
    <r>
      <rPr>
        <sz val="11"/>
        <color rgb="FFFF0000"/>
        <rFont val="맑은 고딕"/>
        <family val="2"/>
        <scheme val="minor"/>
      </rPr>
      <t xml:space="preserve">연구분야  : 바이오인더스트리 161번 이후 분야로 </t>
    </r>
    <phoneticPr fontId="13" type="noConversion"/>
  </si>
  <si>
    <t>백신-01</t>
    <phoneticPr fontId="13" type="noConversion"/>
  </si>
  <si>
    <t>백신-01</t>
    <phoneticPr fontId="13" type="noConversion"/>
  </si>
  <si>
    <t>백신--02</t>
    <phoneticPr fontId="13" type="noConversion"/>
  </si>
  <si>
    <t>백신-02</t>
    <phoneticPr fontId="13" type="noConversion"/>
  </si>
  <si>
    <t>Frost &amp; Sullivan, Global Vaccine Growth Opportunities, 2022.4</t>
    <phoneticPr fontId="13" type="noConversion"/>
  </si>
  <si>
    <r>
      <t xml:space="preserve">○ 글로벌 의약품 시장은 </t>
    </r>
    <r>
      <rPr>
        <sz val="11"/>
        <color rgb="FF0000FF"/>
        <rFont val="HCI Poppy"/>
        <family val="2"/>
      </rPr>
      <t>2021</t>
    </r>
    <r>
      <rPr>
        <sz val="11"/>
        <color rgb="FF0000FF"/>
        <rFont val="맑은 고딕"/>
        <family val="2"/>
        <scheme val="minor"/>
      </rPr>
      <t xml:space="preserve">년 1조 4,294억 달러 규모이며, 이후 연평균 5.3% 성장*하여 </t>
    </r>
    <r>
      <rPr>
        <sz val="11"/>
        <color rgb="FF0000FF"/>
        <rFont val="HCI Poppy"/>
        <family val="2"/>
      </rPr>
      <t>2026</t>
    </r>
    <r>
      <rPr>
        <sz val="11"/>
        <color rgb="FF0000FF"/>
        <rFont val="맑은 고딕"/>
        <family val="2"/>
        <scheme val="minor"/>
      </rPr>
      <t>년 1조 8,480억달러 규모로 성장할 전망</t>
    </r>
    <phoneticPr fontId="13" type="noConversion"/>
  </si>
  <si>
    <t xml:space="preserve">* 전체 백신 시장에서 코로나19 백신을 제외한 시장 </t>
    <phoneticPr fontId="13" type="noConversion"/>
  </si>
  <si>
    <t>◈ 전통 백신의 글로벌 시장 현황 및 전망(2021~2027)</t>
    <phoneticPr fontId="13" type="noConversion"/>
  </si>
  <si>
    <r>
      <t xml:space="preserve">○ 전통 백신(Traditional Vaccines)*의 글로벌 시장규모는 </t>
    </r>
    <r>
      <rPr>
        <sz val="11"/>
        <color rgb="FF0000FF"/>
        <rFont val="HCI Poppy"/>
        <family val="2"/>
      </rPr>
      <t>2021</t>
    </r>
    <r>
      <rPr>
        <sz val="11"/>
        <color rgb="FF0000FF"/>
        <rFont val="맑은 고딕"/>
        <family val="2"/>
        <scheme val="minor"/>
      </rPr>
      <t>년 366억 달러에서 연평균 8.3</t>
    </r>
    <r>
      <rPr>
        <sz val="11"/>
        <color rgb="FF0000FF"/>
        <rFont val="HCI Poppy"/>
        <family val="2"/>
      </rPr>
      <t>%</t>
    </r>
    <r>
      <rPr>
        <sz val="11"/>
        <color rgb="FF0000FF"/>
        <rFont val="맑은 고딕"/>
        <family val="2"/>
        <scheme val="minor"/>
      </rPr>
      <t xml:space="preserve">로 성장하여 </t>
    </r>
    <r>
      <rPr>
        <sz val="11"/>
        <color rgb="FF0000FF"/>
        <rFont val="HCI Poppy"/>
        <family val="2"/>
      </rPr>
      <t>2027</t>
    </r>
    <r>
      <rPr>
        <sz val="11"/>
        <color rgb="FF0000FF"/>
        <rFont val="맑은 고딕"/>
        <family val="2"/>
        <scheme val="minor"/>
      </rPr>
      <t>년 591억 달러로 성장할 전망</t>
    </r>
    <phoneticPr fontId="13" type="noConversion"/>
  </si>
  <si>
    <t>백신--03</t>
    <phoneticPr fontId="13" type="noConversion"/>
  </si>
  <si>
    <t>◈ 전통 백신의 타입별 시장 현황 및 전망</t>
    <phoneticPr fontId="13" type="noConversion"/>
  </si>
  <si>
    <t xml:space="preserve">불활성화(Inactivated) </t>
    <phoneticPr fontId="13" type="noConversion"/>
  </si>
  <si>
    <t>약독화(Live Attenuated)</t>
    <phoneticPr fontId="13" type="noConversion"/>
  </si>
  <si>
    <t>혼합(Combination)</t>
    <phoneticPr fontId="13" type="noConversion"/>
  </si>
  <si>
    <t>아단위/결합/톡소이드(Subunit/Conjugate/Toxoid)</t>
    <phoneticPr fontId="13" type="noConversion"/>
  </si>
  <si>
    <t>재조합(Recombinant)</t>
    <phoneticPr fontId="13" type="noConversion"/>
  </si>
  <si>
    <t>바이러스유사입자(VLPs)</t>
    <phoneticPr fontId="13" type="noConversion"/>
  </si>
  <si>
    <t xml:space="preserve">○ 2021년 기준 백신 타입별로는 아단위/결합/톡소이드 백신이 39.1%의 가장 높은 점유율을 기록. 재조합 백신은 2027년까지 34.2%의 급격한 성장이 전망되어 2027년에는 백신 시장의 29.3%를 차지할 전망 </t>
    <phoneticPr fontId="13" type="noConversion"/>
  </si>
  <si>
    <t xml:space="preserve">◈ 전통 백신의  생산 시스템별 시장 현황(2021) </t>
    <phoneticPr fontId="13" type="noConversion"/>
  </si>
  <si>
    <t>Egg-based</t>
  </si>
  <si>
    <t>Cell Culture</t>
    <phoneticPr fontId="13" type="noConversion"/>
  </si>
  <si>
    <t>Bacterial Fermentation</t>
    <phoneticPr fontId="13" type="noConversion"/>
  </si>
  <si>
    <t xml:space="preserve">Yeast Fermentation
</t>
    <phoneticPr fontId="13" type="noConversion"/>
  </si>
  <si>
    <t>Combination</t>
  </si>
  <si>
    <t>북아메리카</t>
    <phoneticPr fontId="13" type="noConversion"/>
  </si>
  <si>
    <t>유럽</t>
    <phoneticPr fontId="13" type="noConversion"/>
  </si>
  <si>
    <t>아시아태평양</t>
    <phoneticPr fontId="13" type="noConversion"/>
  </si>
  <si>
    <t xml:space="preserve">그외 지역 </t>
    <phoneticPr fontId="13" type="noConversion"/>
  </si>
  <si>
    <t>시장 규모</t>
    <phoneticPr fontId="13" type="noConversion"/>
  </si>
  <si>
    <t>점유율</t>
    <phoneticPr fontId="13" type="noConversion"/>
  </si>
  <si>
    <t xml:space="preserve"> 합계 </t>
  </si>
  <si>
    <t>36.68</t>
  </si>
  <si>
    <t>백신-03</t>
    <phoneticPr fontId="13" type="noConversion"/>
  </si>
  <si>
    <t>백신--04</t>
    <phoneticPr fontId="13" type="noConversion"/>
  </si>
  <si>
    <t>백신-04</t>
    <phoneticPr fontId="13" type="noConversion"/>
  </si>
  <si>
    <t>◈  전통 백신의 지역별 시장 현황(2021)</t>
    <phoneticPr fontId="13" type="noConversion"/>
  </si>
  <si>
    <t>그래프</t>
    <phoneticPr fontId="13" type="noConversion"/>
  </si>
  <si>
    <t xml:space="preserve">○ 백신 생산 시스템별로는 박테리아 발효 시스템이 38.2%로 가장 높은 비중을 차지하고 있으며, 세포 배양 24.5%, 결합 방식 14.7%, 효모 발효 11.3% 순 </t>
    <phoneticPr fontId="13" type="noConversion"/>
  </si>
  <si>
    <t xml:space="preserve">Frost &amp; Sullivan, Global Vaccine Growth Opportunities, 2022.4 </t>
    <phoneticPr fontId="13" type="noConversion"/>
  </si>
  <si>
    <t xml:space="preserve">Frost &amp; Sullivan, Global Vaccine Growth Opportunities, 2022.4 </t>
    <phoneticPr fontId="13" type="noConversion"/>
  </si>
  <si>
    <t>백신--05</t>
    <phoneticPr fontId="13" type="noConversion"/>
  </si>
  <si>
    <t>○ 지역별로는 북아메리카 지역이 49%의 시장을 점유하고 있으며, 유럽 24%, 아시아태평양 12%, 그외 지역 15% 순</t>
    <phoneticPr fontId="13" type="noConversion"/>
  </si>
  <si>
    <t>백신-05</t>
    <phoneticPr fontId="13" type="noConversion"/>
  </si>
  <si>
    <t>◈  전통 백신 시장의 주요 플레이어(2021)</t>
    <phoneticPr fontId="13" type="noConversion"/>
  </si>
  <si>
    <t>Others*</t>
    <phoneticPr fontId="13" type="noConversion"/>
  </si>
  <si>
    <t>2021년 시장 점유율(%)</t>
    <phoneticPr fontId="13" type="noConversion"/>
  </si>
  <si>
    <t>구분</t>
    <phoneticPr fontId="13" type="noConversion"/>
  </si>
  <si>
    <t>2021년 시장 점유율(%)</t>
    <phoneticPr fontId="13" type="noConversion"/>
  </si>
  <si>
    <t>GlaxoSmithKline</t>
    <phoneticPr fontId="13" type="noConversion"/>
  </si>
  <si>
    <t>Merck &amp; Co.</t>
    <phoneticPr fontId="13" type="noConversion"/>
  </si>
  <si>
    <t xml:space="preserve">Pfizer </t>
    <phoneticPr fontId="13" type="noConversion"/>
  </si>
  <si>
    <t>Sanofi Pasteur</t>
    <phoneticPr fontId="13" type="noConversion"/>
  </si>
  <si>
    <t xml:space="preserve">○ 전통적인 백신 산업의 주요 플레이어는 GlaxoSmithKline, Merck &amp; Co., Pfizer, Sanofi Pasteur로 상위 4개 기업이 전체 시장의 91%를 차지하고 있음 </t>
    <phoneticPr fontId="13" type="noConversion"/>
  </si>
  <si>
    <t>백신-06</t>
    <phoneticPr fontId="13" type="noConversion"/>
  </si>
  <si>
    <t>백신-06</t>
    <phoneticPr fontId="13" type="noConversion"/>
  </si>
  <si>
    <t>◈ Covid-19 백신의 글로벌 시장 현황 및 전망(2021~2027)</t>
    <phoneticPr fontId="13" type="noConversion"/>
  </si>
  <si>
    <r>
      <rPr>
        <sz val="11"/>
        <color rgb="FFFF0000"/>
        <rFont val="맑은 고딕"/>
        <family val="3"/>
        <charset val="129"/>
      </rPr>
      <t>※</t>
    </r>
    <r>
      <rPr>
        <sz val="9.35"/>
        <color rgb="FFFF0000"/>
        <rFont val="맑은 고딕"/>
        <family val="3"/>
        <charset val="129"/>
      </rPr>
      <t xml:space="preserve"> </t>
    </r>
    <r>
      <rPr>
        <sz val="11"/>
        <color rgb="FFFF0000"/>
        <rFont val="맑은 고딕"/>
        <family val="3"/>
        <charset val="129"/>
        <scheme val="minor"/>
      </rPr>
      <t xml:space="preserve">옆 그림처럼 연평균 성장률 표시하기 </t>
    </r>
    <phoneticPr fontId="13" type="noConversion"/>
  </si>
  <si>
    <r>
      <t xml:space="preserve">○ 글로벌 Covid-19 백신의 시장규모는 </t>
    </r>
    <r>
      <rPr>
        <sz val="11"/>
        <color rgb="FF0000FF"/>
        <rFont val="HCI Poppy"/>
        <family val="2"/>
      </rPr>
      <t>2021</t>
    </r>
    <r>
      <rPr>
        <sz val="11"/>
        <color rgb="FF0000FF"/>
        <rFont val="맑은 고딕"/>
        <family val="2"/>
        <scheme val="minor"/>
      </rPr>
      <t xml:space="preserve">년 1,154억 달러에서 2023년까지 연평균 2%로 성장하다가, 2024년을 기점으로 연평균 -6.1%로 감소하여 2027년에는 780억달러 시장을 형성할 전망 </t>
    </r>
    <phoneticPr fontId="13" type="noConversion"/>
  </si>
  <si>
    <t>백신--07</t>
    <phoneticPr fontId="13" type="noConversion"/>
  </si>
  <si>
    <t>◈  Covid-19 백신 시장의 주요 플레이어(2021)</t>
    <phoneticPr fontId="13" type="noConversion"/>
  </si>
  <si>
    <t>◈  Covid-19 백신의 생산 시스템별 시장 현황(2021)</t>
    <phoneticPr fontId="13" type="noConversion"/>
  </si>
  <si>
    <t>점유율</t>
    <phoneticPr fontId="13" type="noConversion"/>
  </si>
  <si>
    <t xml:space="preserve"> 시장규모</t>
    <phoneticPr fontId="13" type="noConversion"/>
  </si>
  <si>
    <t>아단위(Subunit)</t>
    <phoneticPr fontId="13" type="noConversion"/>
  </si>
  <si>
    <t>바이러스벡터Viral Vector)</t>
    <phoneticPr fontId="13" type="noConversion"/>
  </si>
  <si>
    <t>합계</t>
    <phoneticPr fontId="13" type="noConversion"/>
  </si>
  <si>
    <t>백신--08</t>
    <phoneticPr fontId="13" type="noConversion"/>
  </si>
  <si>
    <t>◈  Covid-19 백신 타입별 시장 현황(2021)</t>
    <phoneticPr fontId="13" type="noConversion"/>
  </si>
  <si>
    <t xml:space="preserve">◈ Covid-19 백신 타입별 시장 현황(2021) </t>
    <phoneticPr fontId="13" type="noConversion"/>
  </si>
  <si>
    <t>◈ Covid-19 백신의 생산 시스템별 시장 현황(2021)</t>
    <phoneticPr fontId="13" type="noConversion"/>
  </si>
  <si>
    <t>백신-08</t>
    <phoneticPr fontId="13" type="noConversion"/>
  </si>
  <si>
    <t xml:space="preserve">기타 </t>
    <phoneticPr fontId="13" type="noConversion"/>
  </si>
  <si>
    <t>합계</t>
    <phoneticPr fontId="13" type="noConversion"/>
  </si>
  <si>
    <t xml:space="preserve">○ 백신 생산 시스템별로는 박테리아 발효 시스템이 47.7%로 가장 높은 비중을 차지하고 있으며, 세포 배양 46.4%, 가타 5.9 순  </t>
    <phoneticPr fontId="13" type="noConversion"/>
  </si>
  <si>
    <t>백신--09</t>
    <phoneticPr fontId="13" type="noConversion"/>
  </si>
  <si>
    <t>백신-09</t>
    <phoneticPr fontId="13" type="noConversion"/>
  </si>
  <si>
    <t>◈  Covid-19 백신의 지역별 시장 현황(2021)</t>
    <phoneticPr fontId="13" type="noConversion"/>
  </si>
  <si>
    <t>○ 지역별로는 북아메리카 지역이 46.2%의 시장을 점유하고 있으며, 유럽 23.7%, 아시아태평양 15.2%, 그외 지역 14.8% 순</t>
    <phoneticPr fontId="13" type="noConversion"/>
  </si>
  <si>
    <t>백신-10</t>
    <phoneticPr fontId="13" type="noConversion"/>
  </si>
  <si>
    <t>백신--10</t>
    <phoneticPr fontId="13" type="noConversion"/>
  </si>
  <si>
    <t>◈  Covid-19 백신 시장의 주요 플레이어(2021)</t>
    <phoneticPr fontId="13" type="noConversion"/>
  </si>
  <si>
    <t>○ 2021년 기준 백신 타입별로는 재조합 기술을 활용한 백신(Pfizer/BioNTech, Moderna의 mRNA 백신 포함)이 628억달러로 54%를 차지하고 있으며, 불활성화 백신(Sinovac Biotech,CoronaVac 포함)은 475억 달러의 매출을 기록</t>
    <phoneticPr fontId="13" type="noConversion"/>
  </si>
  <si>
    <t>Pfizer/BioNTech</t>
    <phoneticPr fontId="13" type="noConversion"/>
  </si>
  <si>
    <t>Moderna</t>
  </si>
  <si>
    <t xml:space="preserve">    *  Bharat Biotech, Janssen Pharmaceuticals, Serum Institute of India, 
Novavax, AstraZeneca 등 </t>
    <phoneticPr fontId="13" type="noConversion"/>
  </si>
  <si>
    <t xml:space="preserve">    *  CSL, Novavax, Inovio Pharmaceuticals, Bavarian Nordic, Emergent Bioscience 등</t>
    <phoneticPr fontId="13" type="noConversion"/>
  </si>
  <si>
    <t xml:space="preserve">○ 코로나19 백신 시장의 주요 플레이어는 Pfizer, Moderna, Sinovac, Sinopharm Biotech로 상위 4개 기업이 전체 시장의 86%를 차지하고 있음 </t>
    <phoneticPr fontId="13" type="noConversion"/>
  </si>
  <si>
    <t>Sinopharm</t>
    <phoneticPr fontId="13" type="noConversion"/>
  </si>
  <si>
    <t>Sinovac Biotech</t>
    <phoneticPr fontId="13" type="noConversion"/>
  </si>
  <si>
    <t>◈  Covid-19 백신의 글로벌 시장 현황 및  전망(2021~2027)</t>
    <phoneticPr fontId="13" type="noConversion"/>
  </si>
  <si>
    <t>1.전통 백신 및 Covid-19 백신의 시장규모는 어떠한가?</t>
    <phoneticPr fontId="13" type="noConversion"/>
  </si>
  <si>
    <t>◈ 글로벌 디지털헬스 시장 현황 및 전망(2021~2026)</t>
    <phoneticPr fontId="13" type="noConversion"/>
  </si>
  <si>
    <t>◈ 전통 백신의 글로벌 시장 현황 및 전망(2021~2027)</t>
    <phoneticPr fontId="13" type="noConversion"/>
  </si>
  <si>
    <t>◈ 전통 백신의 타입별 시장 현황 및 전망</t>
    <phoneticPr fontId="13" type="noConversion"/>
  </si>
  <si>
    <t xml:space="preserve">◈ 전통 백신의 생산 시스템별 시장 현황(2021) </t>
    <phoneticPr fontId="13" type="noConversion"/>
  </si>
  <si>
    <t xml:space="preserve">◈ 전통 백신의 지역별 시장 현황(2021) </t>
    <phoneticPr fontId="13" type="noConversion"/>
  </si>
  <si>
    <t>◈ 전통 백신 시장의 주요 플레이어(2021)</t>
    <phoneticPr fontId="13" type="noConversion"/>
  </si>
  <si>
    <t>◈ 제품 유형별 시장 현황 및 전망</t>
    <phoneticPr fontId="13" type="noConversion"/>
  </si>
  <si>
    <t>◈ 세포주 유형별 시장 현황 및 전망</t>
    <phoneticPr fontId="13" type="noConversion"/>
  </si>
  <si>
    <t xml:space="preserve">◈ 글로벌 바이오의약품 CDMO 시장의 주요 플레이어 </t>
    <phoneticPr fontId="13" type="noConversion"/>
  </si>
  <si>
    <t>1.디지털헬스 시장규모는 어떠한가?</t>
    <phoneticPr fontId="13" type="noConversion"/>
  </si>
  <si>
    <t>디지털헬스-01</t>
    <phoneticPr fontId="13" type="noConversion"/>
  </si>
  <si>
    <t>내용</t>
    <phoneticPr fontId="13" type="noConversion"/>
  </si>
  <si>
    <t>그래프</t>
    <phoneticPr fontId="13" type="noConversion"/>
  </si>
  <si>
    <t>디지털헬스-02</t>
    <phoneticPr fontId="13" type="noConversion"/>
  </si>
  <si>
    <t>목차</t>
    <phoneticPr fontId="13" type="noConversion"/>
  </si>
  <si>
    <t>필터</t>
    <phoneticPr fontId="13" type="noConversion"/>
  </si>
  <si>
    <t>◈ 글로벌  디지털헬스 시장 현황 및 전망(2017~2023년)</t>
    <phoneticPr fontId="13" type="noConversion"/>
  </si>
  <si>
    <t>디지털헬스-01</t>
    <phoneticPr fontId="13" type="noConversion"/>
  </si>
  <si>
    <t>데이터</t>
    <phoneticPr fontId="13" type="noConversion"/>
  </si>
  <si>
    <t>구분</t>
    <phoneticPr fontId="13" type="noConversion"/>
  </si>
  <si>
    <t>CAGR</t>
    <phoneticPr fontId="13" type="noConversion"/>
  </si>
  <si>
    <t>(단위 : 십억달러, %)</t>
    <phoneticPr fontId="13" type="noConversion"/>
  </si>
  <si>
    <t>시장규모</t>
    <phoneticPr fontId="13" type="noConversion"/>
  </si>
  <si>
    <t>그래프</t>
    <phoneticPr fontId="13" type="noConversion"/>
  </si>
  <si>
    <t>출처</t>
    <phoneticPr fontId="13" type="noConversion"/>
  </si>
  <si>
    <t>디지털헬스-02</t>
    <phoneticPr fontId="13" type="noConversion"/>
  </si>
  <si>
    <t>내용</t>
    <phoneticPr fontId="13" type="noConversion"/>
  </si>
  <si>
    <t>디지털헬스-01</t>
    <phoneticPr fontId="13" type="noConversion"/>
  </si>
  <si>
    <t>Healthcare IT</t>
    <phoneticPr fontId="13" type="noConversion"/>
  </si>
  <si>
    <t>Telehealth</t>
    <phoneticPr fontId="13" type="noConversion"/>
  </si>
  <si>
    <t xml:space="preserve">    * 긍정적 관점의 예상치. 보수적 관점의 예상치는 연평균 4.1%의 성장을 전망</t>
    <phoneticPr fontId="13" type="noConversion"/>
  </si>
  <si>
    <t xml:space="preserve">   * 긍정적 관점의 예상치 </t>
    <phoneticPr fontId="13" type="noConversion"/>
  </si>
  <si>
    <t>Frost &amp; Sullivan, Global Digital Health Outlook, 2022, 2022.3</t>
    <phoneticPr fontId="13" type="noConversion"/>
  </si>
  <si>
    <r>
      <t xml:space="preserve">○ 글로벌 디지털헬스 시장*은 </t>
    </r>
    <r>
      <rPr>
        <sz val="11"/>
        <color rgb="FF0000FF"/>
        <rFont val="HCI Poppy"/>
        <family val="2"/>
      </rPr>
      <t>2021</t>
    </r>
    <r>
      <rPr>
        <sz val="11"/>
        <color rgb="FF0000FF"/>
        <rFont val="맑은 고딕"/>
        <family val="2"/>
        <scheme val="minor"/>
      </rPr>
      <t xml:space="preserve">년 </t>
    </r>
    <r>
      <rPr>
        <sz val="11"/>
        <color rgb="FF0000FF"/>
        <rFont val="맑은 고딕"/>
        <family val="2"/>
      </rPr>
      <t>1,783억</t>
    </r>
    <r>
      <rPr>
        <sz val="11"/>
        <color rgb="FF0000FF"/>
        <rFont val="맑은 고딕"/>
        <family val="2"/>
        <scheme val="minor"/>
      </rPr>
      <t>달러에서 연평균 16</t>
    </r>
    <r>
      <rPr>
        <sz val="11"/>
        <color rgb="FF0000FF"/>
        <rFont val="HCI Poppy"/>
        <family val="2"/>
      </rPr>
      <t>%</t>
    </r>
    <r>
      <rPr>
        <sz val="11"/>
        <color rgb="FF0000FF"/>
        <rFont val="맑은 고딕"/>
        <family val="2"/>
        <scheme val="minor"/>
      </rPr>
      <t xml:space="preserve">로 성장*하여 </t>
    </r>
    <r>
      <rPr>
        <sz val="11"/>
        <color rgb="FF0000FF"/>
        <rFont val="HCI Poppy"/>
        <family val="2"/>
      </rPr>
      <t>2026</t>
    </r>
    <r>
      <rPr>
        <sz val="11"/>
        <color rgb="FF0000FF"/>
        <rFont val="맑은 고딕"/>
        <family val="2"/>
        <scheme val="minor"/>
      </rPr>
      <t>년3,730억 달러로 성장할 전망</t>
    </r>
    <phoneticPr fontId="13" type="noConversion"/>
  </si>
  <si>
    <t xml:space="preserve">○ 2021년 기준 헬스케어 IT 분야 시장규모는 1,427억 달러로 전체 시장의 80%를 차지. 원격의료 시장은 356억 달러 규모로 20% 시장을 점유하고 있음  </t>
    <phoneticPr fontId="13" type="noConversion"/>
  </si>
  <si>
    <t xml:space="preserve"> </t>
    <phoneticPr fontId="13" type="noConversion"/>
  </si>
  <si>
    <t>◈ 디지털헬스 분야별 시장 현황 및 전망</t>
    <phoneticPr fontId="13" type="noConversion"/>
  </si>
  <si>
    <t>◈ 디지털헬스 분야별 시장 현황 및 전망</t>
    <phoneticPr fontId="13" type="noConversion"/>
  </si>
  <si>
    <t>○ ’21년 글로벌 제약바이오기업의 R&amp;D 투자 1위는 Pfizer(약 138억 달러, 총 처방약 판매액의 19% 비중)</t>
    <phoneticPr fontId="13" type="noConversion"/>
  </si>
  <si>
    <t xml:space="preserve">의약품 분야명이 중복되어 수정,, 적합한 것으로 변경 필요 </t>
    <phoneticPr fontId="13" type="noConversion"/>
  </si>
  <si>
    <t>전체구간(2011~2020년)</t>
    <phoneticPr fontId="52" type="noConversion"/>
  </si>
  <si>
    <t>2011~2015년</t>
    <phoneticPr fontId="52" type="noConversion"/>
  </si>
  <si>
    <t>2016~2020년</t>
    <phoneticPr fontId="52" type="noConversion"/>
  </si>
  <si>
    <t xml:space="preserve">○ 최근 10년간 국내 바이오분야 한국특허 출원 기준 주요 출원기관은 대한민국, 서울대학교, 고려대학교, 연세대학교, 생명공학연구원 순 </t>
    <phoneticPr fontId="13" type="noConversion"/>
  </si>
  <si>
    <t>대한민국(농촌진흥청장)</t>
  </si>
  <si>
    <t>특허정보진흥센터, 2022.7</t>
    <phoneticPr fontId="13" type="noConversion"/>
  </si>
  <si>
    <t>특허정보진흥센터, 2022.7</t>
    <phoneticPr fontId="13" type="noConversion"/>
  </si>
  <si>
    <r>
      <t>◈ 국내 바이오 한국특허 출원 현황</t>
    </r>
    <r>
      <rPr>
        <sz val="11"/>
        <color rgb="FF0000FF"/>
        <rFont val="맑은 고딕"/>
        <family val="3"/>
        <charset val="129"/>
        <scheme val="minor"/>
      </rPr>
      <t>(2011~2021)</t>
    </r>
    <phoneticPr fontId="13" type="noConversion"/>
  </si>
  <si>
    <r>
      <t>◈ 국내 바이오 한국특허 출원현황</t>
    </r>
    <r>
      <rPr>
        <b/>
        <i/>
        <sz val="11"/>
        <color rgb="FF0000FF"/>
        <rFont val="맑은 고딕"/>
        <family val="3"/>
        <charset val="129"/>
        <scheme val="minor"/>
      </rPr>
      <t>(2011~2021)</t>
    </r>
    <phoneticPr fontId="13" type="noConversion"/>
  </si>
  <si>
    <t xml:space="preserve"> 2021년</t>
  </si>
  <si>
    <r>
      <t xml:space="preserve">○ </t>
    </r>
    <r>
      <rPr>
        <sz val="11"/>
        <color rgb="FF0000FF"/>
        <rFont val="HCI Poppy"/>
        <family val="2"/>
      </rPr>
      <t>2020</t>
    </r>
    <r>
      <rPr>
        <sz val="11"/>
        <color rgb="FF0000FF"/>
        <rFont val="맑은 고딕"/>
        <family val="2"/>
        <scheme val="minor"/>
      </rPr>
      <t xml:space="preserve">년 국내 바이오 분야 한국특허 출원 건수는 6,702건 </t>
    </r>
    <phoneticPr fontId="13" type="noConversion"/>
  </si>
  <si>
    <t>특허정보진흥센터, 2022.7</t>
    <phoneticPr fontId="13" type="noConversion"/>
  </si>
  <si>
    <t>2021년</t>
    <phoneticPr fontId="13" type="noConversion"/>
  </si>
  <si>
    <r>
      <t xml:space="preserve">○ </t>
    </r>
    <r>
      <rPr>
        <sz val="11"/>
        <color rgb="FF0000FF"/>
        <rFont val="HCI Poppy"/>
        <family val="2"/>
      </rPr>
      <t>2021</t>
    </r>
    <r>
      <rPr>
        <sz val="11"/>
        <color rgb="FF0000FF"/>
        <rFont val="맑은 고딕"/>
        <family val="2"/>
        <scheme val="minor"/>
      </rPr>
      <t xml:space="preserve">년 국내 바이오 미국특허 등록 건수는 </t>
    </r>
    <r>
      <rPr>
        <sz val="11"/>
        <color rgb="FF0000FF"/>
        <rFont val="HCI Poppy"/>
        <family val="2"/>
      </rPr>
      <t>324</t>
    </r>
    <r>
      <rPr>
        <sz val="11"/>
        <color rgb="FF0000FF"/>
        <rFont val="맑은 고딕"/>
        <family val="2"/>
        <scheme val="minor"/>
      </rPr>
      <t>건으로 전년 대비 64건(</t>
    </r>
    <r>
      <rPr>
        <sz val="11"/>
        <color rgb="FF0000FF"/>
        <rFont val="맑은 고딕"/>
        <family val="2"/>
      </rPr>
      <t>16.5</t>
    </r>
    <r>
      <rPr>
        <sz val="11"/>
        <color rgb="FF0000FF"/>
        <rFont val="HCI Poppy"/>
        <family val="2"/>
      </rPr>
      <t xml:space="preserve">%)  </t>
    </r>
    <r>
      <rPr>
        <sz val="11"/>
        <color rgb="FF0000FF"/>
        <rFont val="맑은 고딕"/>
        <family val="2"/>
        <scheme val="minor"/>
      </rPr>
      <t>감소</t>
    </r>
    <phoneticPr fontId="13" type="noConversion"/>
  </si>
  <si>
    <r>
      <t>○ 국내 바이오 분야 미국특허 등록 건수는 증가하는 추세이며</t>
    </r>
    <r>
      <rPr>
        <sz val="11"/>
        <color rgb="FF0000FF"/>
        <rFont val="HCI Poppy"/>
        <family val="2"/>
      </rPr>
      <t xml:space="preserve">, </t>
    </r>
    <r>
      <rPr>
        <sz val="11"/>
        <color rgb="FF0000FF"/>
        <rFont val="맑은 고딕"/>
        <family val="2"/>
        <scheme val="minor"/>
      </rPr>
      <t xml:space="preserve">순위 또한 </t>
    </r>
    <r>
      <rPr>
        <sz val="11"/>
        <color rgb="FF0000FF"/>
        <rFont val="HCI Poppy"/>
        <family val="2"/>
      </rPr>
      <t>2014</t>
    </r>
    <r>
      <rPr>
        <sz val="11"/>
        <color rgb="FF0000FF"/>
        <rFont val="맑은 고딕"/>
        <family val="2"/>
        <scheme val="minor"/>
      </rPr>
      <t>년 이후부터 상승 추세</t>
    </r>
    <phoneticPr fontId="13" type="noConversion"/>
  </si>
  <si>
    <r>
      <t>◈ 국내 바이오 미국특허 등록 건수 및 순위</t>
    </r>
    <r>
      <rPr>
        <sz val="11"/>
        <color rgb="FF0000FF"/>
        <rFont val="맑은 고딕"/>
        <family val="3"/>
        <charset val="129"/>
        <scheme val="minor"/>
      </rPr>
      <t>(2011~2021)</t>
    </r>
    <phoneticPr fontId="13" type="noConversion"/>
  </si>
  <si>
    <t>(단위 :  십억엔)</t>
    <phoneticPr fontId="13" type="noConversion"/>
  </si>
  <si>
    <t>65 페이지</t>
    <phoneticPr fontId="13" type="noConversion"/>
  </si>
  <si>
    <t>Japan Pharmaceutical
Manufactures Association, DATA BOOK 2022, 2022.3</t>
    <phoneticPr fontId="13" type="noConversion"/>
  </si>
  <si>
    <t xml:space="preserve">일본 </t>
    <phoneticPr fontId="13" type="noConversion"/>
  </si>
  <si>
    <t xml:space="preserve">캐나다 </t>
    <phoneticPr fontId="13" type="noConversion"/>
  </si>
  <si>
    <t xml:space="preserve">62페이지 </t>
    <phoneticPr fontId="13" type="noConversion"/>
  </si>
  <si>
    <t>Canada, ANNUAL REPORT 2020, 2021.11</t>
    <phoneticPr fontId="13" type="noConversion"/>
  </si>
  <si>
    <t xml:space="preserve">그외 국가 </t>
    <phoneticPr fontId="13" type="noConversion"/>
  </si>
  <si>
    <t>한국제약바이오협회, 2021 제약바이오산업 DATABOOK, 2022.1, Japan Pharmaceutical
Manufactures Association, DATA BOOK 2022, 2022.3 ;  Canada, ANNUAL REPORT 2020, 2021.11</t>
    <phoneticPr fontId="13" type="noConversion"/>
  </si>
  <si>
    <t>한국제약바이오협회, 2021 제약바이오산업 DATABOOK, 2022.1</t>
  </si>
  <si>
    <t>* ’19년 평균환율(1,156.4원)을 적용하여 환산한 금액</t>
    <phoneticPr fontId="13" type="noConversion"/>
  </si>
  <si>
    <t xml:space="preserve">환율 적용하여 원으로 환산 </t>
    <phoneticPr fontId="13" type="noConversion"/>
  </si>
  <si>
    <t>○ ’19년 국내 제약 R&amp;D 투자비는 1조 8,057억원으로 미국 제약 R&amp;D 투자비(95조 9,303억원, 829억달러)의 1.88% 규모 차지</t>
    <phoneticPr fontId="13" type="noConversion"/>
  </si>
  <si>
    <t>정부 총 투자액(A)</t>
    <phoneticPr fontId="13" type="noConversion"/>
  </si>
  <si>
    <t>정부 생명 공학 예산 : 니케이 생명 공학 온라인 (nikkeibp.co.jp)</t>
    <phoneticPr fontId="13" type="noConversion"/>
  </si>
  <si>
    <r>
      <t>일본 -  日</t>
    </r>
    <r>
      <rPr>
        <sz val="11"/>
        <color rgb="FF0000FF"/>
        <rFont val="맑은 고딕"/>
        <family val="3"/>
        <charset val="128"/>
        <scheme val="minor"/>
      </rPr>
      <t>経</t>
    </r>
    <r>
      <rPr>
        <sz val="11"/>
        <color rgb="FF0000FF"/>
        <rFont val="맑은 고딕"/>
        <family val="3"/>
        <charset val="129"/>
        <scheme val="minor"/>
      </rPr>
      <t xml:space="preserve">バイオ年鑑2021, </t>
    </r>
    <phoneticPr fontId="13" type="noConversion"/>
  </si>
  <si>
    <r>
      <t>科</t>
    </r>
    <r>
      <rPr>
        <u/>
        <sz val="11"/>
        <color theme="10"/>
        <rFont val="맑은 고딕"/>
        <family val="2"/>
        <scheme val="minor"/>
      </rPr>
      <t>学</t>
    </r>
    <r>
      <rPr>
        <u/>
        <sz val="11"/>
        <color theme="10"/>
        <rFont val="맑은 고딕"/>
        <family val="3"/>
        <charset val="129"/>
        <scheme val="minor"/>
      </rPr>
      <t>技術指標 | 科</t>
    </r>
    <r>
      <rPr>
        <u/>
        <sz val="11"/>
        <color theme="10"/>
        <rFont val="맑은 고딕"/>
        <family val="2"/>
        <scheme val="minor"/>
      </rPr>
      <t>学</t>
    </r>
    <r>
      <rPr>
        <u/>
        <sz val="11"/>
        <color theme="10"/>
        <rFont val="맑은 고딕"/>
        <family val="3"/>
        <charset val="129"/>
        <scheme val="minor"/>
      </rPr>
      <t>技術</t>
    </r>
    <r>
      <rPr>
        <u/>
        <sz val="11"/>
        <color theme="10"/>
        <rFont val="맑은 고딕"/>
        <family val="2"/>
        <scheme val="minor"/>
      </rPr>
      <t>・学</t>
    </r>
    <r>
      <rPr>
        <u/>
        <sz val="11"/>
        <color theme="10"/>
        <rFont val="맑은 고딕"/>
        <family val="3"/>
        <charset val="129"/>
        <scheme val="minor"/>
      </rPr>
      <t>術政策</t>
    </r>
    <r>
      <rPr>
        <u/>
        <sz val="11"/>
        <color theme="10"/>
        <rFont val="맑은 고딕"/>
        <family val="2"/>
        <scheme val="minor"/>
      </rPr>
      <t>研</t>
    </r>
    <r>
      <rPr>
        <u/>
        <sz val="11"/>
        <color theme="10"/>
        <rFont val="맑은 고딕"/>
        <family val="3"/>
        <charset val="129"/>
        <scheme val="minor"/>
      </rPr>
      <t>究所 (NISTEP)</t>
    </r>
  </si>
  <si>
    <t>科学技術指標2022</t>
  </si>
  <si>
    <t>과학기술지표2022</t>
    <phoneticPr fontId="13" type="noConversion"/>
  </si>
  <si>
    <t>2020년 정부 생명 공학 예산
생명 공학 관련 총계는 1809 억 엔으로 3 % 증가했으며 AMED는 127.2 억 엔을 6 개 프로젝트로 늘렸다.</t>
    <phoneticPr fontId="13" type="noConversion"/>
  </si>
  <si>
    <t>Nistep, 科学技術指標2022, 2022.8</t>
    <phoneticPr fontId="13" type="noConversion"/>
  </si>
  <si>
    <t>독일 - KISTEP, 2021년도 글로벌 R&amp;D 투자동향 분석, 2022.2</t>
    <phoneticPr fontId="13" type="noConversion"/>
  </si>
  <si>
    <t>독일(억달러, 2019)</t>
    <phoneticPr fontId="13" type="noConversion"/>
  </si>
  <si>
    <t>!! 55페이지, 보건 분야의 예산만을 발췌</t>
    <phoneticPr fontId="13" type="noConversion"/>
  </si>
  <si>
    <t>과기정통부/KISTEP, 2020년도 연구개발활동조사보고서, 2022.1; KISTEP S&amp;T GPS, 미국 2022 회계연도 연방 R&amp;D 예산 신청안, 2021.8. ; KISTEP, 2021년도 글로벌 R&amp;D 투자동향 분석, 2022.2</t>
    <phoneticPr fontId="13" type="noConversion"/>
  </si>
  <si>
    <t>○ ’20년 우리나라의 BT 비중은 17.2%로 미국보다 낮지만, 독일과 일본보다 높은 비중</t>
    <phoneticPr fontId="13" type="noConversion"/>
  </si>
  <si>
    <t xml:space="preserve">일본(억엔, 2019) </t>
    <phoneticPr fontId="13" type="noConversion"/>
  </si>
  <si>
    <r>
      <t>※</t>
    </r>
    <r>
      <rPr>
        <sz val="11"/>
        <color rgb="FFFF0000"/>
        <rFont val="맑은 고딕"/>
        <family val="2"/>
        <scheme val="minor"/>
      </rPr>
      <t xml:space="preserve"> </t>
    </r>
    <r>
      <rPr>
        <sz val="11"/>
        <color rgb="FFFF0000"/>
        <rFont val="돋움"/>
        <family val="3"/>
        <charset val="129"/>
      </rPr>
      <t>일본</t>
    </r>
    <r>
      <rPr>
        <sz val="11"/>
        <color rgb="FFFF0000"/>
        <rFont val="맑은 고딕"/>
        <family val="2"/>
        <scheme val="minor"/>
      </rPr>
      <t xml:space="preserve"> </t>
    </r>
    <r>
      <rPr>
        <sz val="11"/>
        <color rgb="FFFF0000"/>
        <rFont val="돋움"/>
        <family val="3"/>
        <charset val="129"/>
      </rPr>
      <t>정부의</t>
    </r>
    <r>
      <rPr>
        <sz val="11"/>
        <color rgb="FFFF0000"/>
        <rFont val="맑은 고딕"/>
        <family val="2"/>
        <scheme val="minor"/>
      </rPr>
      <t xml:space="preserve"> 2020 </t>
    </r>
    <r>
      <rPr>
        <sz val="11"/>
        <color rgb="FFFF0000"/>
        <rFont val="돋움"/>
        <family val="3"/>
        <charset val="129"/>
      </rPr>
      <t>년</t>
    </r>
    <r>
      <rPr>
        <sz val="11"/>
        <color rgb="FFFF0000"/>
        <rFont val="맑은 고딕"/>
        <family val="2"/>
        <scheme val="minor"/>
      </rPr>
      <t xml:space="preserve"> </t>
    </r>
    <r>
      <rPr>
        <sz val="11"/>
        <color rgb="FFFF0000"/>
        <rFont val="돋움"/>
        <family val="3"/>
        <charset val="129"/>
      </rPr>
      <t>과학기술예산은</t>
    </r>
    <r>
      <rPr>
        <sz val="11"/>
        <color rgb="FFFF0000"/>
        <rFont val="맑은 고딕"/>
        <family val="2"/>
        <scheme val="minor"/>
      </rPr>
      <t xml:space="preserve"> </t>
    </r>
    <r>
      <rPr>
        <sz val="11"/>
        <color rgb="FFFF0000"/>
        <rFont val="돋움"/>
        <family val="3"/>
        <charset val="129"/>
      </rPr>
      <t>데이터를</t>
    </r>
    <r>
      <rPr>
        <sz val="11"/>
        <color rgb="FFFF0000"/>
        <rFont val="맑은 고딕"/>
        <family val="2"/>
        <scheme val="minor"/>
      </rPr>
      <t xml:space="preserve"> </t>
    </r>
    <r>
      <rPr>
        <sz val="11"/>
        <color rgb="FFFF0000"/>
        <rFont val="돋움"/>
        <family val="3"/>
        <charset val="129"/>
      </rPr>
      <t>확인</t>
    </r>
    <r>
      <rPr>
        <sz val="11"/>
        <color rgb="FFFF0000"/>
        <rFont val="맑은 고딕"/>
        <family val="2"/>
        <scheme val="minor"/>
      </rPr>
      <t xml:space="preserve"> </t>
    </r>
    <r>
      <rPr>
        <sz val="11"/>
        <color rgb="FFFF0000"/>
        <rFont val="돋움"/>
        <family val="3"/>
        <charset val="129"/>
      </rPr>
      <t>중</t>
    </r>
    <r>
      <rPr>
        <sz val="11"/>
        <color rgb="FFFF0000"/>
        <rFont val="맑은 고딕"/>
        <family val="2"/>
        <scheme val="minor"/>
      </rPr>
      <t xml:space="preserve"> (2022 </t>
    </r>
    <r>
      <rPr>
        <sz val="11"/>
        <color rgb="FFFF0000"/>
        <rFont val="돋움"/>
        <family val="3"/>
        <charset val="129"/>
      </rPr>
      <t>년</t>
    </r>
    <r>
      <rPr>
        <sz val="11"/>
        <color rgb="FFFF0000"/>
        <rFont val="맑은 고딕"/>
        <family val="2"/>
        <scheme val="minor"/>
      </rPr>
      <t xml:space="preserve"> 8 </t>
    </r>
    <r>
      <rPr>
        <sz val="11"/>
        <color rgb="FFFF0000"/>
        <rFont val="돋움"/>
        <family val="3"/>
        <charset val="129"/>
      </rPr>
      <t>월</t>
    </r>
    <r>
      <rPr>
        <sz val="11"/>
        <color rgb="FFFF0000"/>
        <rFont val="맑은 고딕"/>
        <family val="2"/>
        <scheme val="minor"/>
      </rPr>
      <t xml:space="preserve"> 17 </t>
    </r>
    <r>
      <rPr>
        <sz val="11"/>
        <color rgb="FFFF0000"/>
        <rFont val="돋움"/>
        <family val="3"/>
        <charset val="129"/>
      </rPr>
      <t>일</t>
    </r>
    <r>
      <rPr>
        <sz val="11"/>
        <color rgb="FFFF0000"/>
        <rFont val="맑은 고딕"/>
        <family val="2"/>
        <scheme val="minor"/>
      </rPr>
      <t xml:space="preserve"> </t>
    </r>
    <r>
      <rPr>
        <sz val="11"/>
        <color rgb="FFFF0000"/>
        <rFont val="돋움"/>
        <family val="3"/>
        <charset val="129"/>
      </rPr>
      <t>현재</t>
    </r>
    <r>
      <rPr>
        <sz val="11"/>
        <color rgb="FFFF0000"/>
        <rFont val="맑은 고딕"/>
        <family val="2"/>
        <scheme val="minor"/>
      </rPr>
      <t xml:space="preserve">, </t>
    </r>
    <r>
      <rPr>
        <sz val="11"/>
        <color rgb="FFFF0000"/>
        <rFont val="돋움"/>
        <family val="3"/>
        <charset val="129"/>
      </rPr>
      <t>과학기술지표</t>
    </r>
    <r>
      <rPr>
        <sz val="11"/>
        <color rgb="FFFF0000"/>
        <rFont val="맑은 고딕"/>
        <family val="2"/>
        <scheme val="minor"/>
      </rPr>
      <t>2022)</t>
    </r>
    <phoneticPr fontId="13" type="noConversion"/>
  </si>
  <si>
    <t>국가생명공학정책연구센터, BioINwatch 22-45, 2020년 국내 R&amp;D 및 바이오분야 예산 흐름, 2022.6.(자료: 과기정통부/KISTEP, 2020년도 국가연구개발사업 조사분석보고서, 2021.8; 과기정통부/KISTEP, 2020년도 연구개발활동조사 보고서, 2022.1)</t>
    <phoneticPr fontId="13" type="noConversion"/>
  </si>
  <si>
    <t>산업통상자원부, 한국바이오협회, 2020년 기준 국내 바이오산업 실태조사 결과 보고서, 2021.12</t>
    <phoneticPr fontId="13" type="noConversion"/>
  </si>
  <si>
    <r>
      <t>◈ 주요국 BT 정부투자 비교</t>
    </r>
    <r>
      <rPr>
        <sz val="11"/>
        <color rgb="FF0000FF"/>
        <rFont val="맑은 고딕"/>
        <family val="3"/>
        <charset val="129"/>
        <scheme val="minor"/>
      </rPr>
      <t>(2020)</t>
    </r>
    <phoneticPr fontId="13" type="noConversion"/>
  </si>
  <si>
    <r>
      <t>◈ 주요 국가 제약 R&amp;D 투자 비교</t>
    </r>
    <r>
      <rPr>
        <sz val="11"/>
        <color rgb="FF0000FF"/>
        <rFont val="맑은 고딕"/>
        <family val="3"/>
        <charset val="129"/>
        <scheme val="minor"/>
      </rPr>
      <t>(2015-2019)</t>
    </r>
    <phoneticPr fontId="13" type="noConversion"/>
  </si>
  <si>
    <t>Frost &amp; Sullivan, Predictions for the Global Life Sciences Industry 2020, 2020.1</t>
    <phoneticPr fontId="13" type="noConversion"/>
  </si>
  <si>
    <t>Pharma &amp; Biotech, IVD(in-vitro diagnostics) &amp; Research Tools 시장으로 구성, 2020년 평균환율 적용 환산</t>
    <phoneticPr fontId="13" type="noConversion"/>
  </si>
  <si>
    <t>Healthcare, Crop Production and Agriculture, Industrial Processing, Natural Resources &amp; Environment, Others 시장으로 구성, 2020년 평균환율 적용 환산</t>
    <phoneticPr fontId="13" type="noConversion"/>
  </si>
  <si>
    <t xml:space="preserve">Frost&amp;Sullivan, Global Pharmaceuticals Outlook 2022, 2022.03; 생명공학정책연구센터 BiolNdustry 168, 글로벌 의약품 시장 현황 및 전망, 2022.3 </t>
    <phoneticPr fontId="13" type="noConversion"/>
  </si>
  <si>
    <t>8. 제약바이오</t>
    <phoneticPr fontId="13" type="noConversion"/>
  </si>
  <si>
    <t>8. 제약바이오</t>
    <phoneticPr fontId="13" type="noConversion"/>
  </si>
  <si>
    <t>의약품 생산 및 수출·수입실적</t>
  </si>
  <si>
    <t xml:space="preserve"> - 2020년 기준 바이오 대학원 졸업자는 11,605명, 바이오산업 종사자는 53,546명, 바이오헬스분야 산업기술인력은 34,140명, 바이오 중소·벤처기업 근로자는 000명</t>
    <phoneticPr fontId="13" type="noConversion"/>
  </si>
  <si>
    <t>◈ 바이오 중소·벤처기업의 총 근로자 및 평균 근로자 수(2018~2020)</t>
    <phoneticPr fontId="13" type="noConversion"/>
  </si>
  <si>
    <t>2020년</t>
    <phoneticPr fontId="13" type="noConversion"/>
  </si>
  <si>
    <t>◈ 바이오 중소·벤처기업의 총 근로자 및 평균 근로자 수(2018~2020)</t>
    <phoneticPr fontId="13" type="noConversion"/>
  </si>
  <si>
    <r>
      <t>○ ’20년 바이오 중소·벤처기업의 총 근로자수는 65,387명(전년대비 22.9%⇧), 기업당 평균 근로자수는 29.6명(전년대비 0.1명</t>
    </r>
    <r>
      <rPr>
        <sz val="11"/>
        <color rgb="FF0000FF"/>
        <rFont val="맑은 고딕"/>
        <family val="3"/>
        <charset val="129"/>
      </rPr>
      <t>↓</t>
    </r>
    <r>
      <rPr>
        <sz val="11"/>
        <color rgb="FF0000FF"/>
        <rFont val="맑은 고딕"/>
        <family val="3"/>
        <charset val="129"/>
        <scheme val="minor"/>
      </rPr>
      <t>)</t>
    </r>
    <phoneticPr fontId="13" type="noConversion"/>
  </si>
  <si>
    <t>생명공학정책연구센터, 2020년 국내 바이오 중소·벤처기업 현황 통계, 2022. 발표 미정</t>
    <phoneticPr fontId="13" type="noConversion"/>
  </si>
  <si>
    <t>◈ 바이오 중소·벤처기업의 분야별 평균 근로자 수(2018~2020)</t>
    <phoneticPr fontId="13" type="noConversion"/>
  </si>
  <si>
    <t>2020년</t>
    <phoneticPr fontId="13" type="noConversion"/>
  </si>
  <si>
    <t>○ ’20년 바이오 중소·벤처기업의 분야별 평균 근로자수는 레드 35.2명(전년대비 2.8명 감소), 플랫폼 33.3명(전년대비 2.7명 증가), 화이트 23.6명 (전년대비 1.7명 감소), 그린 21.2명(전년대비 0.6명 증가) 순</t>
    <phoneticPr fontId="13" type="noConversion"/>
  </si>
  <si>
    <t>◈ 바이오 벤처기업의 총 근로자 및 평균 근로자 수(2018~2020)</t>
    <phoneticPr fontId="13" type="noConversion"/>
  </si>
  <si>
    <t>◈ 바이오 중소·벤처기업의 분야별 평균 근로자 수(2018~2020)</t>
    <phoneticPr fontId="13" type="noConversion"/>
  </si>
  <si>
    <t>◈ 바이오 벤처기업의 총 근로자 및 평균 근로자 수(2018~2020)</t>
    <phoneticPr fontId="13" type="noConversion"/>
  </si>
  <si>
    <t>◈ 바이오 벤처기업의 분야별 평균 근로자 수(2018~2020)</t>
    <phoneticPr fontId="13" type="noConversion"/>
  </si>
  <si>
    <t>벤처기업 2020년</t>
    <phoneticPr fontId="13" type="noConversion"/>
  </si>
  <si>
    <t>바이오 벤처기업 2020년</t>
    <phoneticPr fontId="13" type="noConversion"/>
  </si>
  <si>
    <t>중소벤처기업부, 2020년 벤처기업정밀실태조사, 2020.12</t>
    <phoneticPr fontId="13" type="noConversion"/>
  </si>
  <si>
    <t>중소벤처기업부, 2021년 벤처기업정밀실태조사, 2021.12</t>
    <phoneticPr fontId="13" type="noConversion"/>
  </si>
  <si>
    <t>○ ’20년 바이오 벤처기업의 총 근로자수는 52,334명(전년대비 24% 증가), 기업당 평균 근로자수는 29.9명(전년대비 0.5명 감소)</t>
    <phoneticPr fontId="13" type="noConversion"/>
  </si>
  <si>
    <t xml:space="preserve">  - 기업 당 평균 근로자 수는 전체 벤처기업의 기업 당 평균 근로자수(20.9명) 보다 높은 수준</t>
    <phoneticPr fontId="13" type="noConversion"/>
  </si>
  <si>
    <t>◈ 바이오 벤처기업의 분야별 평균 근로자 수(2018~2020)</t>
    <phoneticPr fontId="13" type="noConversion"/>
  </si>
  <si>
    <t>○ ’20년 바이오 벤처기업의 분야별 근로자수는 레드 35.8명(전년대비 3.8 명 감소), 플랫폼 34.3명(전년대비 2.2명 증가), 화이트 26.7명(전년대비 1.9명 감소), 그린 20.4명(전년대비 0.5명 증가) 순</t>
    <phoneticPr fontId="13" type="noConversion"/>
  </si>
  <si>
    <t>2020년</t>
    <phoneticPr fontId="13" type="noConversion"/>
  </si>
  <si>
    <t>국가승인통계 | 식품의약품안전처 (mfds.go.kr)</t>
    <phoneticPr fontId="13" type="noConversion"/>
  </si>
  <si>
    <r>
      <t>◈ 글로벌 바이오 시장규모</t>
    </r>
    <r>
      <rPr>
        <sz val="11"/>
        <color rgb="FF0000FF"/>
        <rFont val="맑은 고딕"/>
        <family val="3"/>
        <charset val="129"/>
        <scheme val="minor"/>
      </rPr>
      <t>(2020)</t>
    </r>
    <phoneticPr fontId="13" type="noConversion"/>
  </si>
  <si>
    <t>식약처 보도자료, 2021년 국내 의약품·의약외품 생산·수출· 수입 현황, 2022.8.31</t>
    <phoneticPr fontId="13" type="noConversion"/>
  </si>
  <si>
    <t>◈ 국내 전문의약품 품목별 상위 10위 생산실적(2021)</t>
    <phoneticPr fontId="13" type="noConversion"/>
  </si>
  <si>
    <r>
      <t xml:space="preserve">◈ 국내 전문의약품 품목별 상위 </t>
    </r>
    <r>
      <rPr>
        <sz val="11"/>
        <color rgb="FF0000FF"/>
        <rFont val="맑은 고딕"/>
        <family val="3"/>
        <charset val="129"/>
        <scheme val="minor"/>
      </rPr>
      <t>10위 생산실적(2021)</t>
    </r>
    <phoneticPr fontId="13" type="noConversion"/>
  </si>
  <si>
    <r>
      <t xml:space="preserve">◈ 국내 일반의약품 품목별 상위 </t>
    </r>
    <r>
      <rPr>
        <sz val="11"/>
        <color rgb="FF0000FF"/>
        <rFont val="맑은 고딕"/>
        <family val="3"/>
        <charset val="129"/>
        <scheme val="minor"/>
      </rPr>
      <t>10위 생산실적(2021)</t>
    </r>
    <phoneticPr fontId="13" type="noConversion"/>
  </si>
  <si>
    <r>
      <t xml:space="preserve">◈ 국내 완제의약품 품목별 상위 </t>
    </r>
    <r>
      <rPr>
        <sz val="11"/>
        <color rgb="FF0000FF"/>
        <rFont val="맑은 고딕"/>
        <family val="3"/>
        <charset val="129"/>
        <scheme val="minor"/>
      </rPr>
      <t>10위 생산실적(2021)</t>
    </r>
    <phoneticPr fontId="13" type="noConversion"/>
  </si>
  <si>
    <t>2021년</t>
    <phoneticPr fontId="13" type="noConversion"/>
  </si>
  <si>
    <t>한국아스트라제네카백스제브리아주</t>
  </si>
  <si>
    <t>렉키로나주960mg</t>
  </si>
  <si>
    <t>지씨플루쿼드리밸런트 프리필드시린지주</t>
  </si>
  <si>
    <t>(주)종근당</t>
    <phoneticPr fontId="13" type="noConversion"/>
  </si>
  <si>
    <t>나보타주</t>
  </si>
  <si>
    <t>모더나코리아(주)</t>
    <phoneticPr fontId="13" type="noConversion"/>
  </si>
  <si>
    <t>스파이크박스주</t>
    <phoneticPr fontId="13" type="noConversion"/>
  </si>
  <si>
    <t>◈ 국내 일반의약품 품목별 상위 10위 생산실적(2021)</t>
    <phoneticPr fontId="13" type="noConversion"/>
  </si>
  <si>
    <t>타이레놀정500밀리그람</t>
  </si>
  <si>
    <t>비맥스메타정</t>
  </si>
  <si>
    <t>잇치페이스트</t>
  </si>
  <si>
    <t>판피린큐액</t>
  </si>
  <si>
    <t>총 생산실적(일반의약품)</t>
    <phoneticPr fontId="13" type="noConversion"/>
  </si>
  <si>
    <t xml:space="preserve">총 생산실적적(전문의약품) </t>
    <phoneticPr fontId="13" type="noConversion"/>
  </si>
  <si>
    <t>(주)종근당</t>
    <phoneticPr fontId="13" type="noConversion"/>
  </si>
  <si>
    <t>이모튼캡슐</t>
    <phoneticPr fontId="13" type="noConversion"/>
  </si>
  <si>
    <t>○ ‘21년 국내 일반의약품 생산실적 1위는 (주)종근당의 이모튼캡슐(568억원)로 전년대비 17% 증가</t>
    <phoneticPr fontId="13" type="noConversion"/>
  </si>
  <si>
    <t>◈ 국내 완제의약품 품목별 상위 10위 생산실적(2021)</t>
    <phoneticPr fontId="13" type="noConversion"/>
  </si>
  <si>
    <t>지씨플루쿼드리밸런트프리필드시린지주</t>
  </si>
  <si>
    <t>모더나코리아(주)</t>
    <phoneticPr fontId="13" type="noConversion"/>
  </si>
  <si>
    <t>한국아스트라제네카(주)</t>
    <phoneticPr fontId="13" type="noConversion"/>
  </si>
  <si>
    <t>스파이크박스주</t>
    <phoneticPr fontId="13" type="noConversion"/>
  </si>
  <si>
    <t>한국아스트라제네카백스제브리아주</t>
    <phoneticPr fontId="13" type="noConversion"/>
  </si>
  <si>
    <t>한국아스트라제네카(주)</t>
    <phoneticPr fontId="13" type="noConversion"/>
  </si>
  <si>
    <t xml:space="preserve">○ ‘21년 국내 전문의약품 생산실적 1위는 모더나코리아(주)의 코로나19 백신 '스파이크박스주'(4,561억원), 2위는 한국아스트라제네카㈜의 코로나19백신 '한국아스트라제네카백스제브리아주'(4,055억원) </t>
    <phoneticPr fontId="13" type="noConversion"/>
  </si>
  <si>
    <t>(주)셀트리온</t>
    <phoneticPr fontId="13" type="noConversion"/>
  </si>
  <si>
    <t>렉키로나주960mg</t>
    <phoneticPr fontId="13" type="noConversion"/>
  </si>
  <si>
    <t xml:space="preserve">○ ‘21년 국내 완제의약품 생산실적 1위~3위 품목은 코로나19 백신 및 치료제로, 모더나코리아㈜와 한국아스트라제네카㈜의 코로나19 백신과  (주)셀트리온의 코로나19 치료제인 렉키로나주960mg 순 </t>
    <phoneticPr fontId="13" type="noConversion"/>
  </si>
  <si>
    <t>한국거래소(생명공학정책연구센터 재가공, 2022년 6월말 기준)</t>
    <phoneticPr fontId="13" type="noConversion"/>
  </si>
  <si>
    <t xml:space="preserve">○ 2021년 바이오/의료 분야 기술특례상장기업은 14개, 전체 기술특례상장기업의 35.9% 점유 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</si>
</sst>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1" formatCode="_-* #,##0_-;\-* #,##0_-;_-* &quot;-&quot;_-;_-@_-"/>
    <numFmt numFmtId="43" formatCode="_-* #,##0.00_-;\-* #,##0.00_-;_-* &quot;-&quot;??_-;_-@_-"/>
    <numFmt numFmtId="176" formatCode="_(* #,##0_);_(* \(#,##0\);_(* &quot;-&quot;_);_(@_)"/>
    <numFmt numFmtId="177" formatCode="_(* #,##0.00_);_(* \(#,##0.00\);_(* &quot;-&quot;_);_(@_)"/>
    <numFmt numFmtId="178" formatCode="_(* #,##0.0_);_(* \(#,##0.0\);_(* &quot;-&quot;_);_(@_)"/>
    <numFmt numFmtId="179" formatCode="0.0%"/>
    <numFmt numFmtId="180" formatCode="#,##0_ "/>
    <numFmt numFmtId="181" formatCode="###,###,###,##0"/>
    <numFmt numFmtId="182" formatCode="0.0_ "/>
    <numFmt numFmtId="183" formatCode="#,##0.0000_);\(#,##0.0000\)"/>
    <numFmt numFmtId="184" formatCode="0_);[Red]\(0\)"/>
    <numFmt numFmtId="185" formatCode="0.0"/>
    <numFmt numFmtId="186" formatCode="#,##0_);\(#,##0\)"/>
    <numFmt numFmtId="187" formatCode="0.00_ "/>
    <numFmt numFmtId="188" formatCode="_-* #,##0_-;\-* #,##0_-;_-* &quot;-&quot;??_-;_-@_-"/>
    <numFmt numFmtId="189" formatCode="#,##0.0"/>
    <numFmt numFmtId="190" formatCode="0.0_);[Red]\(0.0\)"/>
    <numFmt numFmtId="191" formatCode="0.00_);[Red]\(0.00\)"/>
    <numFmt numFmtId="192" formatCode="_(* #,##0.000_);_(* \(#,##0.000\);_(* &quot;-&quot;_);_(@_)"/>
    <numFmt numFmtId="193" formatCode="#,##0.0_ "/>
    <numFmt numFmtId="194" formatCode="&quot;₩&quot;#,##0"/>
  </numFmts>
  <fonts count="113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2"/>
      <name val="맑은 고딕"/>
      <family val="2"/>
      <charset val="129"/>
      <scheme val="major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1"/>
      <color rgb="FFFF0000"/>
      <name val="맑은 고딕"/>
      <family val="2"/>
      <charset val="129"/>
      <scheme val="minor"/>
    </font>
    <font>
      <sz val="11"/>
      <color theme="1"/>
      <name val="HCI Poppy"/>
      <family val="2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scheme val="minor"/>
    </font>
    <font>
      <sz val="11"/>
      <color theme="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2"/>
      <scheme val="minor"/>
    </font>
    <font>
      <sz val="11"/>
      <name val="HCI Poppy"/>
      <family val="2"/>
    </font>
    <font>
      <sz val="11"/>
      <color rgb="FFFF0000"/>
      <name val="맑은 고딕"/>
      <family val="2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i/>
      <sz val="11"/>
      <color rgb="FF7030A0"/>
      <name val="맑은 고딕"/>
      <family val="3"/>
      <charset val="129"/>
      <scheme val="minor"/>
    </font>
    <font>
      <b/>
      <i/>
      <sz val="11"/>
      <color theme="7"/>
      <name val="맑은 고딕"/>
      <family val="3"/>
      <charset val="129"/>
      <scheme val="minor"/>
    </font>
    <font>
      <sz val="11"/>
      <color rgb="FF00B0F0"/>
      <name val="맑은 고딕"/>
      <family val="3"/>
      <charset val="129"/>
      <scheme val="minor"/>
    </font>
    <font>
      <b/>
      <i/>
      <sz val="11"/>
      <color theme="4"/>
      <name val="맑은 고딕"/>
      <family val="3"/>
      <charset val="129"/>
      <scheme val="minor"/>
    </font>
    <font>
      <sz val="12"/>
      <color rgb="FF434A54"/>
      <name val="Arial"/>
      <family val="2"/>
    </font>
    <font>
      <sz val="11"/>
      <name val="맑은 고딕"/>
      <family val="3"/>
      <charset val="128"/>
      <scheme val="minor"/>
    </font>
    <font>
      <sz val="11"/>
      <color rgb="FFFF0000"/>
      <name val="맑은 고딕"/>
      <family val="3"/>
      <charset val="129"/>
      <scheme val="minor"/>
    </font>
    <font>
      <sz val="11"/>
      <color indexed="8"/>
      <name val="맑은 고딕"/>
      <family val="2"/>
      <scheme val="minor"/>
    </font>
    <font>
      <sz val="11"/>
      <color rgb="FFFF0000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0"/>
      <color theme="1"/>
      <name val="Arial"/>
      <family val="2"/>
    </font>
    <font>
      <sz val="11"/>
      <color rgb="FF000000"/>
      <name val="맑은 고딕"/>
      <family val="3"/>
      <charset val="129"/>
      <scheme val="minor"/>
    </font>
    <font>
      <sz val="10"/>
      <color rgb="FF000000"/>
      <name val="한컴돋움"/>
      <family val="1"/>
      <charset val="129"/>
    </font>
    <font>
      <sz val="11"/>
      <color rgb="FF000000"/>
      <name val="한컴돋움"/>
      <family val="1"/>
      <charset val="129"/>
    </font>
    <font>
      <sz val="11"/>
      <color rgb="FF000000"/>
      <name val="맑은 고딕"/>
      <family val="3"/>
      <charset val="129"/>
      <scheme val="maj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8"/>
      <name val="굴림체"/>
      <family val="2"/>
      <charset val="129"/>
    </font>
    <font>
      <sz val="10"/>
      <name val="맑은 고딕"/>
      <family val="3"/>
      <charset val="129"/>
    </font>
    <font>
      <sz val="10"/>
      <name val="굴림체"/>
      <family val="2"/>
      <charset val="129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</font>
    <font>
      <sz val="11"/>
      <name val="맑은 고딕"/>
      <family val="2"/>
      <charset val="129"/>
      <scheme val="minor"/>
    </font>
    <font>
      <sz val="11"/>
      <color rgb="FF484848"/>
      <name val="맑은 고딕"/>
      <family val="3"/>
      <charset val="129"/>
      <scheme val="minor"/>
    </font>
    <font>
      <sz val="11"/>
      <color rgb="FF0000FF"/>
      <name val="맑은 고딕"/>
      <family val="3"/>
      <charset val="129"/>
      <scheme val="minor"/>
    </font>
    <font>
      <b/>
      <i/>
      <sz val="11"/>
      <color rgb="FF0000FF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i/>
      <sz val="11"/>
      <color rgb="FF0000FF"/>
      <name val="맑은 고딕"/>
      <family val="3"/>
      <charset val="129"/>
      <scheme val="minor"/>
    </font>
    <font>
      <sz val="11"/>
      <color rgb="FF0000FF"/>
      <name val="맑은 고딕"/>
      <family val="3"/>
      <charset val="129"/>
    </font>
    <font>
      <sz val="11"/>
      <color rgb="FF0000FF"/>
      <name val="맑은 고딕"/>
      <family val="2"/>
      <scheme val="minor"/>
    </font>
    <font>
      <b/>
      <sz val="11"/>
      <color rgb="FF0000FF"/>
      <name val="맑은 고딕"/>
      <family val="3"/>
      <charset val="129"/>
      <scheme val="minor"/>
    </font>
    <font>
      <sz val="11"/>
      <color rgb="FF0000FF"/>
      <name val="맑은 고딕"/>
      <family val="3"/>
      <charset val="129"/>
      <scheme val="major"/>
    </font>
    <font>
      <b/>
      <sz val="11"/>
      <color rgb="FF0000FF"/>
      <name val="맑은 고딕"/>
      <family val="3"/>
      <charset val="129"/>
    </font>
    <font>
      <sz val="10"/>
      <color rgb="FF000000"/>
      <name val="KoPubWorld돋움체 Light"/>
      <family val="3"/>
      <charset val="129"/>
    </font>
    <font>
      <sz val="11"/>
      <color rgb="FF0000FF"/>
      <name val="HCI Poppy"/>
      <family val="2"/>
    </font>
    <font>
      <sz val="11"/>
      <color rgb="FF0000FF"/>
      <name val="맑은 고딕"/>
      <family val="2"/>
    </font>
    <font>
      <sz val="11"/>
      <color rgb="FF0000FF"/>
      <name val="맑은 고딕"/>
      <family val="3"/>
      <charset val="128"/>
      <scheme val="minor"/>
    </font>
    <font>
      <sz val="11"/>
      <color rgb="FF0000FF"/>
      <name val="Inherit"/>
      <family val="2"/>
    </font>
    <font>
      <sz val="9.35"/>
      <color rgb="FF0000FF"/>
      <name val="맑은 고딕"/>
      <family val="3"/>
      <charset val="129"/>
    </font>
    <font>
      <sz val="11"/>
      <color rgb="FF0000FF"/>
      <name val="NotoL"/>
      <family val="2"/>
    </font>
    <font>
      <sz val="11"/>
      <color rgb="FFFF0000"/>
      <name val="Inherit"/>
    </font>
    <font>
      <sz val="14"/>
      <color rgb="FFFF0000"/>
      <name val="Inherit"/>
      <family val="2"/>
    </font>
    <font>
      <sz val="11"/>
      <color rgb="FF000000"/>
      <name val="맑은 고딕"/>
      <family val="3"/>
      <charset val="129"/>
    </font>
    <font>
      <sz val="10"/>
      <color rgb="FF0000FF"/>
      <name val="맑은 고딕"/>
      <family val="3"/>
      <charset val="129"/>
      <scheme val="minor"/>
    </font>
    <font>
      <sz val="11"/>
      <color rgb="FF0000FF"/>
      <name val="맑은 고딕"/>
      <family val="2"/>
      <charset val="129"/>
      <scheme val="minor"/>
    </font>
    <font>
      <sz val="10"/>
      <color indexed="8"/>
      <name val="맑은 고딕"/>
      <family val="3"/>
      <charset val="129"/>
    </font>
    <font>
      <sz val="10"/>
      <color theme="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sz val="10"/>
      <color rgb="FF0000FF"/>
      <name val="맑은 고딕"/>
      <family val="3"/>
      <charset val="129"/>
      <scheme val="major"/>
    </font>
    <font>
      <b/>
      <sz val="11"/>
      <color rgb="FF0000FF"/>
      <name val="맑은 고딕"/>
      <family val="3"/>
      <charset val="129"/>
      <scheme val="major"/>
    </font>
    <font>
      <sz val="11"/>
      <color indexed="8"/>
      <name val="맑은 고딕"/>
      <family val="3"/>
      <charset val="129"/>
    </font>
    <font>
      <b/>
      <sz val="11"/>
      <color rgb="FFFF0000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11"/>
      <color rgb="FFFF0000"/>
      <name val="맑은 고딕"/>
      <family val="3"/>
      <charset val="129"/>
    </font>
    <font>
      <sz val="9.35"/>
      <color rgb="FFFF0000"/>
      <name val="맑은 고딕"/>
      <family val="3"/>
      <charset val="129"/>
    </font>
    <font>
      <b/>
      <i/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sz val="11"/>
      <color rgb="FF000000"/>
      <name val="맑은 고딕"/>
      <family val="2"/>
      <scheme val="minor"/>
    </font>
    <font>
      <sz val="12"/>
      <color rgb="FF000000"/>
      <name val="돋움"/>
      <family val="3"/>
      <charset val="129"/>
    </font>
    <font>
      <b/>
      <i/>
      <sz val="11"/>
      <name val="맑은 고딕"/>
      <family val="2"/>
      <charset val="129"/>
      <scheme val="minor"/>
    </font>
    <font>
      <b/>
      <i/>
      <sz val="11"/>
      <name val="맑은 고딕"/>
      <family val="3"/>
      <charset val="128"/>
      <scheme val="minor"/>
    </font>
    <font>
      <b/>
      <i/>
      <sz val="11"/>
      <name val="맑은 고딕"/>
      <family val="3"/>
      <charset val="129"/>
      <scheme val="minor"/>
    </font>
    <font>
      <sz val="11"/>
      <name val="맑은 고딕"/>
      <family val="2"/>
    </font>
    <font>
      <b/>
      <sz val="11"/>
      <name val="맑은 고딕"/>
      <family val="3"/>
      <charset val="128"/>
      <scheme val="minor"/>
    </font>
    <font>
      <sz val="8"/>
      <color theme="1"/>
      <name val="Arial"/>
      <family val="2"/>
    </font>
    <font>
      <sz val="11"/>
      <color theme="1"/>
      <name val="Arial"/>
      <family val="2"/>
    </font>
    <font>
      <sz val="11"/>
      <color rgb="FF0000FF"/>
      <name val="Arial"/>
      <family val="2"/>
    </font>
    <font>
      <sz val="13"/>
      <color rgb="FF333333"/>
      <name val="NotoL"/>
      <family val="2"/>
    </font>
    <font>
      <sz val="12"/>
      <color rgb="FF313131"/>
      <name val="맑은 고딕"/>
      <family val="3"/>
      <charset val="129"/>
      <scheme val="minor"/>
    </font>
    <font>
      <sz val="11"/>
      <color rgb="FF0000FF"/>
      <name val="맑은 고딕"/>
      <family val="2"/>
      <scheme val="major"/>
    </font>
    <font>
      <b/>
      <sz val="11"/>
      <color rgb="FFFF0000"/>
      <name val="맑은 고딕"/>
      <family val="3"/>
      <charset val="129"/>
    </font>
    <font>
      <b/>
      <i/>
      <sz val="11"/>
      <color rgb="FFFF0000"/>
      <name val="맑은 고딕"/>
      <family val="3"/>
      <charset val="129"/>
      <scheme val="minor"/>
    </font>
    <font>
      <b/>
      <sz val="11"/>
      <color rgb="FFFF0000"/>
      <name val="맑은 고딕"/>
      <family val="2"/>
      <charset val="129"/>
    </font>
    <font>
      <sz val="11"/>
      <color rgb="FF0000FF"/>
      <name val="맑은 고딕"/>
      <family val="2"/>
      <charset val="129"/>
    </font>
    <font>
      <b/>
      <sz val="11"/>
      <color theme="1"/>
      <name val="맑은 고딕"/>
      <family val="2"/>
      <scheme val="minor"/>
    </font>
    <font>
      <sz val="11"/>
      <color rgb="FFFF5050"/>
      <name val="맑은 고딕"/>
      <family val="3"/>
      <charset val="129"/>
      <scheme val="minor"/>
    </font>
    <font>
      <u/>
      <sz val="11"/>
      <color theme="10"/>
      <name val="맑은 고딕"/>
      <family val="2"/>
      <scheme val="minor"/>
    </font>
    <font>
      <u/>
      <sz val="11"/>
      <color theme="10"/>
      <name val="맑은 고딕"/>
      <family val="3"/>
      <charset val="129"/>
      <scheme val="minor"/>
    </font>
    <font>
      <sz val="10"/>
      <color rgb="FF0000FF"/>
      <name val="Arial"/>
      <family val="2"/>
    </font>
    <font>
      <sz val="11"/>
      <color rgb="FFFF0000"/>
      <name val="돋움"/>
      <family val="3"/>
      <charset val="129"/>
    </font>
  </fonts>
  <fills count="2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BCBDC0"/>
        <bgColor indexed="64"/>
      </patternFill>
    </fill>
    <fill>
      <patternFill patternType="solid">
        <fgColor rgb="FF367266"/>
        <bgColor indexed="64"/>
      </patternFill>
    </fill>
    <fill>
      <patternFill patternType="solid">
        <fgColor rgb="FF62C7C4"/>
        <bgColor indexed="64"/>
      </patternFill>
    </fill>
    <fill>
      <patternFill patternType="solid">
        <fgColor rgb="FF95C55F"/>
        <bgColor indexed="64"/>
      </patternFill>
    </fill>
    <fill>
      <patternFill patternType="solid">
        <fgColor rgb="FF3CADB8"/>
        <bgColor indexed="64"/>
      </patternFill>
    </fill>
    <fill>
      <patternFill patternType="solid">
        <fgColor rgb="FFF4A42A"/>
        <bgColor indexed="64"/>
      </patternFill>
    </fill>
    <fill>
      <patternFill patternType="solid">
        <fgColor rgb="FFF48065"/>
        <bgColor indexed="64"/>
      </patternFill>
    </fill>
    <fill>
      <patternFill patternType="solid">
        <fgColor rgb="FFF26651"/>
        <bgColor indexed="64"/>
      </patternFill>
    </fill>
    <fill>
      <patternFill patternType="solid">
        <fgColor rgb="FF7E8DC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DA4D9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FCFFE1"/>
        <bgColor indexed="64"/>
      </patternFill>
    </fill>
  </fills>
  <borders count="25">
    <border>
      <left/>
      <right/>
      <top/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double">
        <color auto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/>
      <bottom/>
      <diagonal/>
    </border>
  </borders>
  <cellStyleXfs count="105">
    <xf numFmtId="0" fontId="0" fillId="0" borderId="0"/>
    <xf numFmtId="176" fontId="12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/>
    <xf numFmtId="0" fontId="11" fillId="0" borderId="0">
      <alignment vertical="center"/>
    </xf>
    <xf numFmtId="0" fontId="11" fillId="0" borderId="0">
      <alignment vertical="center"/>
    </xf>
    <xf numFmtId="0" fontId="15" fillId="0" borderId="0"/>
    <xf numFmtId="0" fontId="16" fillId="0" borderId="0"/>
    <xf numFmtId="176" fontId="15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7" fillId="2" borderId="0" applyNumberFormat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9" fillId="0" borderId="0">
      <alignment vertical="center"/>
    </xf>
    <xf numFmtId="41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15" fillId="0" borderId="0"/>
    <xf numFmtId="0" fontId="8" fillId="0" borderId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36" fillId="0" borderId="0">
      <alignment vertical="center"/>
    </xf>
    <xf numFmtId="41" fontId="36" fillId="0" borderId="0" applyFont="0" applyFill="0" applyBorder="0" applyAlignment="0" applyProtection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7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0" fontId="38" fillId="0" borderId="0"/>
    <xf numFmtId="0" fontId="15" fillId="0" borderId="0"/>
    <xf numFmtId="0" fontId="7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36" fillId="0" borderId="0">
      <alignment vertical="center"/>
    </xf>
    <xf numFmtId="41" fontId="36" fillId="0" borderId="0" applyFont="0" applyFill="0" applyBorder="0" applyAlignment="0" applyProtection="0">
      <alignment vertical="center"/>
    </xf>
    <xf numFmtId="0" fontId="36" fillId="0" borderId="0">
      <alignment vertical="center"/>
    </xf>
    <xf numFmtId="0" fontId="7" fillId="0" borderId="0">
      <alignment vertical="center"/>
    </xf>
    <xf numFmtId="41" fontId="36" fillId="0" borderId="0" applyFont="0" applyFill="0" applyBorder="0" applyAlignment="0" applyProtection="0">
      <alignment vertical="center"/>
    </xf>
    <xf numFmtId="41" fontId="36" fillId="0" borderId="0" applyFont="0" applyFill="0" applyBorder="0" applyAlignment="0" applyProtection="0">
      <alignment vertical="center"/>
    </xf>
    <xf numFmtId="41" fontId="3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1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1" fontId="6" fillId="0" borderId="0" applyFont="0" applyFill="0" applyBorder="0" applyAlignment="0" applyProtection="0">
      <alignment vertical="center"/>
    </xf>
    <xf numFmtId="0" fontId="38" fillId="0" borderId="0"/>
    <xf numFmtId="41" fontId="6" fillId="0" borderId="0" applyFont="0" applyFill="0" applyBorder="0" applyAlignment="0" applyProtection="0">
      <alignment vertical="center"/>
    </xf>
    <xf numFmtId="41" fontId="36" fillId="0" borderId="0" applyFont="0" applyFill="0" applyBorder="0" applyAlignment="0" applyProtection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9" fontId="3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1" fontId="6" fillId="0" borderId="0" applyFont="0" applyFill="0" applyBorder="0" applyAlignment="0" applyProtection="0">
      <alignment vertical="center"/>
    </xf>
    <xf numFmtId="0" fontId="38" fillId="0" borderId="0"/>
    <xf numFmtId="41" fontId="6" fillId="0" borderId="0" applyFont="0" applyFill="0" applyBorder="0" applyAlignment="0" applyProtection="0">
      <alignment vertical="center"/>
    </xf>
    <xf numFmtId="0" fontId="15" fillId="0" borderId="0"/>
    <xf numFmtId="0" fontId="6" fillId="0" borderId="0">
      <alignment vertical="center"/>
    </xf>
    <xf numFmtId="0" fontId="16" fillId="0" borderId="0"/>
    <xf numFmtId="41" fontId="15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15" fillId="0" borderId="0"/>
    <xf numFmtId="0" fontId="6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1" fontId="6" fillId="0" borderId="0" applyFont="0" applyFill="0" applyBorder="0" applyAlignment="0" applyProtection="0">
      <alignment vertical="center"/>
    </xf>
    <xf numFmtId="0" fontId="38" fillId="0" borderId="0"/>
    <xf numFmtId="41" fontId="6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41" fontId="36" fillId="0" borderId="0" applyFont="0" applyFill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8" fillId="20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41" fontId="5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36" fillId="0" borderId="0">
      <alignment vertical="center"/>
    </xf>
    <xf numFmtId="0" fontId="19" fillId="0" borderId="0">
      <alignment vertical="center"/>
    </xf>
    <xf numFmtId="0" fontId="3" fillId="0" borderId="0">
      <alignment vertical="center"/>
    </xf>
    <xf numFmtId="41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41" fontId="83" fillId="0" borderId="0" applyFont="0" applyFill="0" applyBorder="0" applyAlignment="0" applyProtection="0">
      <alignment vertical="center"/>
    </xf>
    <xf numFmtId="41" fontId="36" fillId="0" borderId="0" applyFont="0" applyFill="0" applyBorder="0" applyAlignment="0" applyProtection="0">
      <alignment vertical="center"/>
    </xf>
  </cellStyleXfs>
  <cellXfs count="725">
    <xf numFmtId="0" fontId="0" fillId="0" borderId="0" xfId="0"/>
    <xf numFmtId="0" fontId="21" fillId="3" borderId="0" xfId="0" applyFont="1" applyFill="1" applyAlignment="1">
      <alignment vertical="center"/>
    </xf>
    <xf numFmtId="0" fontId="0" fillId="0" borderId="0" xfId="0" applyAlignment="1">
      <alignment vertical="center"/>
    </xf>
    <xf numFmtId="177" fontId="12" fillId="0" borderId="0" xfId="1" applyNumberFormat="1" applyFont="1" applyAlignment="1">
      <alignment vertical="center"/>
    </xf>
    <xf numFmtId="177" fontId="12" fillId="0" borderId="0" xfId="1" applyNumberFormat="1" applyFont="1" applyAlignment="1"/>
    <xf numFmtId="177" fontId="19" fillId="0" borderId="0" xfId="1" applyNumberFormat="1" applyFont="1" applyAlignment="1" applyProtection="1">
      <alignment vertical="center"/>
    </xf>
    <xf numFmtId="177" fontId="20" fillId="3" borderId="0" xfId="1" applyNumberFormat="1" applyFont="1" applyFill="1" applyAlignment="1" applyProtection="1">
      <alignment vertical="center"/>
    </xf>
    <xf numFmtId="177" fontId="21" fillId="3" borderId="0" xfId="1" applyNumberFormat="1" applyFont="1" applyFill="1" applyAlignment="1">
      <alignment vertical="center"/>
    </xf>
    <xf numFmtId="177" fontId="19" fillId="3" borderId="0" xfId="1" applyNumberFormat="1" applyFont="1" applyFill="1" applyAlignment="1">
      <alignment vertical="center"/>
    </xf>
    <xf numFmtId="177" fontId="19" fillId="0" borderId="0" xfId="1" applyNumberFormat="1" applyFont="1" applyAlignment="1">
      <alignment vertical="center"/>
    </xf>
    <xf numFmtId="177" fontId="12" fillId="3" borderId="0" xfId="1" applyNumberFormat="1" applyFont="1" applyFill="1" applyAlignment="1">
      <alignment vertical="center"/>
    </xf>
    <xf numFmtId="176" fontId="19" fillId="7" borderId="0" xfId="1" applyFont="1" applyFill="1" applyAlignment="1" applyProtection="1">
      <alignment vertical="center"/>
    </xf>
    <xf numFmtId="176" fontId="19" fillId="9" borderId="0" xfId="1" applyFont="1" applyFill="1" applyAlignment="1" applyProtection="1">
      <alignment vertical="center"/>
    </xf>
    <xf numFmtId="176" fontId="19" fillId="10" borderId="0" xfId="1" applyFont="1" applyFill="1" applyAlignment="1" applyProtection="1">
      <alignment vertical="center"/>
    </xf>
    <xf numFmtId="176" fontId="19" fillId="11" borderId="0" xfId="1" applyFont="1" applyFill="1" applyAlignment="1" applyProtection="1">
      <alignment vertical="center"/>
    </xf>
    <xf numFmtId="176" fontId="19" fillId="6" borderId="0" xfId="1" applyFont="1" applyFill="1" applyAlignment="1" applyProtection="1">
      <alignment vertical="center"/>
    </xf>
    <xf numFmtId="176" fontId="19" fillId="8" borderId="0" xfId="1" applyFont="1" applyFill="1" applyAlignment="1" applyProtection="1">
      <alignment vertical="center"/>
    </xf>
    <xf numFmtId="176" fontId="19" fillId="5" borderId="0" xfId="1" applyFont="1" applyFill="1" applyAlignment="1" applyProtection="1">
      <alignment vertical="center"/>
    </xf>
    <xf numFmtId="176" fontId="19" fillId="4" borderId="0" xfId="1" applyFont="1" applyFill="1" applyAlignment="1" applyProtection="1">
      <alignment vertical="center"/>
    </xf>
    <xf numFmtId="176" fontId="19" fillId="0" borderId="0" xfId="1" applyFont="1" applyFill="1" applyAlignment="1" applyProtection="1">
      <alignment vertical="center"/>
    </xf>
    <xf numFmtId="176" fontId="20" fillId="3" borderId="0" xfId="1" applyFont="1" applyFill="1" applyAlignment="1" applyProtection="1">
      <alignment vertical="center"/>
    </xf>
    <xf numFmtId="176" fontId="21" fillId="3" borderId="0" xfId="1" applyFont="1" applyFill="1" applyAlignment="1">
      <alignment vertical="center"/>
    </xf>
    <xf numFmtId="176" fontId="22" fillId="0" borderId="0" xfId="1" applyFont="1" applyAlignment="1" applyProtection="1">
      <alignment vertical="center"/>
    </xf>
    <xf numFmtId="176" fontId="22" fillId="3" borderId="0" xfId="1" applyFont="1" applyFill="1" applyAlignment="1" applyProtection="1">
      <alignment vertical="center"/>
    </xf>
    <xf numFmtId="176" fontId="22" fillId="0" borderId="0" xfId="1" applyFont="1" applyFill="1" applyAlignment="1" applyProtection="1">
      <alignment vertical="center"/>
    </xf>
    <xf numFmtId="10" fontId="22" fillId="0" borderId="0" xfId="13" applyNumberFormat="1" applyFont="1" applyFill="1" applyAlignment="1" applyProtection="1">
      <alignment vertical="center"/>
    </xf>
    <xf numFmtId="10" fontId="22" fillId="0" borderId="0" xfId="13" applyNumberFormat="1" applyFont="1" applyAlignment="1" applyProtection="1">
      <alignment vertical="center"/>
    </xf>
    <xf numFmtId="176" fontId="19" fillId="3" borderId="0" xfId="1" applyFont="1" applyFill="1" applyAlignment="1">
      <alignment vertical="center"/>
    </xf>
    <xf numFmtId="9" fontId="22" fillId="0" borderId="0" xfId="13" applyFont="1" applyFill="1" applyAlignment="1" applyProtection="1">
      <alignment vertical="center"/>
    </xf>
    <xf numFmtId="177" fontId="22" fillId="3" borderId="0" xfId="1" applyNumberFormat="1" applyFont="1" applyFill="1" applyAlignment="1">
      <alignment vertical="center"/>
    </xf>
    <xf numFmtId="177" fontId="23" fillId="3" borderId="0" xfId="1" applyNumberFormat="1" applyFont="1" applyFill="1" applyAlignment="1">
      <alignment vertical="center"/>
    </xf>
    <xf numFmtId="177" fontId="23" fillId="0" borderId="0" xfId="1" applyNumberFormat="1" applyFont="1" applyAlignment="1">
      <alignment vertical="center"/>
    </xf>
    <xf numFmtId="177" fontId="22" fillId="0" borderId="0" xfId="1" applyNumberFormat="1" applyFont="1" applyAlignment="1">
      <alignment vertical="center"/>
    </xf>
    <xf numFmtId="176" fontId="22" fillId="0" borderId="0" xfId="1" applyNumberFormat="1" applyFont="1" applyAlignment="1">
      <alignment vertical="center"/>
    </xf>
    <xf numFmtId="10" fontId="22" fillId="0" borderId="0" xfId="13" applyNumberFormat="1" applyFont="1" applyAlignment="1">
      <alignment vertical="center"/>
    </xf>
    <xf numFmtId="176" fontId="22" fillId="0" borderId="0" xfId="1" applyFont="1" applyAlignment="1">
      <alignment vertical="center"/>
    </xf>
    <xf numFmtId="180" fontId="22" fillId="0" borderId="0" xfId="1" applyNumberFormat="1" applyFont="1" applyAlignment="1">
      <alignment vertical="center"/>
    </xf>
    <xf numFmtId="9" fontId="22" fillId="0" borderId="0" xfId="13" applyNumberFormat="1" applyFont="1" applyAlignment="1">
      <alignment vertical="center"/>
    </xf>
    <xf numFmtId="176" fontId="19" fillId="0" borderId="0" xfId="1" applyFont="1" applyAlignment="1">
      <alignment vertical="center"/>
    </xf>
    <xf numFmtId="10" fontId="19" fillId="0" borderId="0" xfId="13" applyNumberFormat="1" applyFont="1" applyAlignment="1">
      <alignment vertical="center"/>
    </xf>
    <xf numFmtId="176" fontId="12" fillId="3" borderId="0" xfId="1" applyFont="1" applyFill="1" applyAlignment="1">
      <alignment vertical="center"/>
    </xf>
    <xf numFmtId="176" fontId="19" fillId="0" borderId="0" xfId="1" applyFont="1" applyFill="1" applyAlignment="1">
      <alignment vertical="center"/>
    </xf>
    <xf numFmtId="180" fontId="19" fillId="0" borderId="0" xfId="1" applyNumberFormat="1" applyFont="1" applyAlignment="1">
      <alignment vertical="center"/>
    </xf>
    <xf numFmtId="178" fontId="19" fillId="0" borderId="0" xfId="1" applyNumberFormat="1" applyFont="1" applyAlignment="1">
      <alignment vertical="center"/>
    </xf>
    <xf numFmtId="176" fontId="19" fillId="0" borderId="0" xfId="1" applyNumberFormat="1" applyFont="1" applyAlignment="1">
      <alignment vertical="center"/>
    </xf>
    <xf numFmtId="179" fontId="22" fillId="0" borderId="0" xfId="13" applyNumberFormat="1" applyFont="1" applyAlignment="1" applyProtection="1">
      <alignment vertical="center"/>
    </xf>
    <xf numFmtId="176" fontId="0" fillId="0" borderId="0" xfId="1" applyFont="1" applyFill="1" applyAlignment="1"/>
    <xf numFmtId="179" fontId="12" fillId="0" borderId="0" xfId="13" applyNumberFormat="1" applyFont="1" applyAlignment="1">
      <alignment vertical="center"/>
    </xf>
    <xf numFmtId="10" fontId="12" fillId="0" borderId="0" xfId="13" applyNumberFormat="1" applyFont="1" applyAlignment="1">
      <alignment vertical="center"/>
    </xf>
    <xf numFmtId="178" fontId="12" fillId="0" borderId="0" xfId="1" applyNumberFormat="1" applyFont="1" applyAlignment="1"/>
    <xf numFmtId="178" fontId="12" fillId="0" borderId="0" xfId="1" applyNumberFormat="1" applyFont="1" applyAlignment="1">
      <alignment vertical="center"/>
    </xf>
    <xf numFmtId="9" fontId="22" fillId="0" borderId="0" xfId="13" applyFont="1" applyAlignment="1" applyProtection="1">
      <alignment vertical="center"/>
    </xf>
    <xf numFmtId="178" fontId="22" fillId="0" borderId="0" xfId="1" applyNumberFormat="1" applyFont="1" applyAlignment="1" applyProtection="1">
      <alignment vertical="center"/>
    </xf>
    <xf numFmtId="176" fontId="23" fillId="0" borderId="0" xfId="1" applyFont="1" applyAlignment="1">
      <alignment vertical="center"/>
    </xf>
    <xf numFmtId="179" fontId="23" fillId="0" borderId="0" xfId="13" applyNumberFormat="1" applyFont="1" applyAlignment="1">
      <alignment vertical="center"/>
    </xf>
    <xf numFmtId="178" fontId="23" fillId="0" borderId="0" xfId="1" applyNumberFormat="1" applyFont="1" applyAlignment="1">
      <alignment vertical="center"/>
    </xf>
    <xf numFmtId="179" fontId="22" fillId="0" borderId="0" xfId="13" applyNumberFormat="1" applyFont="1" applyFill="1" applyAlignment="1" applyProtection="1">
      <alignment vertical="center"/>
    </xf>
    <xf numFmtId="178" fontId="22" fillId="0" borderId="0" xfId="1" applyNumberFormat="1" applyFont="1" applyFill="1" applyAlignment="1" applyProtection="1">
      <alignment vertical="center"/>
    </xf>
    <xf numFmtId="177" fontId="22" fillId="0" borderId="0" xfId="1" applyNumberFormat="1" applyFont="1" applyFill="1" applyAlignment="1">
      <alignment vertical="center"/>
    </xf>
    <xf numFmtId="177" fontId="0" fillId="0" borderId="0" xfId="1" applyNumberFormat="1" applyFont="1" applyAlignment="1"/>
    <xf numFmtId="177" fontId="0" fillId="0" borderId="0" xfId="1" applyNumberFormat="1" applyFont="1" applyAlignment="1">
      <alignment vertical="center"/>
    </xf>
    <xf numFmtId="176" fontId="19" fillId="0" borderId="0" xfId="1" quotePrefix="1" applyFont="1" applyAlignment="1">
      <alignment vertical="center"/>
    </xf>
    <xf numFmtId="0" fontId="0" fillId="14" borderId="0" xfId="0" applyFill="1" applyAlignment="1">
      <alignment vertical="center"/>
    </xf>
    <xf numFmtId="0" fontId="25" fillId="0" borderId="0" xfId="0" applyFont="1" applyFill="1" applyAlignment="1">
      <alignment vertical="center"/>
    </xf>
    <xf numFmtId="176" fontId="22" fillId="0" borderId="0" xfId="1" applyNumberFormat="1" applyFont="1" applyFill="1" applyBorder="1" applyAlignment="1">
      <alignment vertical="center"/>
    </xf>
    <xf numFmtId="176" fontId="22" fillId="0" borderId="0" xfId="1" applyNumberFormat="1" applyFont="1" applyFill="1" applyAlignment="1">
      <alignment vertical="center"/>
    </xf>
    <xf numFmtId="178" fontId="22" fillId="0" borderId="0" xfId="1" applyNumberFormat="1" applyFont="1" applyFill="1" applyBorder="1" applyAlignment="1">
      <alignment vertical="center"/>
    </xf>
    <xf numFmtId="0" fontId="25" fillId="0" borderId="0" xfId="0" applyFont="1" applyAlignment="1">
      <alignment vertical="center"/>
    </xf>
    <xf numFmtId="176" fontId="22" fillId="0" borderId="0" xfId="1" applyFont="1" applyAlignment="1" applyProtection="1">
      <alignment horizontal="center" vertical="center"/>
    </xf>
    <xf numFmtId="176" fontId="17" fillId="2" borderId="0" xfId="12" applyNumberFormat="1" applyAlignment="1" applyProtection="1">
      <alignment vertical="center"/>
    </xf>
    <xf numFmtId="177" fontId="17" fillId="2" borderId="0" xfId="12" applyNumberFormat="1" applyAlignment="1">
      <alignment vertical="center"/>
    </xf>
    <xf numFmtId="176" fontId="17" fillId="2" borderId="0" xfId="12" applyNumberFormat="1" applyAlignment="1">
      <alignment vertical="center"/>
    </xf>
    <xf numFmtId="177" fontId="17" fillId="2" borderId="0" xfId="12" applyNumberFormat="1" applyAlignment="1"/>
    <xf numFmtId="177" fontId="19" fillId="0" borderId="0" xfId="1" applyNumberFormat="1" applyFont="1" applyFill="1" applyAlignment="1">
      <alignment vertical="center"/>
    </xf>
    <xf numFmtId="177" fontId="12" fillId="0" borderId="0" xfId="1" applyNumberFormat="1" applyFont="1" applyFill="1" applyAlignment="1">
      <alignment vertical="center"/>
    </xf>
    <xf numFmtId="176" fontId="12" fillId="0" borderId="0" xfId="1" applyFont="1" applyFill="1" applyAlignment="1">
      <alignment vertical="center"/>
    </xf>
    <xf numFmtId="177" fontId="23" fillId="0" borderId="0" xfId="1" applyNumberFormat="1" applyFont="1" applyFill="1" applyAlignment="1">
      <alignment vertical="center"/>
    </xf>
    <xf numFmtId="0" fontId="19" fillId="0" borderId="0" xfId="0" applyFont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19" fillId="0" borderId="1" xfId="0" applyFont="1" applyBorder="1" applyAlignment="1">
      <alignment vertical="center"/>
    </xf>
    <xf numFmtId="0" fontId="19" fillId="0" borderId="0" xfId="0" applyFont="1" applyBorder="1" applyAlignment="1">
      <alignment vertical="center"/>
    </xf>
    <xf numFmtId="0" fontId="19" fillId="0" borderId="2" xfId="0" applyFont="1" applyBorder="1" applyAlignment="1">
      <alignment vertical="center"/>
    </xf>
    <xf numFmtId="176" fontId="0" fillId="12" borderId="0" xfId="1" applyFont="1" applyFill="1" applyAlignment="1">
      <alignment vertical="center"/>
    </xf>
    <xf numFmtId="176" fontId="0" fillId="13" borderId="0" xfId="1" applyFont="1" applyFill="1" applyAlignment="1">
      <alignment vertical="center"/>
    </xf>
    <xf numFmtId="176" fontId="22" fillId="0" borderId="3" xfId="1" applyFont="1" applyBorder="1" applyAlignment="1" applyProtection="1">
      <alignment vertical="center"/>
    </xf>
    <xf numFmtId="0" fontId="0" fillId="0" borderId="0" xfId="0" quotePrefix="1" applyAlignment="1">
      <alignment vertical="center"/>
    </xf>
    <xf numFmtId="176" fontId="22" fillId="0" borderId="0" xfId="1" applyFont="1" applyAlignment="1" applyProtection="1">
      <alignment horizontal="right" vertical="center"/>
    </xf>
    <xf numFmtId="10" fontId="26" fillId="0" borderId="4" xfId="13" applyNumberFormat="1" applyFont="1" applyFill="1" applyBorder="1" applyAlignment="1" applyProtection="1">
      <alignment vertical="center"/>
    </xf>
    <xf numFmtId="0" fontId="17" fillId="2" borderId="0" xfId="12" applyAlignment="1">
      <alignment vertical="center"/>
    </xf>
    <xf numFmtId="0" fontId="25" fillId="0" borderId="0" xfId="0" quotePrefix="1" applyFont="1" applyAlignment="1">
      <alignment vertical="center"/>
    </xf>
    <xf numFmtId="176" fontId="26" fillId="0" borderId="0" xfId="1" applyFont="1" applyAlignment="1" applyProtection="1">
      <alignment horizontal="center" vertical="center"/>
    </xf>
    <xf numFmtId="177" fontId="29" fillId="2" borderId="0" xfId="12" applyNumberFormat="1" applyFont="1" applyAlignment="1">
      <alignment vertical="center"/>
    </xf>
    <xf numFmtId="177" fontId="30" fillId="2" borderId="0" xfId="12" applyNumberFormat="1" applyFont="1" applyAlignment="1">
      <alignment vertical="center"/>
    </xf>
    <xf numFmtId="177" fontId="28" fillId="0" borderId="0" xfId="23" applyNumberFormat="1" applyAlignment="1">
      <alignment vertical="center"/>
    </xf>
    <xf numFmtId="176" fontId="31" fillId="0" borderId="0" xfId="1" applyFont="1" applyFill="1" applyAlignment="1">
      <alignment vertical="center"/>
    </xf>
    <xf numFmtId="176" fontId="31" fillId="0" borderId="0" xfId="1" applyFont="1" applyAlignment="1">
      <alignment vertical="center"/>
    </xf>
    <xf numFmtId="177" fontId="25" fillId="0" borderId="0" xfId="1" applyNumberFormat="1" applyFont="1" applyAlignment="1">
      <alignment vertical="center"/>
    </xf>
    <xf numFmtId="176" fontId="28" fillId="0" borderId="0" xfId="23" applyNumberFormat="1" applyAlignment="1">
      <alignment vertical="center"/>
    </xf>
    <xf numFmtId="176" fontId="22" fillId="0" borderId="0" xfId="1" applyNumberFormat="1" applyFont="1" applyBorder="1" applyAlignment="1">
      <alignment vertical="center"/>
    </xf>
    <xf numFmtId="177" fontId="22" fillId="0" borderId="0" xfId="1" applyNumberFormat="1" applyFont="1" applyBorder="1" applyAlignment="1">
      <alignment vertical="center"/>
    </xf>
    <xf numFmtId="0" fontId="28" fillId="0" borderId="0" xfId="23" applyAlignment="1"/>
    <xf numFmtId="177" fontId="32" fillId="2" borderId="0" xfId="12" applyNumberFormat="1" applyFont="1" applyAlignment="1">
      <alignment vertical="center"/>
    </xf>
    <xf numFmtId="9" fontId="33" fillId="0" borderId="0" xfId="0" applyNumberFormat="1" applyFont="1"/>
    <xf numFmtId="9" fontId="22" fillId="0" borderId="0" xfId="1" applyNumberFormat="1" applyFont="1" applyAlignment="1" applyProtection="1">
      <alignment vertical="center"/>
    </xf>
    <xf numFmtId="176" fontId="22" fillId="2" borderId="0" xfId="1" applyFont="1" applyFill="1" applyAlignment="1" applyProtection="1">
      <alignment vertical="center"/>
    </xf>
    <xf numFmtId="176" fontId="22" fillId="0" borderId="0" xfId="1" applyFont="1" applyBorder="1" applyAlignment="1" applyProtection="1">
      <alignment vertical="center"/>
    </xf>
    <xf numFmtId="176" fontId="22" fillId="0" borderId="0" xfId="1" applyFont="1" applyBorder="1" applyAlignment="1" applyProtection="1">
      <alignment horizontal="right" vertical="center"/>
    </xf>
    <xf numFmtId="177" fontId="22" fillId="0" borderId="0" xfId="1" applyNumberFormat="1" applyFont="1" applyFill="1" applyAlignment="1" applyProtection="1">
      <alignment vertical="center"/>
    </xf>
    <xf numFmtId="177" fontId="22" fillId="0" borderId="0" xfId="13" applyNumberFormat="1" applyFont="1" applyFill="1" applyAlignment="1" applyProtection="1">
      <alignment vertical="center"/>
    </xf>
    <xf numFmtId="177" fontId="22" fillId="0" borderId="0" xfId="1" applyNumberFormat="1" applyFont="1" applyAlignment="1" applyProtection="1">
      <alignment vertical="center"/>
    </xf>
    <xf numFmtId="176" fontId="22" fillId="18" borderId="0" xfId="1" applyFont="1" applyFill="1" applyBorder="1" applyAlignment="1" applyProtection="1">
      <alignment vertical="center"/>
    </xf>
    <xf numFmtId="9" fontId="22" fillId="0" borderId="0" xfId="13" applyFont="1" applyBorder="1" applyAlignment="1" applyProtection="1">
      <alignment vertical="center"/>
    </xf>
    <xf numFmtId="176" fontId="35" fillId="0" borderId="0" xfId="1" applyFont="1" applyAlignment="1" applyProtection="1">
      <alignment vertical="center"/>
    </xf>
    <xf numFmtId="176" fontId="22" fillId="0" borderId="0" xfId="1" applyFont="1" applyFill="1" applyBorder="1" applyAlignment="1" applyProtection="1">
      <alignment vertical="center"/>
    </xf>
    <xf numFmtId="0" fontId="36" fillId="0" borderId="0" xfId="52" applyNumberFormat="1">
      <alignment vertical="center"/>
    </xf>
    <xf numFmtId="41" fontId="36" fillId="0" borderId="0" xfId="55" applyFont="1">
      <alignment vertical="center"/>
    </xf>
    <xf numFmtId="3" fontId="36" fillId="0" borderId="0" xfId="38" applyNumberFormat="1" applyFill="1" applyAlignment="1">
      <alignment vertical="center"/>
    </xf>
    <xf numFmtId="180" fontId="36" fillId="0" borderId="0" xfId="38" applyNumberFormat="1" applyFill="1" applyAlignment="1">
      <alignment vertical="center"/>
    </xf>
    <xf numFmtId="3" fontId="37" fillId="0" borderId="0" xfId="38" applyNumberFormat="1" applyFont="1" applyFill="1" applyAlignment="1">
      <alignment vertical="center"/>
    </xf>
    <xf numFmtId="180" fontId="36" fillId="0" borderId="0" xfId="38" applyNumberFormat="1" applyFill="1" applyAlignment="1"/>
    <xf numFmtId="180" fontId="36" fillId="0" borderId="0" xfId="38" applyNumberFormat="1" applyFill="1">
      <alignment vertical="center"/>
    </xf>
    <xf numFmtId="176" fontId="26" fillId="0" borderId="4" xfId="1" applyNumberFormat="1" applyFont="1" applyBorder="1" applyAlignment="1">
      <alignment vertical="center"/>
    </xf>
    <xf numFmtId="179" fontId="36" fillId="0" borderId="4" xfId="13" applyNumberFormat="1" applyFont="1" applyFill="1" applyBorder="1" applyAlignment="1">
      <alignment vertical="center"/>
    </xf>
    <xf numFmtId="179" fontId="36" fillId="0" borderId="4" xfId="13" applyNumberFormat="1" applyFont="1" applyFill="1" applyBorder="1" applyAlignment="1"/>
    <xf numFmtId="179" fontId="36" fillId="0" borderId="4" xfId="13" applyNumberFormat="1" applyFont="1" applyFill="1" applyBorder="1">
      <alignment vertical="center"/>
    </xf>
    <xf numFmtId="179" fontId="22" fillId="0" borderId="4" xfId="13" applyNumberFormat="1" applyFont="1" applyFill="1" applyBorder="1" applyAlignment="1" applyProtection="1">
      <alignment vertical="center"/>
    </xf>
    <xf numFmtId="176" fontId="22" fillId="14" borderId="0" xfId="1" applyFont="1" applyFill="1" applyAlignment="1" applyProtection="1">
      <alignment vertical="center"/>
    </xf>
    <xf numFmtId="3" fontId="36" fillId="0" borderId="0" xfId="38" applyNumberFormat="1" applyFill="1" applyBorder="1" applyAlignment="1">
      <alignment vertical="center"/>
    </xf>
    <xf numFmtId="180" fontId="36" fillId="0" borderId="0" xfId="38" applyNumberFormat="1" applyFill="1" applyBorder="1" applyAlignment="1">
      <alignment vertical="center"/>
    </xf>
    <xf numFmtId="180" fontId="36" fillId="0" borderId="0" xfId="38" applyNumberFormat="1" applyFill="1" applyBorder="1" applyAlignment="1"/>
    <xf numFmtId="180" fontId="36" fillId="0" borderId="0" xfId="38" applyNumberFormat="1" applyFill="1" applyBorder="1">
      <alignment vertical="center"/>
    </xf>
    <xf numFmtId="176" fontId="26" fillId="0" borderId="0" xfId="1" applyNumberFormat="1" applyFont="1" applyFill="1" applyBorder="1" applyAlignment="1">
      <alignment vertical="center"/>
    </xf>
    <xf numFmtId="180" fontId="36" fillId="0" borderId="0" xfId="38" applyNumberFormat="1" applyFont="1" applyFill="1" applyBorder="1" applyAlignment="1">
      <alignment vertical="center"/>
    </xf>
    <xf numFmtId="179" fontId="22" fillId="0" borderId="0" xfId="13" applyNumberFormat="1" applyFont="1" applyFill="1" applyBorder="1" applyAlignment="1" applyProtection="1">
      <alignment vertical="center"/>
    </xf>
    <xf numFmtId="0" fontId="15" fillId="0" borderId="0" xfId="3" applyAlignment="1">
      <alignment horizontal="left"/>
    </xf>
    <xf numFmtId="41" fontId="36" fillId="0" borderId="0" xfId="69" applyFont="1">
      <alignment vertical="center"/>
    </xf>
    <xf numFmtId="0" fontId="36" fillId="0" borderId="0" xfId="38" applyFill="1" applyBorder="1">
      <alignment vertical="center"/>
    </xf>
    <xf numFmtId="180" fontId="36" fillId="0" borderId="0" xfId="38" applyNumberFormat="1">
      <alignment vertical="center"/>
    </xf>
    <xf numFmtId="180" fontId="39" fillId="0" borderId="0" xfId="38" applyNumberFormat="1" applyFont="1" applyFill="1" applyBorder="1" applyAlignment="1"/>
    <xf numFmtId="179" fontId="36" fillId="0" borderId="0" xfId="13" applyNumberFormat="1" applyFont="1" applyFill="1" applyBorder="1" applyAlignment="1">
      <alignment vertical="center"/>
    </xf>
    <xf numFmtId="179" fontId="36" fillId="0" borderId="0" xfId="13" applyNumberFormat="1" applyFont="1" applyFill="1" applyBorder="1" applyAlignment="1"/>
    <xf numFmtId="179" fontId="36" fillId="0" borderId="0" xfId="13" applyNumberFormat="1" applyFont="1" applyFill="1" applyBorder="1">
      <alignment vertical="center"/>
    </xf>
    <xf numFmtId="180" fontId="36" fillId="0" borderId="0" xfId="38" applyNumberFormat="1" applyAlignment="1"/>
    <xf numFmtId="181" fontId="0" fillId="0" borderId="0" xfId="0" applyNumberFormat="1" applyAlignment="1">
      <alignment vertical="center"/>
    </xf>
    <xf numFmtId="176" fontId="22" fillId="0" borderId="0" xfId="0" applyNumberFormat="1" applyFont="1" applyFill="1" applyAlignment="1" applyProtection="1">
      <alignment vertical="center"/>
    </xf>
    <xf numFmtId="10" fontId="22" fillId="0" borderId="0" xfId="13" applyNumberFormat="1" applyFont="1" applyFill="1" applyAlignment="1">
      <alignment vertical="center"/>
    </xf>
    <xf numFmtId="10" fontId="22" fillId="0" borderId="0" xfId="13" applyNumberFormat="1" applyFont="1" applyFill="1" applyBorder="1" applyAlignment="1">
      <alignment vertical="center"/>
    </xf>
    <xf numFmtId="0" fontId="40" fillId="0" borderId="0" xfId="0" applyFont="1" applyBorder="1" applyAlignment="1">
      <alignment horizontal="justify" vertical="center" wrapText="1"/>
    </xf>
    <xf numFmtId="176" fontId="40" fillId="0" borderId="0" xfId="1" applyFont="1" applyFill="1" applyBorder="1" applyAlignment="1" applyProtection="1">
      <alignment horizontal="justify" vertical="center" wrapText="1"/>
    </xf>
    <xf numFmtId="0" fontId="41" fillId="0" borderId="0" xfId="0" applyFont="1" applyBorder="1" applyAlignment="1">
      <alignment horizontal="justify" vertical="center" wrapText="1"/>
    </xf>
    <xf numFmtId="3" fontId="42" fillId="0" borderId="0" xfId="0" applyNumberFormat="1" applyFont="1" applyBorder="1" applyAlignment="1">
      <alignment horizontal="right" vertical="center" wrapText="1"/>
    </xf>
    <xf numFmtId="179" fontId="22" fillId="0" borderId="0" xfId="13" applyNumberFormat="1" applyFont="1" applyBorder="1" applyAlignment="1" applyProtection="1">
      <alignment vertical="center"/>
    </xf>
    <xf numFmtId="179" fontId="22" fillId="0" borderId="0" xfId="1" applyNumberFormat="1" applyFont="1" applyBorder="1" applyAlignment="1" applyProtection="1">
      <alignment vertical="center"/>
    </xf>
    <xf numFmtId="3" fontId="43" fillId="0" borderId="0" xfId="0" applyNumberFormat="1" applyFont="1" applyAlignment="1">
      <alignment horizontal="right" vertical="center"/>
    </xf>
    <xf numFmtId="0" fontId="43" fillId="0" borderId="0" xfId="0" applyFont="1" applyAlignment="1">
      <alignment horizontal="right" vertical="center"/>
    </xf>
    <xf numFmtId="178" fontId="22" fillId="0" borderId="0" xfId="1" applyNumberFormat="1" applyFont="1" applyFill="1" applyBorder="1" applyAlignment="1" applyProtection="1">
      <alignment vertical="center"/>
    </xf>
    <xf numFmtId="176" fontId="44" fillId="3" borderId="0" xfId="1" applyFont="1" applyFill="1" applyAlignment="1" applyProtection="1">
      <alignment vertical="center"/>
    </xf>
    <xf numFmtId="176" fontId="45" fillId="3" borderId="0" xfId="1" applyFont="1" applyFill="1" applyAlignment="1">
      <alignment vertical="center"/>
    </xf>
    <xf numFmtId="177" fontId="46" fillId="3" borderId="0" xfId="1" applyNumberFormat="1" applyFont="1" applyFill="1" applyAlignment="1">
      <alignment vertical="center"/>
    </xf>
    <xf numFmtId="177" fontId="17" fillId="2" borderId="0" xfId="12" applyNumberFormat="1" applyFont="1" applyAlignment="1">
      <alignment vertical="center"/>
    </xf>
    <xf numFmtId="176" fontId="23" fillId="0" borderId="0" xfId="1" applyNumberFormat="1" applyFont="1" applyAlignment="1">
      <alignment vertical="center"/>
    </xf>
    <xf numFmtId="176" fontId="22" fillId="0" borderId="0" xfId="1" applyFont="1" applyBorder="1" applyAlignment="1">
      <alignment vertical="center"/>
    </xf>
    <xf numFmtId="176" fontId="19" fillId="0" borderId="0" xfId="1" applyFont="1" applyBorder="1" applyAlignment="1">
      <alignment vertical="center"/>
    </xf>
    <xf numFmtId="177" fontId="23" fillId="0" borderId="4" xfId="1" applyNumberFormat="1" applyFont="1" applyBorder="1" applyAlignment="1">
      <alignment vertical="center"/>
    </xf>
    <xf numFmtId="179" fontId="22" fillId="0" borderId="0" xfId="13" applyNumberFormat="1" applyFont="1" applyBorder="1" applyAlignment="1">
      <alignment vertical="center"/>
    </xf>
    <xf numFmtId="178" fontId="22" fillId="0" borderId="0" xfId="1" applyNumberFormat="1" applyFont="1" applyBorder="1" applyAlignment="1">
      <alignment vertical="center"/>
    </xf>
    <xf numFmtId="177" fontId="23" fillId="0" borderId="0" xfId="1" applyNumberFormat="1" applyFont="1" applyBorder="1" applyAlignment="1">
      <alignment vertical="center"/>
    </xf>
    <xf numFmtId="177" fontId="22" fillId="0" borderId="4" xfId="1" applyNumberFormat="1" applyFont="1" applyFill="1" applyBorder="1" applyAlignment="1">
      <alignment vertical="center"/>
    </xf>
    <xf numFmtId="176" fontId="35" fillId="0" borderId="0" xfId="1" applyFont="1" applyAlignment="1">
      <alignment vertical="center"/>
    </xf>
    <xf numFmtId="9" fontId="19" fillId="0" borderId="0" xfId="13" applyFont="1" applyAlignment="1">
      <alignment vertical="center"/>
    </xf>
    <xf numFmtId="179" fontId="19" fillId="0" borderId="0" xfId="13" applyNumberFormat="1" applyFont="1" applyAlignment="1">
      <alignment vertical="center"/>
    </xf>
    <xf numFmtId="176" fontId="22" fillId="0" borderId="0" xfId="1" applyFont="1" applyFill="1" applyAlignment="1">
      <alignment vertical="center"/>
    </xf>
    <xf numFmtId="177" fontId="35" fillId="0" borderId="0" xfId="1" applyNumberFormat="1" applyFont="1" applyAlignment="1">
      <alignment vertical="center"/>
    </xf>
    <xf numFmtId="178" fontId="22" fillId="0" borderId="0" xfId="1" applyNumberFormat="1" applyFont="1" applyAlignment="1">
      <alignment vertical="center"/>
    </xf>
    <xf numFmtId="9" fontId="22" fillId="0" borderId="0" xfId="13" applyFont="1" applyAlignment="1">
      <alignment vertical="center"/>
    </xf>
    <xf numFmtId="183" fontId="22" fillId="0" borderId="0" xfId="1" applyNumberFormat="1" applyFont="1" applyAlignment="1">
      <alignment vertical="center"/>
    </xf>
    <xf numFmtId="184" fontId="22" fillId="0" borderId="0" xfId="1" applyNumberFormat="1" applyFont="1" applyAlignment="1">
      <alignment vertical="center"/>
    </xf>
    <xf numFmtId="184" fontId="22" fillId="0" borderId="0" xfId="13" applyNumberFormat="1" applyFont="1" applyAlignment="1">
      <alignment vertical="center"/>
    </xf>
    <xf numFmtId="177" fontId="54" fillId="0" borderId="0" xfId="23" applyNumberFormat="1" applyFont="1" applyAlignment="1">
      <alignment vertical="center"/>
    </xf>
    <xf numFmtId="0" fontId="5" fillId="0" borderId="0" xfId="93" applyFill="1" applyBorder="1">
      <alignment vertical="center"/>
    </xf>
    <xf numFmtId="0" fontId="5" fillId="0" borderId="0" xfId="93" applyFont="1" applyFill="1" applyBorder="1">
      <alignment vertical="center"/>
    </xf>
    <xf numFmtId="180" fontId="5" fillId="0" borderId="0" xfId="94" applyNumberFormat="1">
      <alignment vertical="center"/>
    </xf>
    <xf numFmtId="0" fontId="5" fillId="0" borderId="0" xfId="93" applyFill="1">
      <alignment vertical="center"/>
    </xf>
    <xf numFmtId="0" fontId="5" fillId="0" borderId="4" xfId="93" applyFont="1" applyFill="1" applyBorder="1">
      <alignment vertical="center"/>
    </xf>
    <xf numFmtId="41" fontId="5" fillId="0" borderId="0" xfId="95" applyFont="1" applyBorder="1">
      <alignment vertical="center"/>
    </xf>
    <xf numFmtId="177" fontId="17" fillId="2" borderId="0" xfId="12" applyNumberFormat="1" applyFont="1" applyFill="1" applyAlignment="1">
      <alignment vertical="center"/>
    </xf>
    <xf numFmtId="0" fontId="55" fillId="0" borderId="0" xfId="0" applyFont="1"/>
    <xf numFmtId="0" fontId="0" fillId="2" borderId="0" xfId="0" applyFill="1"/>
    <xf numFmtId="9" fontId="0" fillId="0" borderId="0" xfId="13" applyFont="1" applyAlignment="1"/>
    <xf numFmtId="0" fontId="22" fillId="0" borderId="0" xfId="1" applyNumberFormat="1" applyFont="1" applyAlignment="1">
      <alignment vertical="center"/>
    </xf>
    <xf numFmtId="0" fontId="19" fillId="0" borderId="0" xfId="0" applyFont="1" applyFill="1" applyAlignment="1">
      <alignment vertical="center"/>
    </xf>
    <xf numFmtId="177" fontId="56" fillId="0" borderId="0" xfId="1" applyNumberFormat="1" applyFont="1" applyAlignment="1">
      <alignment vertical="center"/>
    </xf>
    <xf numFmtId="186" fontId="56" fillId="0" borderId="0" xfId="1" applyNumberFormat="1" applyFont="1" applyAlignment="1">
      <alignment vertical="center"/>
    </xf>
    <xf numFmtId="10" fontId="56" fillId="0" borderId="0" xfId="1" applyNumberFormat="1" applyFont="1" applyAlignment="1">
      <alignment vertical="center"/>
    </xf>
    <xf numFmtId="180" fontId="56" fillId="0" borderId="0" xfId="1" applyNumberFormat="1" applyFont="1" applyAlignment="1">
      <alignment vertical="center"/>
    </xf>
    <xf numFmtId="178" fontId="56" fillId="0" borderId="0" xfId="1" applyNumberFormat="1" applyFont="1" applyAlignment="1">
      <alignment vertical="center"/>
    </xf>
    <xf numFmtId="177" fontId="56" fillId="16" borderId="0" xfId="1" applyNumberFormat="1" applyFont="1" applyFill="1" applyAlignment="1">
      <alignment vertical="center"/>
    </xf>
    <xf numFmtId="176" fontId="56" fillId="0" borderId="0" xfId="1" applyNumberFormat="1" applyFont="1" applyAlignment="1">
      <alignment vertical="center"/>
    </xf>
    <xf numFmtId="176" fontId="56" fillId="0" borderId="0" xfId="1" applyFont="1" applyAlignment="1">
      <alignment vertical="center"/>
    </xf>
    <xf numFmtId="179" fontId="56" fillId="0" borderId="0" xfId="13" applyNumberFormat="1" applyFont="1" applyAlignment="1">
      <alignment vertical="center"/>
    </xf>
    <xf numFmtId="177" fontId="56" fillId="17" borderId="0" xfId="1" applyNumberFormat="1" applyFont="1" applyFill="1" applyAlignment="1">
      <alignment vertical="center"/>
    </xf>
    <xf numFmtId="0" fontId="56" fillId="0" borderId="0" xfId="0" applyFont="1"/>
    <xf numFmtId="177" fontId="57" fillId="2" borderId="0" xfId="12" applyNumberFormat="1" applyFont="1" applyAlignment="1">
      <alignment vertical="center"/>
    </xf>
    <xf numFmtId="179" fontId="22" fillId="0" borderId="0" xfId="13" applyNumberFormat="1" applyFont="1" applyFill="1" applyAlignment="1">
      <alignment vertical="center"/>
    </xf>
    <xf numFmtId="179" fontId="22" fillId="0" borderId="0" xfId="13" applyNumberFormat="1" applyFont="1" applyAlignment="1">
      <alignment vertical="center"/>
    </xf>
    <xf numFmtId="176" fontId="56" fillId="0" borderId="0" xfId="1" applyFont="1" applyAlignment="1" applyProtection="1">
      <alignment vertical="center"/>
    </xf>
    <xf numFmtId="176" fontId="56" fillId="0" borderId="0" xfId="1" quotePrefix="1" applyFont="1" applyAlignment="1" applyProtection="1">
      <alignment vertical="center"/>
    </xf>
    <xf numFmtId="0" fontId="57" fillId="2" borderId="0" xfId="12" applyFont="1" applyAlignment="1">
      <alignment vertical="center"/>
    </xf>
    <xf numFmtId="176" fontId="57" fillId="2" borderId="0" xfId="1" applyFont="1" applyFill="1" applyAlignment="1">
      <alignment vertical="center"/>
    </xf>
    <xf numFmtId="176" fontId="57" fillId="2" borderId="0" xfId="12" applyNumberFormat="1" applyFont="1" applyAlignment="1" applyProtection="1">
      <alignment vertical="center"/>
    </xf>
    <xf numFmtId="10" fontId="56" fillId="0" borderId="0" xfId="13" applyNumberFormat="1" applyFont="1" applyFill="1" applyAlignment="1" applyProtection="1">
      <alignment vertical="center"/>
    </xf>
    <xf numFmtId="177" fontId="56" fillId="0" borderId="0" xfId="1" applyNumberFormat="1" applyFont="1" applyFill="1" applyAlignment="1" applyProtection="1">
      <alignment vertical="center"/>
    </xf>
    <xf numFmtId="177" fontId="56" fillId="0" borderId="0" xfId="13" applyNumberFormat="1" applyFont="1" applyFill="1" applyAlignment="1" applyProtection="1">
      <alignment vertical="center"/>
    </xf>
    <xf numFmtId="177" fontId="56" fillId="0" borderId="0" xfId="1" applyNumberFormat="1" applyFont="1" applyAlignment="1" applyProtection="1">
      <alignment vertical="center"/>
    </xf>
    <xf numFmtId="0" fontId="35" fillId="0" borderId="0" xfId="0" applyFont="1" applyAlignment="1">
      <alignment vertical="center"/>
    </xf>
    <xf numFmtId="3" fontId="56" fillId="0" borderId="0" xfId="0" applyNumberFormat="1" applyFont="1" applyBorder="1" applyAlignment="1">
      <alignment horizontal="right" vertical="center"/>
    </xf>
    <xf numFmtId="3" fontId="58" fillId="0" borderId="0" xfId="0" applyNumberFormat="1" applyFont="1" applyFill="1" applyBorder="1" applyAlignment="1">
      <alignment vertical="center"/>
    </xf>
    <xf numFmtId="179" fontId="60" fillId="0" borderId="0" xfId="13" applyNumberFormat="1" applyFont="1" applyFill="1" applyBorder="1" applyAlignment="1">
      <alignment vertical="center"/>
    </xf>
    <xf numFmtId="3" fontId="56" fillId="0" borderId="0" xfId="0" applyNumberFormat="1" applyFont="1"/>
    <xf numFmtId="0" fontId="56" fillId="0" borderId="0" xfId="0" applyFont="1" applyAlignment="1">
      <alignment horizontal="right"/>
    </xf>
    <xf numFmtId="179" fontId="56" fillId="0" borderId="0" xfId="13" applyNumberFormat="1" applyFont="1" applyAlignment="1" applyProtection="1">
      <alignment vertical="center"/>
    </xf>
    <xf numFmtId="180" fontId="0" fillId="0" borderId="0" xfId="0" applyNumberFormat="1" applyBorder="1" applyAlignment="1">
      <alignment vertical="center"/>
    </xf>
    <xf numFmtId="3" fontId="0" fillId="0" borderId="0" xfId="0" applyNumberFormat="1" applyFill="1" applyBorder="1" applyAlignment="1">
      <alignment vertical="center"/>
    </xf>
    <xf numFmtId="3" fontId="56" fillId="0" borderId="0" xfId="0" applyNumberFormat="1" applyFont="1" applyFill="1" applyBorder="1" applyAlignment="1">
      <alignment vertical="center"/>
    </xf>
    <xf numFmtId="176" fontId="56" fillId="0" borderId="0" xfId="1" applyFont="1" applyFill="1" applyBorder="1" applyAlignment="1" applyProtection="1">
      <alignment vertical="center"/>
    </xf>
    <xf numFmtId="3" fontId="19" fillId="0" borderId="0" xfId="0" applyNumberFormat="1" applyFont="1" applyFill="1" applyBorder="1" applyAlignment="1">
      <alignment horizontal="right" vertical="center" wrapText="1"/>
    </xf>
    <xf numFmtId="176" fontId="56" fillId="18" borderId="0" xfId="1" applyFont="1" applyFill="1" applyBorder="1" applyAlignment="1" applyProtection="1">
      <alignment vertical="center"/>
    </xf>
    <xf numFmtId="176" fontId="56" fillId="0" borderId="0" xfId="1" applyFont="1" applyBorder="1" applyAlignment="1" applyProtection="1">
      <alignment vertical="center"/>
    </xf>
    <xf numFmtId="9" fontId="56" fillId="0" borderId="0" xfId="13" applyFont="1" applyBorder="1" applyAlignment="1" applyProtection="1">
      <alignment vertical="center"/>
    </xf>
    <xf numFmtId="176" fontId="56" fillId="0" borderId="0" xfId="1" applyNumberFormat="1" applyFont="1" applyBorder="1" applyAlignment="1">
      <alignment vertical="center"/>
    </xf>
    <xf numFmtId="179" fontId="56" fillId="0" borderId="0" xfId="13" applyNumberFormat="1" applyFont="1" applyBorder="1" applyAlignment="1" applyProtection="1">
      <alignment vertical="center"/>
    </xf>
    <xf numFmtId="178" fontId="56" fillId="0" borderId="0" xfId="1" applyNumberFormat="1" applyFont="1" applyAlignment="1" applyProtection="1">
      <alignment vertical="center"/>
    </xf>
    <xf numFmtId="176" fontId="56" fillId="0" borderId="0" xfId="1" applyFont="1" applyFill="1" applyAlignment="1" applyProtection="1">
      <alignment vertical="center"/>
    </xf>
    <xf numFmtId="3" fontId="56" fillId="0" borderId="0" xfId="0" applyNumberFormat="1" applyFont="1" applyAlignment="1">
      <alignment vertical="center"/>
    </xf>
    <xf numFmtId="0" fontId="0" fillId="0" borderId="4" xfId="0" applyBorder="1" applyAlignment="1">
      <alignment vertical="center"/>
    </xf>
    <xf numFmtId="3" fontId="0" fillId="0" borderId="4" xfId="0" applyNumberFormat="1" applyBorder="1" applyAlignment="1">
      <alignment vertical="center"/>
    </xf>
    <xf numFmtId="3" fontId="61" fillId="0" borderId="0" xfId="0" applyNumberFormat="1" applyFont="1" applyAlignment="1">
      <alignment vertical="center"/>
    </xf>
    <xf numFmtId="0" fontId="61" fillId="0" borderId="0" xfId="0" applyFont="1" applyAlignment="1">
      <alignment vertical="center"/>
    </xf>
    <xf numFmtId="176" fontId="61" fillId="0" borderId="0" xfId="1" applyFont="1" applyAlignment="1" applyProtection="1">
      <alignment vertical="center"/>
    </xf>
    <xf numFmtId="10" fontId="56" fillId="0" borderId="0" xfId="13" applyNumberFormat="1" applyFont="1" applyAlignment="1" applyProtection="1">
      <alignment vertical="center"/>
    </xf>
    <xf numFmtId="176" fontId="56" fillId="0" borderId="0" xfId="1" applyFont="1" applyBorder="1">
      <alignment vertical="center"/>
    </xf>
    <xf numFmtId="10" fontId="56" fillId="0" borderId="0" xfId="13" applyNumberFormat="1" applyFont="1" applyAlignment="1">
      <alignment vertical="center"/>
    </xf>
    <xf numFmtId="0" fontId="56" fillId="0" borderId="0" xfId="0" applyFont="1" applyAlignment="1">
      <alignment vertical="center"/>
    </xf>
    <xf numFmtId="176" fontId="56" fillId="17" borderId="0" xfId="1" applyNumberFormat="1" applyFont="1" applyFill="1" applyAlignment="1">
      <alignment vertical="center"/>
    </xf>
    <xf numFmtId="176" fontId="22" fillId="0" borderId="0" xfId="0" applyNumberFormat="1" applyFont="1" applyAlignment="1" applyProtection="1">
      <alignment vertical="center"/>
    </xf>
    <xf numFmtId="0" fontId="22" fillId="0" borderId="0" xfId="0" applyFont="1" applyFill="1" applyAlignment="1" applyProtection="1">
      <alignment vertical="center"/>
    </xf>
    <xf numFmtId="179" fontId="56" fillId="0" borderId="0" xfId="13" applyNumberFormat="1" applyFont="1" applyFill="1" applyAlignment="1" applyProtection="1">
      <alignment vertical="center"/>
    </xf>
    <xf numFmtId="178" fontId="56" fillId="0" borderId="0" xfId="1" applyNumberFormat="1" applyFont="1" applyFill="1" applyAlignment="1" applyProtection="1">
      <alignment vertical="center"/>
    </xf>
    <xf numFmtId="179" fontId="22" fillId="0" borderId="0" xfId="1" applyNumberFormat="1" applyFont="1" applyAlignment="1">
      <alignment vertical="center"/>
    </xf>
    <xf numFmtId="179" fontId="22" fillId="16" borderId="0" xfId="1" applyNumberFormat="1" applyFont="1" applyFill="1" applyAlignment="1">
      <alignment vertical="center"/>
    </xf>
    <xf numFmtId="179" fontId="22" fillId="16" borderId="5" xfId="1" applyNumberFormat="1" applyFont="1" applyFill="1" applyBorder="1" applyAlignment="1">
      <alignment vertical="center"/>
    </xf>
    <xf numFmtId="179" fontId="61" fillId="0" borderId="0" xfId="1" applyNumberFormat="1" applyFont="1" applyAlignment="1" applyProtection="1">
      <alignment vertical="center"/>
    </xf>
    <xf numFmtId="179" fontId="61" fillId="0" borderId="0" xfId="1" applyNumberFormat="1" applyFont="1" applyFill="1" applyAlignment="1" applyProtection="1">
      <alignment vertical="center"/>
    </xf>
    <xf numFmtId="3" fontId="63" fillId="0" borderId="0" xfId="0" applyNumberFormat="1" applyFont="1" applyAlignment="1">
      <alignment horizontal="right" vertical="center"/>
    </xf>
    <xf numFmtId="0" fontId="63" fillId="0" borderId="0" xfId="0" applyFont="1" applyAlignment="1">
      <alignment horizontal="right" vertical="center"/>
    </xf>
    <xf numFmtId="176" fontId="63" fillId="0" borderId="0" xfId="1" applyFont="1" applyFill="1" applyAlignment="1" applyProtection="1">
      <alignment vertical="center"/>
    </xf>
    <xf numFmtId="179" fontId="56" fillId="0" borderId="0" xfId="0" applyNumberFormat="1" applyFont="1"/>
    <xf numFmtId="179" fontId="63" fillId="0" borderId="0" xfId="0" applyNumberFormat="1" applyFont="1" applyBorder="1" applyAlignment="1">
      <alignment vertical="center" wrapText="1"/>
    </xf>
    <xf numFmtId="179" fontId="63" fillId="0" borderId="0" xfId="13" applyNumberFormat="1" applyFont="1" applyFill="1" applyBorder="1" applyAlignment="1" applyProtection="1">
      <alignment vertical="center"/>
    </xf>
    <xf numFmtId="176" fontId="64" fillId="2" borderId="0" xfId="12" applyNumberFormat="1" applyFont="1" applyAlignment="1" applyProtection="1">
      <alignment vertical="center"/>
    </xf>
    <xf numFmtId="176" fontId="56" fillId="0" borderId="0" xfId="1" applyNumberFormat="1" applyFont="1" applyFill="1" applyAlignment="1">
      <alignment vertical="center"/>
    </xf>
    <xf numFmtId="178" fontId="56" fillId="0" borderId="0" xfId="1" applyNumberFormat="1" applyFont="1" applyFill="1" applyBorder="1" applyAlignment="1">
      <alignment vertical="center"/>
    </xf>
    <xf numFmtId="0" fontId="65" fillId="0" borderId="0" xfId="0" applyFont="1" applyBorder="1" applyAlignment="1">
      <alignment horizontal="center" vertical="center" wrapText="1"/>
    </xf>
    <xf numFmtId="177" fontId="22" fillId="0" borderId="0" xfId="1" applyNumberFormat="1" applyFont="1" applyFill="1" applyBorder="1" applyAlignment="1" applyProtection="1">
      <alignment vertical="center"/>
    </xf>
    <xf numFmtId="177" fontId="22" fillId="0" borderId="0" xfId="1" applyNumberFormat="1" applyFont="1" applyBorder="1" applyAlignment="1" applyProtection="1">
      <alignment vertical="center"/>
    </xf>
    <xf numFmtId="178" fontId="22" fillId="0" borderId="0" xfId="1" applyNumberFormat="1" applyFont="1" applyBorder="1" applyAlignment="1" applyProtection="1">
      <alignment vertical="center"/>
    </xf>
    <xf numFmtId="177" fontId="61" fillId="0" borderId="0" xfId="1" applyNumberFormat="1" applyFont="1" applyAlignment="1">
      <alignment vertical="center"/>
    </xf>
    <xf numFmtId="176" fontId="61" fillId="0" borderId="0" xfId="1" applyFont="1" applyAlignment="1">
      <alignment vertical="center"/>
    </xf>
    <xf numFmtId="0" fontId="35" fillId="0" borderId="0" xfId="0" applyFont="1" applyBorder="1" applyAlignment="1">
      <alignment vertical="center"/>
    </xf>
    <xf numFmtId="0" fontId="61" fillId="0" borderId="0" xfId="1" applyNumberFormat="1" applyFont="1" applyAlignment="1">
      <alignment vertical="center"/>
    </xf>
    <xf numFmtId="177" fontId="23" fillId="0" borderId="0" xfId="1" applyNumberFormat="1" applyFont="1" applyBorder="1" applyAlignment="1">
      <alignment horizontal="right" vertical="center"/>
    </xf>
    <xf numFmtId="179" fontId="23" fillId="0" borderId="0" xfId="13" applyNumberFormat="1" applyFont="1" applyBorder="1" applyAlignment="1">
      <alignment horizontal="right" vertical="center"/>
    </xf>
    <xf numFmtId="178" fontId="23" fillId="0" borderId="0" xfId="1" applyNumberFormat="1" applyFont="1" applyBorder="1" applyAlignment="1">
      <alignment horizontal="right" vertical="center"/>
    </xf>
    <xf numFmtId="185" fontId="22" fillId="0" borderId="0" xfId="1" applyNumberFormat="1" applyFont="1" applyBorder="1" applyAlignment="1">
      <alignment vertical="center"/>
    </xf>
    <xf numFmtId="0" fontId="61" fillId="0" borderId="0" xfId="0" applyFont="1"/>
    <xf numFmtId="177" fontId="57" fillId="2" borderId="0" xfId="12" applyNumberFormat="1" applyFont="1" applyFill="1" applyAlignment="1">
      <alignment vertical="center"/>
    </xf>
    <xf numFmtId="177" fontId="22" fillId="0" borderId="0" xfId="1" applyNumberFormat="1" applyFont="1" applyFill="1" applyBorder="1" applyAlignment="1">
      <alignment vertical="center"/>
    </xf>
    <xf numFmtId="177" fontId="56" fillId="0" borderId="0" xfId="1" applyNumberFormat="1" applyFont="1" applyFill="1" applyAlignment="1">
      <alignment vertical="center"/>
    </xf>
    <xf numFmtId="176" fontId="61" fillId="0" borderId="0" xfId="1" applyNumberFormat="1" applyFont="1" applyAlignment="1">
      <alignment vertical="center"/>
    </xf>
    <xf numFmtId="0" fontId="69" fillId="0" borderId="0" xfId="0" applyFont="1"/>
    <xf numFmtId="177" fontId="61" fillId="0" borderId="0" xfId="1" applyNumberFormat="1" applyFont="1" applyFill="1" applyAlignment="1">
      <alignment vertical="center"/>
    </xf>
    <xf numFmtId="176" fontId="22" fillId="0" borderId="5" xfId="1" applyNumberFormat="1" applyFont="1" applyBorder="1" applyAlignment="1">
      <alignment vertical="center"/>
    </xf>
    <xf numFmtId="176" fontId="56" fillId="16" borderId="0" xfId="1" applyNumberFormat="1" applyFont="1" applyFill="1" applyAlignment="1">
      <alignment vertical="center"/>
    </xf>
    <xf numFmtId="180" fontId="60" fillId="0" borderId="0" xfId="1" applyNumberFormat="1" applyFont="1" applyAlignment="1">
      <alignment vertical="center"/>
    </xf>
    <xf numFmtId="176" fontId="56" fillId="0" borderId="0" xfId="1" applyNumberFormat="1" applyFont="1" applyFill="1" applyBorder="1" applyAlignment="1">
      <alignment vertical="center"/>
    </xf>
    <xf numFmtId="9" fontId="56" fillId="0" borderId="0" xfId="13" applyNumberFormat="1" applyFont="1" applyAlignment="1">
      <alignment vertical="center"/>
    </xf>
    <xf numFmtId="0" fontId="56" fillId="0" borderId="0" xfId="0" applyFont="1" applyFill="1" applyBorder="1"/>
    <xf numFmtId="10" fontId="61" fillId="0" borderId="0" xfId="0" applyNumberFormat="1" applyFont="1"/>
    <xf numFmtId="179" fontId="61" fillId="0" borderId="0" xfId="0" applyNumberFormat="1" applyFont="1"/>
    <xf numFmtId="0" fontId="0" fillId="0" borderId="0" xfId="0" applyFont="1"/>
    <xf numFmtId="177" fontId="56" fillId="0" borderId="0" xfId="1" applyNumberFormat="1" applyFont="1" applyFill="1" applyBorder="1" applyAlignment="1">
      <alignment vertical="center"/>
    </xf>
    <xf numFmtId="9" fontId="22" fillId="0" borderId="0" xfId="13" applyNumberFormat="1" applyFont="1" applyFill="1" applyBorder="1" applyAlignment="1">
      <alignment vertical="center"/>
    </xf>
    <xf numFmtId="180" fontId="22" fillId="0" borderId="0" xfId="1" applyNumberFormat="1" applyFont="1" applyFill="1" applyBorder="1" applyAlignment="1">
      <alignment vertical="center"/>
    </xf>
    <xf numFmtId="176" fontId="22" fillId="0" borderId="0" xfId="1" applyFont="1" applyFill="1" applyBorder="1" applyAlignment="1">
      <alignment vertical="center"/>
    </xf>
    <xf numFmtId="179" fontId="56" fillId="0" borderId="4" xfId="13" applyNumberFormat="1" applyFont="1" applyBorder="1" applyAlignment="1">
      <alignment vertical="center"/>
    </xf>
    <xf numFmtId="184" fontId="56" fillId="0" borderId="0" xfId="13" applyNumberFormat="1" applyFont="1" applyAlignment="1">
      <alignment vertical="center"/>
    </xf>
    <xf numFmtId="0" fontId="56" fillId="0" borderId="0" xfId="1" applyNumberFormat="1" applyFont="1" applyAlignment="1">
      <alignment vertical="center"/>
    </xf>
    <xf numFmtId="177" fontId="56" fillId="0" borderId="22" xfId="1" applyNumberFormat="1" applyFont="1" applyBorder="1" applyAlignment="1">
      <alignment vertical="center"/>
    </xf>
    <xf numFmtId="177" fontId="56" fillId="0" borderId="23" xfId="1" applyNumberFormat="1" applyFont="1" applyBorder="1" applyAlignment="1">
      <alignment vertical="center"/>
    </xf>
    <xf numFmtId="177" fontId="56" fillId="0" borderId="6" xfId="1" applyNumberFormat="1" applyFont="1" applyBorder="1" applyAlignment="1">
      <alignment vertical="center"/>
    </xf>
    <xf numFmtId="176" fontId="56" fillId="0" borderId="7" xfId="1" applyNumberFormat="1" applyFont="1" applyBorder="1" applyAlignment="1">
      <alignment vertical="center"/>
    </xf>
    <xf numFmtId="177" fontId="56" fillId="0" borderId="8" xfId="1" applyNumberFormat="1" applyFont="1" applyBorder="1" applyAlignment="1">
      <alignment vertical="center"/>
    </xf>
    <xf numFmtId="176" fontId="57" fillId="2" borderId="0" xfId="12" applyNumberFormat="1" applyFont="1" applyAlignment="1">
      <alignment vertical="center"/>
    </xf>
    <xf numFmtId="176" fontId="56" fillId="0" borderId="0" xfId="1" applyFont="1" applyBorder="1" applyAlignment="1">
      <alignment vertical="center"/>
    </xf>
    <xf numFmtId="180" fontId="28" fillId="0" borderId="0" xfId="23" applyNumberFormat="1" applyAlignment="1">
      <alignment vertical="center"/>
    </xf>
    <xf numFmtId="176" fontId="17" fillId="2" borderId="0" xfId="12" applyNumberFormat="1" applyFont="1" applyAlignment="1">
      <alignment vertical="center"/>
    </xf>
    <xf numFmtId="0" fontId="56" fillId="0" borderId="22" xfId="1" applyNumberFormat="1" applyFont="1" applyBorder="1" applyAlignment="1">
      <alignment vertical="center"/>
    </xf>
    <xf numFmtId="176" fontId="56" fillId="0" borderId="22" xfId="1" applyFont="1" applyBorder="1" applyAlignment="1">
      <alignment vertical="center"/>
    </xf>
    <xf numFmtId="176" fontId="56" fillId="0" borderId="0" xfId="1" applyFont="1" applyFill="1" applyAlignment="1">
      <alignment vertical="center"/>
    </xf>
    <xf numFmtId="2" fontId="56" fillId="0" borderId="0" xfId="13" applyNumberFormat="1" applyFont="1" applyAlignment="1">
      <alignment vertical="center"/>
    </xf>
    <xf numFmtId="0" fontId="72" fillId="0" borderId="0" xfId="0" applyFont="1"/>
    <xf numFmtId="177" fontId="57" fillId="2" borderId="0" xfId="12" applyNumberFormat="1" applyFont="1" applyAlignment="1"/>
    <xf numFmtId="177" fontId="61" fillId="0" borderId="0" xfId="1" applyNumberFormat="1" applyFont="1" applyAlignment="1"/>
    <xf numFmtId="0" fontId="73" fillId="0" borderId="0" xfId="0" applyFont="1"/>
    <xf numFmtId="9" fontId="74" fillId="0" borderId="0" xfId="13" applyNumberFormat="1" applyFont="1" applyAlignment="1">
      <alignment vertical="center"/>
    </xf>
    <xf numFmtId="9" fontId="60" fillId="0" borderId="0" xfId="13" applyNumberFormat="1" applyFont="1" applyAlignment="1">
      <alignment vertical="center"/>
    </xf>
    <xf numFmtId="0" fontId="22" fillId="0" borderId="0" xfId="0" applyFont="1" applyBorder="1" applyAlignment="1">
      <alignment vertical="center"/>
    </xf>
    <xf numFmtId="176" fontId="23" fillId="0" borderId="0" xfId="1" applyNumberFormat="1" applyFont="1" applyBorder="1" applyAlignment="1">
      <alignment vertical="center"/>
    </xf>
    <xf numFmtId="0" fontId="22" fillId="18" borderId="4" xfId="91" applyFont="1" applyFill="1" applyBorder="1" applyAlignment="1">
      <alignment horizontal="center" vertical="center"/>
    </xf>
    <xf numFmtId="0" fontId="75" fillId="0" borderId="4" xfId="0" applyFont="1" applyBorder="1" applyAlignment="1">
      <alignment vertical="center"/>
    </xf>
    <xf numFmtId="176" fontId="75" fillId="0" borderId="4" xfId="1" applyFont="1" applyBorder="1" applyAlignment="1">
      <alignment vertical="center"/>
    </xf>
    <xf numFmtId="0" fontId="22" fillId="0" borderId="0" xfId="0" applyFont="1" applyBorder="1" applyAlignment="1">
      <alignment horizontal="center" vertical="center"/>
    </xf>
    <xf numFmtId="176" fontId="35" fillId="0" borderId="0" xfId="1" applyFont="1" applyFill="1" applyAlignment="1" applyProtection="1">
      <alignment vertical="center"/>
    </xf>
    <xf numFmtId="185" fontId="56" fillId="0" borderId="0" xfId="0" applyNumberFormat="1" applyFont="1" applyAlignment="1">
      <alignment vertical="center"/>
    </xf>
    <xf numFmtId="0" fontId="76" fillId="0" borderId="0" xfId="23" applyFont="1" applyFill="1" applyAlignment="1"/>
    <xf numFmtId="0" fontId="56" fillId="0" borderId="0" xfId="0" applyFont="1" applyFill="1"/>
    <xf numFmtId="9" fontId="22" fillId="0" borderId="0" xfId="13" applyNumberFormat="1" applyFont="1" applyBorder="1" applyAlignment="1">
      <alignment vertical="center"/>
    </xf>
    <xf numFmtId="182" fontId="56" fillId="0" borderId="0" xfId="13" applyNumberFormat="1" applyFont="1" applyAlignment="1">
      <alignment vertical="center"/>
    </xf>
    <xf numFmtId="177" fontId="56" fillId="0" borderId="5" xfId="1" applyNumberFormat="1" applyFont="1" applyFill="1" applyBorder="1" applyAlignment="1">
      <alignment vertical="center"/>
    </xf>
    <xf numFmtId="180" fontId="50" fillId="0" borderId="0" xfId="98" applyNumberFormat="1" applyFont="1" applyFill="1" applyBorder="1" applyAlignment="1">
      <alignment horizontal="right" vertical="center"/>
    </xf>
    <xf numFmtId="41" fontId="77" fillId="0" borderId="0" xfId="0" applyNumberFormat="1" applyFont="1" applyFill="1" applyBorder="1" applyAlignment="1">
      <alignment vertical="center"/>
    </xf>
    <xf numFmtId="176" fontId="58" fillId="0" borderId="0" xfId="1" applyFont="1" applyAlignment="1">
      <alignment vertical="center"/>
    </xf>
    <xf numFmtId="176" fontId="19" fillId="0" borderId="0" xfId="0" applyNumberFormat="1" applyFont="1" applyAlignment="1">
      <alignment vertical="center"/>
    </xf>
    <xf numFmtId="187" fontId="79" fillId="0" borderId="0" xfId="0" applyNumberFormat="1" applyFont="1" applyAlignment="1">
      <alignment horizontal="right" vertical="center"/>
    </xf>
    <xf numFmtId="10" fontId="19" fillId="0" borderId="0" xfId="0" applyNumberFormat="1" applyFont="1" applyAlignment="1">
      <alignment vertical="center"/>
    </xf>
    <xf numFmtId="9" fontId="19" fillId="0" borderId="0" xfId="0" applyNumberFormat="1" applyFont="1" applyAlignment="1">
      <alignment vertical="center"/>
    </xf>
    <xf numFmtId="176" fontId="19" fillId="0" borderId="0" xfId="1" applyFont="1" applyFill="1" applyBorder="1" applyAlignment="1">
      <alignment vertical="center"/>
    </xf>
    <xf numFmtId="188" fontId="78" fillId="0" borderId="0" xfId="0" applyNumberFormat="1" applyFont="1" applyFill="1" applyBorder="1" applyAlignment="1">
      <alignment horizontal="right" vertical="center"/>
    </xf>
    <xf numFmtId="180" fontId="80" fillId="0" borderId="0" xfId="100" applyNumberFormat="1" applyFont="1" applyFill="1" applyBorder="1" applyAlignment="1">
      <alignment horizontal="right" vertical="center"/>
    </xf>
    <xf numFmtId="43" fontId="78" fillId="0" borderId="0" xfId="0" applyNumberFormat="1" applyFont="1" applyFill="1" applyBorder="1" applyAlignment="1">
      <alignment horizontal="right" vertical="center"/>
    </xf>
    <xf numFmtId="43" fontId="19" fillId="0" borderId="0" xfId="1" applyNumberFormat="1" applyFont="1" applyFill="1" applyBorder="1" applyAlignment="1">
      <alignment vertical="center"/>
    </xf>
    <xf numFmtId="0" fontId="60" fillId="0" borderId="0" xfId="7" applyFont="1" applyBorder="1" applyAlignment="1">
      <alignment horizontal="center" vertical="center"/>
    </xf>
    <xf numFmtId="2" fontId="81" fillId="0" borderId="0" xfId="0" applyNumberFormat="1" applyFont="1" applyFill="1" applyBorder="1" applyAlignment="1">
      <alignment horizontal="right" vertical="center"/>
    </xf>
    <xf numFmtId="2" fontId="56" fillId="0" borderId="0" xfId="1" applyNumberFormat="1" applyFont="1" applyFill="1" applyBorder="1" applyAlignment="1">
      <alignment vertical="center"/>
    </xf>
    <xf numFmtId="176" fontId="62" fillId="0" borderId="0" xfId="1" applyFont="1" applyAlignment="1">
      <alignment vertical="center"/>
    </xf>
    <xf numFmtId="187" fontId="82" fillId="0" borderId="0" xfId="13" applyNumberFormat="1" applyFont="1" applyAlignment="1">
      <alignment horizontal="right" vertical="center"/>
    </xf>
    <xf numFmtId="0" fontId="62" fillId="0" borderId="0" xfId="13" applyNumberFormat="1" applyFont="1" applyAlignment="1">
      <alignment vertical="center"/>
    </xf>
    <xf numFmtId="2" fontId="62" fillId="0" borderId="0" xfId="13" applyNumberFormat="1" applyFont="1" applyAlignment="1">
      <alignment vertical="center"/>
    </xf>
    <xf numFmtId="9" fontId="19" fillId="0" borderId="0" xfId="13" applyFont="1" applyFill="1" applyBorder="1" applyAlignment="1">
      <alignment vertical="center"/>
    </xf>
    <xf numFmtId="176" fontId="56" fillId="0" borderId="0" xfId="1" applyFont="1" applyBorder="1" applyAlignment="1">
      <alignment horizontal="left" vertical="center"/>
    </xf>
    <xf numFmtId="176" fontId="19" fillId="0" borderId="0" xfId="1" applyNumberFormat="1" applyFont="1" applyFill="1" applyBorder="1" applyAlignment="1">
      <alignment vertical="center"/>
    </xf>
    <xf numFmtId="3" fontId="56" fillId="0" borderId="0" xfId="0" applyNumberFormat="1" applyFont="1" applyFill="1" applyBorder="1" applyAlignment="1">
      <alignment horizontal="right"/>
    </xf>
    <xf numFmtId="176" fontId="56" fillId="0" borderId="0" xfId="1" applyNumberFormat="1" applyFont="1" applyFill="1" applyBorder="1" applyAlignment="1"/>
    <xf numFmtId="0" fontId="56" fillId="0" borderId="23" xfId="1" applyNumberFormat="1" applyFont="1" applyBorder="1" applyAlignment="1">
      <alignment vertical="center"/>
    </xf>
    <xf numFmtId="3" fontId="71" fillId="0" borderId="0" xfId="0" applyNumberFormat="1" applyFont="1" applyBorder="1"/>
    <xf numFmtId="176" fontId="56" fillId="0" borderId="0" xfId="1" applyFont="1" applyFill="1" applyBorder="1" applyAlignment="1">
      <alignment vertical="center"/>
    </xf>
    <xf numFmtId="178" fontId="56" fillId="0" borderId="0" xfId="1" applyNumberFormat="1" applyFont="1" applyFill="1" applyAlignment="1">
      <alignment vertical="center"/>
    </xf>
    <xf numFmtId="176" fontId="12" fillId="0" borderId="0" xfId="1" applyFont="1" applyFill="1" applyBorder="1" applyAlignment="1">
      <alignment vertical="center"/>
    </xf>
    <xf numFmtId="187" fontId="78" fillId="0" borderId="0" xfId="0" applyNumberFormat="1" applyFont="1" applyFill="1" applyBorder="1" applyAlignment="1">
      <alignment horizontal="right" vertical="center"/>
    </xf>
    <xf numFmtId="178" fontId="19" fillId="0" borderId="0" xfId="1" applyNumberFormat="1" applyFont="1" applyFill="1" applyBorder="1" applyAlignment="1">
      <alignment vertical="center"/>
    </xf>
    <xf numFmtId="185" fontId="19" fillId="0" borderId="0" xfId="1" applyNumberFormat="1" applyFont="1" applyFill="1" applyBorder="1" applyAlignment="1">
      <alignment vertical="center"/>
    </xf>
    <xf numFmtId="176" fontId="17" fillId="2" borderId="0" xfId="12" applyNumberFormat="1" applyFont="1" applyFill="1" applyAlignment="1">
      <alignment vertical="center"/>
    </xf>
    <xf numFmtId="176" fontId="17" fillId="2" borderId="0" xfId="12" applyNumberFormat="1" applyFill="1" applyAlignment="1">
      <alignment vertical="center"/>
    </xf>
    <xf numFmtId="176" fontId="57" fillId="2" borderId="0" xfId="12" applyNumberFormat="1" applyFont="1" applyFill="1" applyAlignment="1">
      <alignment vertical="center"/>
    </xf>
    <xf numFmtId="176" fontId="19" fillId="2" borderId="0" xfId="1" applyFont="1" applyFill="1" applyAlignment="1">
      <alignment vertical="center"/>
    </xf>
    <xf numFmtId="0" fontId="0" fillId="0" borderId="0" xfId="0" applyBorder="1" applyAlignment="1">
      <alignment vertical="center"/>
    </xf>
    <xf numFmtId="176" fontId="0" fillId="0" borderId="0" xfId="0" applyNumberFormat="1"/>
    <xf numFmtId="177" fontId="0" fillId="0" borderId="0" xfId="1" applyNumberFormat="1" applyFont="1" applyFill="1" applyBorder="1" applyAlignment="1">
      <alignment vertical="center"/>
    </xf>
    <xf numFmtId="1" fontId="0" fillId="0" borderId="0" xfId="0" applyNumberFormat="1"/>
    <xf numFmtId="3" fontId="0" fillId="0" borderId="0" xfId="0" applyNumberFormat="1"/>
    <xf numFmtId="177" fontId="0" fillId="0" borderId="0" xfId="1" applyNumberFormat="1" applyFont="1" applyFill="1" applyAlignment="1">
      <alignment vertical="center"/>
    </xf>
    <xf numFmtId="176" fontId="0" fillId="0" borderId="0" xfId="1" applyFont="1" applyAlignment="1"/>
    <xf numFmtId="178" fontId="74" fillId="0" borderId="0" xfId="1" applyNumberFormat="1" applyFont="1" applyAlignment="1">
      <alignment vertical="center"/>
    </xf>
    <xf numFmtId="185" fontId="19" fillId="0" borderId="0" xfId="1" applyNumberFormat="1" applyFont="1" applyAlignment="1">
      <alignment vertical="center"/>
    </xf>
    <xf numFmtId="179" fontId="0" fillId="0" borderId="0" xfId="0" applyNumberFormat="1"/>
    <xf numFmtId="177" fontId="0" fillId="0" borderId="0" xfId="0" applyNumberFormat="1"/>
    <xf numFmtId="177" fontId="74" fillId="0" borderId="0" xfId="1" applyNumberFormat="1" applyFont="1" applyAlignment="1">
      <alignment vertical="center"/>
    </xf>
    <xf numFmtId="177" fontId="17" fillId="2" borderId="0" xfId="12" applyNumberFormat="1" applyFill="1" applyAlignment="1">
      <alignment vertical="center"/>
    </xf>
    <xf numFmtId="177" fontId="19" fillId="2" borderId="0" xfId="1" applyNumberFormat="1" applyFont="1" applyFill="1" applyAlignment="1">
      <alignment vertical="center"/>
    </xf>
    <xf numFmtId="4" fontId="0" fillId="0" borderId="0" xfId="0" applyNumberFormat="1"/>
    <xf numFmtId="4" fontId="19" fillId="0" borderId="0" xfId="1" applyNumberFormat="1" applyFont="1" applyAlignment="1">
      <alignment vertical="center"/>
    </xf>
    <xf numFmtId="179" fontId="19" fillId="0" borderId="0" xfId="1" applyNumberFormat="1" applyFont="1" applyAlignment="1">
      <alignment vertical="center"/>
    </xf>
    <xf numFmtId="177" fontId="12" fillId="0" borderId="0" xfId="1" applyNumberFormat="1" applyFont="1" applyBorder="1" applyAlignment="1">
      <alignment vertical="center"/>
    </xf>
    <xf numFmtId="179" fontId="0" fillId="0" borderId="0" xfId="1" applyNumberFormat="1" applyFont="1" applyAlignment="1"/>
    <xf numFmtId="0" fontId="22" fillId="0" borderId="0" xfId="0" applyFont="1"/>
    <xf numFmtId="189" fontId="0" fillId="0" borderId="0" xfId="0" applyNumberFormat="1" applyBorder="1"/>
    <xf numFmtId="177" fontId="19" fillId="0" borderId="0" xfId="1" applyNumberFormat="1" applyFont="1" applyAlignment="1"/>
    <xf numFmtId="178" fontId="19" fillId="0" borderId="0" xfId="1" applyNumberFormat="1" applyFont="1" applyBorder="1" applyAlignment="1">
      <alignment vertical="center"/>
    </xf>
    <xf numFmtId="0" fontId="84" fillId="0" borderId="0" xfId="0" applyFont="1" applyAlignment="1">
      <alignment vertical="center"/>
    </xf>
    <xf numFmtId="177" fontId="17" fillId="0" borderId="0" xfId="12" applyNumberFormat="1" applyFill="1" applyAlignment="1">
      <alignment vertical="center"/>
    </xf>
    <xf numFmtId="177" fontId="57" fillId="0" borderId="0" xfId="12" applyNumberFormat="1" applyFont="1" applyFill="1" applyAlignment="1"/>
    <xf numFmtId="0" fontId="22" fillId="0" borderId="0" xfId="0" applyFont="1" applyAlignment="1">
      <alignment vertical="center"/>
    </xf>
    <xf numFmtId="0" fontId="22" fillId="0" borderId="1" xfId="0" applyFont="1" applyBorder="1" applyAlignment="1">
      <alignment vertical="center"/>
    </xf>
    <xf numFmtId="0" fontId="22" fillId="0" borderId="2" xfId="0" applyFont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19" fillId="14" borderId="0" xfId="0" applyFont="1" applyFill="1" applyBorder="1" applyAlignment="1">
      <alignment vertical="center"/>
    </xf>
    <xf numFmtId="0" fontId="25" fillId="14" borderId="0" xfId="0" applyFont="1" applyFill="1" applyAlignment="1">
      <alignment vertical="center"/>
    </xf>
    <xf numFmtId="0" fontId="0" fillId="14" borderId="0" xfId="0" applyFill="1" applyBorder="1" applyAlignment="1">
      <alignment vertical="center"/>
    </xf>
    <xf numFmtId="0" fontId="0" fillId="14" borderId="0" xfId="0" applyFont="1" applyFill="1" applyBorder="1" applyAlignment="1">
      <alignment vertical="center"/>
    </xf>
    <xf numFmtId="176" fontId="19" fillId="0" borderId="0" xfId="1" applyFont="1" applyAlignment="1" applyProtection="1">
      <alignment vertical="center"/>
    </xf>
    <xf numFmtId="10" fontId="19" fillId="0" borderId="0" xfId="13" applyNumberFormat="1" applyFont="1" applyAlignment="1" applyProtection="1">
      <alignment vertical="center"/>
    </xf>
    <xf numFmtId="176" fontId="62" fillId="0" borderId="4" xfId="1" applyFont="1" applyFill="1" applyBorder="1" applyAlignment="1" applyProtection="1">
      <alignment vertical="center"/>
    </xf>
    <xf numFmtId="10" fontId="62" fillId="0" borderId="4" xfId="13" applyNumberFormat="1" applyFont="1" applyFill="1" applyBorder="1" applyAlignment="1" applyProtection="1">
      <alignment vertical="center"/>
    </xf>
    <xf numFmtId="9" fontId="56" fillId="0" borderId="0" xfId="13" applyNumberFormat="1" applyFont="1" applyFill="1" applyBorder="1" applyAlignment="1" applyProtection="1">
      <alignment vertical="center"/>
    </xf>
    <xf numFmtId="9" fontId="56" fillId="0" borderId="0" xfId="13" applyFont="1" applyFill="1" applyBorder="1" applyAlignment="1" applyProtection="1">
      <alignment vertical="center"/>
    </xf>
    <xf numFmtId="3" fontId="62" fillId="0" borderId="4" xfId="1" applyNumberFormat="1" applyFont="1" applyFill="1" applyBorder="1" applyAlignment="1" applyProtection="1">
      <alignment horizontal="right" vertical="center"/>
    </xf>
    <xf numFmtId="176" fontId="26" fillId="22" borderId="0" xfId="1" applyFont="1" applyFill="1" applyAlignment="1" applyProtection="1">
      <alignment vertical="center"/>
    </xf>
    <xf numFmtId="176" fontId="22" fillId="22" borderId="0" xfId="1" applyFont="1" applyFill="1" applyAlignment="1" applyProtection="1">
      <alignment vertical="center"/>
    </xf>
    <xf numFmtId="176" fontId="22" fillId="22" borderId="0" xfId="1" applyFont="1" applyFill="1" applyAlignment="1" applyProtection="1">
      <alignment horizontal="right" vertical="center"/>
    </xf>
    <xf numFmtId="176" fontId="22" fillId="22" borderId="0" xfId="1" applyFont="1" applyFill="1" applyAlignment="1" applyProtection="1">
      <alignment horizontal="center" vertical="center"/>
    </xf>
    <xf numFmtId="10" fontId="62" fillId="22" borderId="4" xfId="13" applyNumberFormat="1" applyFont="1" applyFill="1" applyBorder="1" applyAlignment="1" applyProtection="1">
      <alignment vertical="center"/>
    </xf>
    <xf numFmtId="176" fontId="35" fillId="22" borderId="0" xfId="1" applyFont="1" applyFill="1" applyAlignment="1" applyProtection="1">
      <alignment vertical="center"/>
    </xf>
    <xf numFmtId="10" fontId="22" fillId="22" borderId="0" xfId="13" applyNumberFormat="1" applyFont="1" applyFill="1" applyAlignment="1" applyProtection="1">
      <alignment vertical="center"/>
    </xf>
    <xf numFmtId="178" fontId="22" fillId="22" borderId="0" xfId="1" applyNumberFormat="1" applyFont="1" applyFill="1" applyAlignment="1" applyProtection="1">
      <alignment vertical="center"/>
    </xf>
    <xf numFmtId="176" fontId="56" fillId="22" borderId="0" xfId="1" applyFont="1" applyFill="1" applyBorder="1" applyAlignment="1" applyProtection="1">
      <alignment vertical="center"/>
    </xf>
    <xf numFmtId="3" fontId="56" fillId="22" borderId="0" xfId="0" applyNumberFormat="1" applyFont="1" applyFill="1" applyBorder="1" applyAlignment="1">
      <alignment vertical="center"/>
    </xf>
    <xf numFmtId="9" fontId="56" fillId="22" borderId="0" xfId="13" applyFont="1" applyFill="1" applyBorder="1" applyAlignment="1" applyProtection="1">
      <alignment vertical="center"/>
    </xf>
    <xf numFmtId="176" fontId="22" fillId="22" borderId="0" xfId="1" applyFont="1" applyFill="1" applyBorder="1" applyAlignment="1" applyProtection="1">
      <alignment vertical="center"/>
    </xf>
    <xf numFmtId="3" fontId="0" fillId="22" borderId="0" xfId="0" applyNumberFormat="1" applyFill="1" applyBorder="1" applyAlignment="1">
      <alignment vertical="center"/>
    </xf>
    <xf numFmtId="9" fontId="22" fillId="22" borderId="0" xfId="13" applyNumberFormat="1" applyFont="1" applyFill="1" applyBorder="1" applyAlignment="1" applyProtection="1">
      <alignment vertical="center"/>
    </xf>
    <xf numFmtId="9" fontId="58" fillId="22" borderId="0" xfId="0" applyNumberFormat="1" applyFont="1" applyFill="1" applyBorder="1" applyAlignment="1">
      <alignment horizontal="right" vertical="center" wrapText="1"/>
    </xf>
    <xf numFmtId="9" fontId="0" fillId="22" borderId="0" xfId="0" applyNumberFormat="1" applyFill="1" applyBorder="1" applyAlignment="1">
      <alignment vertical="center"/>
    </xf>
    <xf numFmtId="179" fontId="22" fillId="22" borderId="0" xfId="13" applyNumberFormat="1" applyFont="1" applyFill="1" applyAlignment="1" applyProtection="1">
      <alignment vertical="center"/>
    </xf>
    <xf numFmtId="41" fontId="36" fillId="22" borderId="0" xfId="55" applyFont="1" applyFill="1">
      <alignment vertical="center"/>
    </xf>
    <xf numFmtId="0" fontId="36" fillId="22" borderId="0" xfId="52" applyNumberFormat="1" applyFill="1">
      <alignment vertical="center"/>
    </xf>
    <xf numFmtId="0" fontId="5" fillId="22" borderId="0" xfId="93" applyFill="1" applyBorder="1">
      <alignment vertical="center"/>
    </xf>
    <xf numFmtId="176" fontId="26" fillId="22" borderId="0" xfId="1" applyNumberFormat="1" applyFont="1" applyFill="1" applyBorder="1" applyAlignment="1">
      <alignment vertical="center"/>
    </xf>
    <xf numFmtId="0" fontId="15" fillId="22" borderId="0" xfId="3" applyFill="1" applyAlignment="1">
      <alignment horizontal="left"/>
    </xf>
    <xf numFmtId="41" fontId="36" fillId="22" borderId="0" xfId="69" applyFont="1" applyFill="1">
      <alignment vertical="center"/>
    </xf>
    <xf numFmtId="10" fontId="56" fillId="0" borderId="11" xfId="0" applyNumberFormat="1" applyFont="1" applyFill="1" applyBorder="1" applyAlignment="1">
      <alignment vertical="center"/>
    </xf>
    <xf numFmtId="177" fontId="19" fillId="0" borderId="0" xfId="13" applyNumberFormat="1" applyFont="1" applyFill="1" applyAlignment="1" applyProtection="1">
      <alignment vertical="center"/>
    </xf>
    <xf numFmtId="176" fontId="88" fillId="2" borderId="0" xfId="12" applyNumberFormat="1" applyFont="1" applyAlignment="1" applyProtection="1">
      <alignment vertical="center"/>
    </xf>
    <xf numFmtId="3" fontId="19" fillId="0" borderId="0" xfId="0" applyNumberFormat="1" applyFont="1" applyBorder="1" applyAlignment="1">
      <alignment horizontal="right" vertical="center"/>
    </xf>
    <xf numFmtId="3" fontId="19" fillId="0" borderId="0" xfId="1" applyNumberFormat="1" applyFont="1" applyAlignment="1" applyProtection="1">
      <alignment horizontal="right" vertical="center"/>
    </xf>
    <xf numFmtId="3" fontId="56" fillId="0" borderId="0" xfId="1" applyNumberFormat="1" applyFont="1" applyAlignment="1" applyProtection="1">
      <alignment horizontal="right" vertical="center"/>
    </xf>
    <xf numFmtId="3" fontId="19" fillId="0" borderId="0" xfId="0" applyNumberFormat="1" applyFont="1"/>
    <xf numFmtId="3" fontId="61" fillId="0" borderId="0" xfId="0" applyNumberFormat="1" applyFont="1"/>
    <xf numFmtId="179" fontId="89" fillId="0" borderId="0" xfId="13" applyNumberFormat="1" applyFont="1" applyFill="1" applyBorder="1" applyAlignment="1">
      <alignment vertical="center"/>
    </xf>
    <xf numFmtId="3" fontId="19" fillId="0" borderId="0" xfId="0" applyNumberFormat="1" applyFont="1" applyFill="1" applyBorder="1" applyAlignment="1">
      <alignment horizontal="right" vertical="center"/>
    </xf>
    <xf numFmtId="179" fontId="19" fillId="0" borderId="0" xfId="13" applyNumberFormat="1" applyFont="1" applyAlignment="1" applyProtection="1">
      <alignment vertical="center"/>
    </xf>
    <xf numFmtId="176" fontId="19" fillId="0" borderId="0" xfId="1" applyFont="1" applyBorder="1" applyAlignment="1" applyProtection="1">
      <alignment horizontal="right" vertical="center"/>
    </xf>
    <xf numFmtId="179" fontId="61" fillId="0" borderId="0" xfId="13" applyNumberFormat="1" applyFont="1" applyAlignment="1"/>
    <xf numFmtId="3" fontId="61" fillId="0" borderId="0" xfId="0" applyNumberFormat="1" applyFont="1" applyBorder="1" applyAlignment="1">
      <alignment vertical="center"/>
    </xf>
    <xf numFmtId="3" fontId="61" fillId="0" borderId="0" xfId="0" applyNumberFormat="1" applyFont="1" applyFill="1" applyBorder="1" applyAlignment="1">
      <alignment vertical="center"/>
    </xf>
    <xf numFmtId="176" fontId="22" fillId="18" borderId="0" xfId="1" applyFont="1" applyFill="1" applyAlignment="1" applyProtection="1">
      <alignment vertical="center"/>
    </xf>
    <xf numFmtId="9" fontId="56" fillId="0" borderId="0" xfId="13" applyFont="1" applyAlignment="1" applyProtection="1">
      <alignment vertical="center"/>
    </xf>
    <xf numFmtId="9" fontId="56" fillId="0" borderId="0" xfId="13" applyNumberFormat="1" applyFont="1" applyAlignment="1" applyProtection="1">
      <alignment vertical="center"/>
    </xf>
    <xf numFmtId="3" fontId="19" fillId="0" borderId="0" xfId="0" applyNumberFormat="1" applyFont="1" applyFill="1" applyBorder="1" applyAlignment="1">
      <alignment vertical="center"/>
    </xf>
    <xf numFmtId="9" fontId="19" fillId="0" borderId="0" xfId="13" applyFont="1" applyBorder="1" applyAlignment="1" applyProtection="1">
      <alignment vertical="center"/>
    </xf>
    <xf numFmtId="176" fontId="19" fillId="0" borderId="0" xfId="1" applyNumberFormat="1" applyFont="1" applyBorder="1" applyAlignment="1">
      <alignment vertical="center"/>
    </xf>
    <xf numFmtId="176" fontId="19" fillId="0" borderId="0" xfId="1" applyFont="1" applyBorder="1" applyAlignment="1" applyProtection="1">
      <alignment vertical="center"/>
    </xf>
    <xf numFmtId="179" fontId="19" fillId="0" borderId="0" xfId="13" applyNumberFormat="1" applyFont="1" applyBorder="1" applyAlignment="1" applyProtection="1">
      <alignment vertical="center"/>
    </xf>
    <xf numFmtId="176" fontId="90" fillId="0" borderId="0" xfId="1" applyFont="1">
      <alignment vertical="center"/>
    </xf>
    <xf numFmtId="176" fontId="61" fillId="0" borderId="0" xfId="1" applyFont="1" applyBorder="1">
      <alignment vertical="center"/>
    </xf>
    <xf numFmtId="176" fontId="56" fillId="0" borderId="0" xfId="1" applyFont="1" applyFill="1" applyBorder="1">
      <alignment vertical="center"/>
    </xf>
    <xf numFmtId="176" fontId="56" fillId="0" borderId="0" xfId="1" applyFont="1" applyFill="1" applyBorder="1" applyAlignment="1">
      <alignment horizontal="right" vertical="center"/>
    </xf>
    <xf numFmtId="41" fontId="61" fillId="0" borderId="0" xfId="96" applyFont="1">
      <alignment vertical="center"/>
    </xf>
    <xf numFmtId="41" fontId="61" fillId="0" borderId="0" xfId="104" applyFont="1" applyAlignment="1">
      <alignment horizontal="right" vertical="center"/>
    </xf>
    <xf numFmtId="180" fontId="19" fillId="0" borderId="0" xfId="38" applyNumberFormat="1" applyFont="1" applyAlignment="1">
      <alignment horizontal="right" vertical="center"/>
    </xf>
    <xf numFmtId="3" fontId="19" fillId="0" borderId="0" xfId="0" applyNumberFormat="1" applyFont="1" applyAlignment="1">
      <alignment horizontal="right" vertical="center"/>
    </xf>
    <xf numFmtId="41" fontId="36" fillId="0" borderId="4" xfId="104" applyFont="1" applyBorder="1">
      <alignment vertical="center"/>
    </xf>
    <xf numFmtId="176" fontId="26" fillId="0" borderId="0" xfId="1" applyNumberFormat="1" applyFont="1" applyBorder="1" applyAlignment="1">
      <alignment vertical="center"/>
    </xf>
    <xf numFmtId="3" fontId="0" fillId="0" borderId="0" xfId="0" applyNumberFormat="1" applyBorder="1" applyAlignment="1">
      <alignment vertical="center"/>
    </xf>
    <xf numFmtId="41" fontId="36" fillId="0" borderId="0" xfId="104" applyFont="1" applyBorder="1">
      <alignment vertical="center"/>
    </xf>
    <xf numFmtId="0" fontId="91" fillId="0" borderId="0" xfId="0" applyFont="1"/>
    <xf numFmtId="3" fontId="0" fillId="0" borderId="0" xfId="0" applyNumberFormat="1" applyFont="1" applyAlignment="1">
      <alignment vertical="center"/>
    </xf>
    <xf numFmtId="0" fontId="0" fillId="0" borderId="0" xfId="0" applyFont="1" applyAlignment="1">
      <alignment vertical="center"/>
    </xf>
    <xf numFmtId="176" fontId="0" fillId="0" borderId="0" xfId="1" applyFont="1" applyAlignment="1" applyProtection="1">
      <alignment vertical="center"/>
    </xf>
    <xf numFmtId="41" fontId="61" fillId="0" borderId="0" xfId="54" applyFont="1">
      <alignment vertical="center"/>
    </xf>
    <xf numFmtId="180" fontId="61" fillId="0" borderId="0" xfId="0" applyNumberFormat="1" applyFont="1" applyAlignment="1">
      <alignment vertical="center"/>
    </xf>
    <xf numFmtId="176" fontId="23" fillId="0" borderId="0" xfId="1" applyFont="1" applyAlignment="1" applyProtection="1">
      <alignment vertical="center"/>
    </xf>
    <xf numFmtId="180" fontId="12" fillId="0" borderId="0" xfId="38" applyNumberFormat="1" applyFont="1" applyAlignment="1"/>
    <xf numFmtId="176" fontId="12" fillId="0" borderId="0" xfId="1" applyFont="1" applyAlignment="1" applyProtection="1">
      <alignment vertical="center"/>
    </xf>
    <xf numFmtId="180" fontId="12" fillId="0" borderId="0" xfId="97" applyNumberFormat="1" applyFont="1" applyAlignment="1"/>
    <xf numFmtId="1" fontId="61" fillId="0" borderId="0" xfId="0" applyNumberFormat="1" applyFont="1" applyAlignment="1">
      <alignment vertical="center"/>
    </xf>
    <xf numFmtId="180" fontId="23" fillId="0" borderId="0" xfId="97" applyNumberFormat="1" applyFont="1" applyAlignment="1"/>
    <xf numFmtId="0" fontId="35" fillId="0" borderId="1" xfId="0" applyFont="1" applyBorder="1" applyAlignment="1">
      <alignment vertical="center"/>
    </xf>
    <xf numFmtId="41" fontId="56" fillId="21" borderId="0" xfId="54" applyFont="1" applyFill="1" applyBorder="1">
      <alignment vertical="center"/>
    </xf>
    <xf numFmtId="181" fontId="19" fillId="0" borderId="0" xfId="0" applyNumberFormat="1" applyFont="1" applyAlignment="1">
      <alignment vertical="center"/>
    </xf>
    <xf numFmtId="3" fontId="56" fillId="0" borderId="0" xfId="0" applyNumberFormat="1" applyFont="1" applyAlignment="1">
      <alignment horizontal="right" vertical="center"/>
    </xf>
    <xf numFmtId="190" fontId="56" fillId="0" borderId="0" xfId="13" applyNumberFormat="1" applyFont="1" applyFill="1" applyAlignment="1" applyProtection="1">
      <alignment vertical="center"/>
    </xf>
    <xf numFmtId="0" fontId="56" fillId="0" borderId="0" xfId="13" applyNumberFormat="1" applyFont="1" applyFill="1" applyAlignment="1" applyProtection="1">
      <alignment vertical="center"/>
    </xf>
    <xf numFmtId="190" fontId="56" fillId="0" borderId="0" xfId="13" applyNumberFormat="1" applyFont="1" applyFill="1" applyBorder="1" applyAlignment="1">
      <alignment vertical="center"/>
    </xf>
    <xf numFmtId="179" fontId="61" fillId="0" borderId="0" xfId="13" applyNumberFormat="1" applyFont="1" applyFill="1" applyAlignment="1" applyProtection="1">
      <alignment vertical="center"/>
    </xf>
    <xf numFmtId="176" fontId="61" fillId="0" borderId="0" xfId="1" applyFont="1" applyFill="1" applyAlignment="1" applyProtection="1">
      <alignment vertical="center"/>
    </xf>
    <xf numFmtId="184" fontId="61" fillId="0" borderId="0" xfId="13" applyNumberFormat="1" applyFont="1" applyFill="1" applyAlignment="1" applyProtection="1">
      <alignment vertical="center"/>
    </xf>
    <xf numFmtId="9" fontId="61" fillId="0" borderId="0" xfId="1" applyNumberFormat="1" applyFont="1" applyFill="1" applyAlignment="1" applyProtection="1">
      <alignment vertical="center"/>
    </xf>
    <xf numFmtId="9" fontId="61" fillId="0" borderId="0" xfId="13" applyNumberFormat="1" applyFont="1" applyFill="1" applyAlignment="1" applyProtection="1">
      <alignment vertical="center"/>
    </xf>
    <xf numFmtId="179" fontId="61" fillId="0" borderId="0" xfId="1" applyNumberFormat="1" applyFont="1" applyAlignment="1"/>
    <xf numFmtId="179" fontId="63" fillId="0" borderId="0" xfId="13" applyNumberFormat="1" applyFont="1" applyAlignment="1">
      <alignment horizontal="right" vertical="center"/>
    </xf>
    <xf numFmtId="0" fontId="35" fillId="0" borderId="2" xfId="0" applyFont="1" applyBorder="1" applyAlignment="1">
      <alignment vertical="center"/>
    </xf>
    <xf numFmtId="177" fontId="92" fillId="2" borderId="0" xfId="12" applyNumberFormat="1" applyFont="1" applyAlignment="1">
      <alignment vertical="center"/>
    </xf>
    <xf numFmtId="0" fontId="23" fillId="0" borderId="0" xfId="1" applyNumberFormat="1" applyFont="1" applyAlignment="1">
      <alignment vertical="center"/>
    </xf>
    <xf numFmtId="0" fontId="26" fillId="18" borderId="4" xfId="13" quotePrefix="1" applyNumberFormat="1" applyFont="1" applyFill="1" applyBorder="1" applyAlignment="1">
      <alignment horizontal="center" vertical="center"/>
    </xf>
    <xf numFmtId="0" fontId="26" fillId="18" borderId="4" xfId="1" quotePrefix="1" applyNumberFormat="1" applyFont="1" applyFill="1" applyBorder="1" applyAlignment="1">
      <alignment horizontal="center" vertical="center"/>
    </xf>
    <xf numFmtId="0" fontId="26" fillId="18" borderId="19" xfId="1" quotePrefix="1" applyNumberFormat="1" applyFont="1" applyFill="1" applyBorder="1" applyAlignment="1">
      <alignment horizontal="center" vertical="center"/>
    </xf>
    <xf numFmtId="177" fontId="22" fillId="0" borderId="18" xfId="1" applyNumberFormat="1" applyFont="1" applyBorder="1" applyAlignment="1">
      <alignment horizontal="center" vertical="center"/>
    </xf>
    <xf numFmtId="0" fontId="22" fillId="0" borderId="4" xfId="0" applyFont="1" applyBorder="1" applyAlignment="1">
      <alignment vertical="center"/>
    </xf>
    <xf numFmtId="185" fontId="22" fillId="0" borderId="4" xfId="0" applyNumberFormat="1" applyFont="1" applyBorder="1" applyAlignment="1">
      <alignment vertical="center"/>
    </xf>
    <xf numFmtId="185" fontId="22" fillId="0" borderId="19" xfId="0" applyNumberFormat="1" applyFont="1" applyBorder="1" applyAlignment="1">
      <alignment vertical="center"/>
    </xf>
    <xf numFmtId="177" fontId="22" fillId="0" borderId="20" xfId="1" applyNumberFormat="1" applyFont="1" applyBorder="1" applyAlignment="1">
      <alignment horizontal="center" vertical="center"/>
    </xf>
    <xf numFmtId="177" fontId="22" fillId="0" borderId="21" xfId="1" applyNumberFormat="1" applyFont="1" applyBorder="1" applyAlignment="1">
      <alignment horizontal="center" vertical="center"/>
    </xf>
    <xf numFmtId="179" fontId="22" fillId="0" borderId="15" xfId="13" applyNumberFormat="1" applyFont="1" applyBorder="1" applyAlignment="1">
      <alignment horizontal="right" vertical="center"/>
    </xf>
    <xf numFmtId="178" fontId="22" fillId="0" borderId="15" xfId="1" applyNumberFormat="1" applyFont="1" applyBorder="1" applyAlignment="1">
      <alignment horizontal="right" vertical="center"/>
    </xf>
    <xf numFmtId="177" fontId="22" fillId="0" borderId="15" xfId="1" applyNumberFormat="1" applyFont="1" applyBorder="1" applyAlignment="1">
      <alignment horizontal="right" vertical="center"/>
    </xf>
    <xf numFmtId="176" fontId="22" fillId="0" borderId="15" xfId="1" applyFont="1" applyBorder="1" applyAlignment="1">
      <alignment horizontal="right" vertical="center"/>
    </xf>
    <xf numFmtId="177" fontId="22" fillId="0" borderId="16" xfId="1" applyNumberFormat="1" applyFont="1" applyBorder="1" applyAlignment="1">
      <alignment horizontal="right" vertical="center"/>
    </xf>
    <xf numFmtId="0" fontId="22" fillId="18" borderId="4" xfId="13" quotePrefix="1" applyNumberFormat="1" applyFont="1" applyFill="1" applyBorder="1" applyAlignment="1">
      <alignment horizontal="center" vertical="center"/>
    </xf>
    <xf numFmtId="0" fontId="22" fillId="18" borderId="4" xfId="1" quotePrefix="1" applyNumberFormat="1" applyFont="1" applyFill="1" applyBorder="1" applyAlignment="1">
      <alignment horizontal="center" vertical="center"/>
    </xf>
    <xf numFmtId="177" fontId="22" fillId="18" borderId="4" xfId="1" applyNumberFormat="1" applyFont="1" applyFill="1" applyBorder="1" applyAlignment="1">
      <alignment horizontal="center" vertical="center"/>
    </xf>
    <xf numFmtId="178" fontId="22" fillId="0" borderId="4" xfId="1" applyNumberFormat="1" applyFont="1" applyBorder="1" applyAlignment="1">
      <alignment vertical="center"/>
    </xf>
    <xf numFmtId="185" fontId="22" fillId="0" borderId="4" xfId="0" applyNumberFormat="1" applyFont="1" applyBorder="1"/>
    <xf numFmtId="0" fontId="22" fillId="0" borderId="4" xfId="0" applyFont="1" applyBorder="1" applyAlignment="1">
      <alignment horizontal="right"/>
    </xf>
    <xf numFmtId="177" fontId="22" fillId="0" borderId="4" xfId="1" applyNumberFormat="1" applyFont="1" applyBorder="1" applyAlignment="1">
      <alignment horizontal="right" vertical="center"/>
    </xf>
    <xf numFmtId="177" fontId="22" fillId="0" borderId="4" xfId="1" applyNumberFormat="1" applyFont="1" applyBorder="1" applyAlignment="1">
      <alignment horizontal="right" vertical="center" wrapText="1"/>
    </xf>
    <xf numFmtId="178" fontId="22" fillId="0" borderId="4" xfId="1" applyNumberFormat="1" applyFont="1" applyFill="1" applyBorder="1" applyAlignment="1">
      <alignment vertical="center"/>
    </xf>
    <xf numFmtId="177" fontId="22" fillId="0" borderId="4" xfId="1" applyNumberFormat="1" applyFont="1" applyFill="1" applyBorder="1" applyAlignment="1">
      <alignment horizontal="right" vertical="center"/>
    </xf>
    <xf numFmtId="0" fontId="56" fillId="0" borderId="0" xfId="0" applyFont="1" applyBorder="1" applyAlignment="1">
      <alignment vertical="center"/>
    </xf>
    <xf numFmtId="0" fontId="56" fillId="0" borderId="2" xfId="0" applyFont="1" applyBorder="1" applyAlignment="1">
      <alignment vertical="center"/>
    </xf>
    <xf numFmtId="176" fontId="90" fillId="0" borderId="0" xfId="1" applyFont="1" applyAlignment="1">
      <alignment vertical="center"/>
    </xf>
    <xf numFmtId="177" fontId="19" fillId="0" borderId="0" xfId="1" applyNumberFormat="1" applyFont="1" applyBorder="1" applyAlignment="1">
      <alignment vertical="center"/>
    </xf>
    <xf numFmtId="177" fontId="90" fillId="0" borderId="0" xfId="1" applyNumberFormat="1" applyFont="1" applyFill="1" applyAlignment="1">
      <alignment vertical="center"/>
    </xf>
    <xf numFmtId="176" fontId="25" fillId="0" borderId="0" xfId="1" applyNumberFormat="1" applyFont="1" applyAlignment="1">
      <alignment vertical="center"/>
    </xf>
    <xf numFmtId="184" fontId="23" fillId="0" borderId="0" xfId="1" applyNumberFormat="1" applyFont="1" applyAlignment="1">
      <alignment vertical="center"/>
    </xf>
    <xf numFmtId="184" fontId="22" fillId="0" borderId="0" xfId="1" applyNumberFormat="1" applyFont="1" applyFill="1" applyAlignment="1">
      <alignment vertical="center"/>
    </xf>
    <xf numFmtId="177" fontId="22" fillId="0" borderId="22" xfId="1" applyNumberFormat="1" applyFont="1" applyBorder="1" applyAlignment="1">
      <alignment vertical="center"/>
    </xf>
    <xf numFmtId="178" fontId="22" fillId="0" borderId="23" xfId="1" applyNumberFormat="1" applyFont="1" applyBorder="1" applyAlignment="1">
      <alignment vertical="center"/>
    </xf>
    <xf numFmtId="178" fontId="56" fillId="0" borderId="23" xfId="1" applyNumberFormat="1" applyFont="1" applyBorder="1" applyAlignment="1">
      <alignment vertical="center"/>
    </xf>
    <xf numFmtId="178" fontId="19" fillId="0" borderId="23" xfId="1" applyNumberFormat="1" applyFont="1" applyBorder="1" applyAlignment="1">
      <alignment vertical="center"/>
    </xf>
    <xf numFmtId="0" fontId="61" fillId="0" borderId="0" xfId="0" applyNumberFormat="1" applyFont="1" applyAlignment="1">
      <alignment vertical="center"/>
    </xf>
    <xf numFmtId="177" fontId="56" fillId="0" borderId="0" xfId="0" applyNumberFormat="1" applyFont="1"/>
    <xf numFmtId="177" fontId="56" fillId="0" borderId="4" xfId="1" applyNumberFormat="1" applyFont="1" applyBorder="1" applyAlignment="1">
      <alignment vertical="center"/>
    </xf>
    <xf numFmtId="177" fontId="22" fillId="0" borderId="4" xfId="1" applyNumberFormat="1" applyFont="1" applyBorder="1" applyAlignment="1">
      <alignment vertical="center"/>
    </xf>
    <xf numFmtId="177" fontId="56" fillId="16" borderId="4" xfId="1" applyNumberFormat="1" applyFont="1" applyFill="1" applyBorder="1" applyAlignment="1">
      <alignment vertical="center"/>
    </xf>
    <xf numFmtId="191" fontId="22" fillId="0" borderId="4" xfId="13" applyNumberFormat="1" applyFont="1" applyBorder="1" applyAlignment="1">
      <alignment vertical="center"/>
    </xf>
    <xf numFmtId="0" fontId="56" fillId="0" borderId="4" xfId="0" applyFont="1" applyBorder="1"/>
    <xf numFmtId="0" fontId="56" fillId="16" borderId="4" xfId="0" applyFont="1" applyFill="1" applyBorder="1"/>
    <xf numFmtId="177" fontId="22" fillId="2" borderId="0" xfId="1" applyNumberFormat="1" applyFont="1" applyFill="1" applyAlignment="1">
      <alignment vertical="center"/>
    </xf>
    <xf numFmtId="0" fontId="56" fillId="0" borderId="0" xfId="0" applyFont="1" applyFill="1" applyAlignment="1">
      <alignment vertical="center"/>
    </xf>
    <xf numFmtId="0" fontId="12" fillId="0" borderId="4" xfId="0" applyFont="1" applyBorder="1"/>
    <xf numFmtId="179" fontId="19" fillId="0" borderId="4" xfId="13" applyNumberFormat="1" applyFont="1" applyBorder="1" applyAlignment="1">
      <alignment vertical="center"/>
    </xf>
    <xf numFmtId="179" fontId="98" fillId="0" borderId="4" xfId="0" applyNumberFormat="1" applyFont="1" applyBorder="1"/>
    <xf numFmtId="179" fontId="19" fillId="0" borderId="4" xfId="1" applyNumberFormat="1" applyFont="1" applyBorder="1" applyAlignment="1">
      <alignment vertical="center"/>
    </xf>
    <xf numFmtId="176" fontId="56" fillId="0" borderId="4" xfId="1" applyFont="1" applyBorder="1" applyAlignment="1">
      <alignment vertical="center"/>
    </xf>
    <xf numFmtId="0" fontId="56" fillId="0" borderId="0" xfId="0" applyFont="1" applyBorder="1" applyAlignment="1">
      <alignment horizontal="center" vertical="center"/>
    </xf>
    <xf numFmtId="176" fontId="0" fillId="0" borderId="0" xfId="1" applyFont="1" applyAlignment="1">
      <alignment horizontal="left"/>
    </xf>
    <xf numFmtId="0" fontId="0" fillId="0" borderId="0" xfId="0" applyAlignment="1">
      <alignment horizontal="left"/>
    </xf>
    <xf numFmtId="0" fontId="0" fillId="0" borderId="4" xfId="0" applyBorder="1" applyAlignment="1">
      <alignment horizontal="left"/>
    </xf>
    <xf numFmtId="176" fontId="0" fillId="0" borderId="4" xfId="1" applyFont="1" applyBorder="1" applyAlignment="1"/>
    <xf numFmtId="0" fontId="0" fillId="0" borderId="0" xfId="0" applyNumberFormat="1"/>
    <xf numFmtId="177" fontId="59" fillId="2" borderId="0" xfId="1" applyNumberFormat="1" applyFont="1" applyFill="1" applyAlignment="1">
      <alignment vertical="center"/>
    </xf>
    <xf numFmtId="192" fontId="56" fillId="0" borderId="0" xfId="1" quotePrefix="1" applyNumberFormat="1" applyFont="1" applyAlignment="1">
      <alignment vertical="center"/>
    </xf>
    <xf numFmtId="0" fontId="19" fillId="0" borderId="0" xfId="1" applyNumberFormat="1" applyFont="1" applyAlignment="1">
      <alignment vertical="center"/>
    </xf>
    <xf numFmtId="0" fontId="99" fillId="0" borderId="0" xfId="0" applyFont="1"/>
    <xf numFmtId="190" fontId="22" fillId="0" borderId="0" xfId="13" applyNumberFormat="1" applyFont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ill="1" applyBorder="1" applyAlignment="1">
      <alignment vertical="center"/>
    </xf>
    <xf numFmtId="0" fontId="40" fillId="0" borderId="0" xfId="0" applyFont="1" applyBorder="1" applyAlignment="1">
      <alignment vertical="center"/>
    </xf>
    <xf numFmtId="0" fontId="97" fillId="0" borderId="0" xfId="0" applyFont="1" applyAlignment="1"/>
    <xf numFmtId="176" fontId="56" fillId="16" borderId="0" xfId="1" applyFont="1" applyFill="1" applyAlignment="1">
      <alignment vertical="center"/>
    </xf>
    <xf numFmtId="179" fontId="61" fillId="0" borderId="0" xfId="13" applyNumberFormat="1" applyFont="1" applyAlignment="1">
      <alignment vertical="center"/>
    </xf>
    <xf numFmtId="3" fontId="100" fillId="0" borderId="0" xfId="0" applyNumberFormat="1" applyFont="1" applyBorder="1" applyAlignment="1">
      <alignment horizontal="right" vertical="center" wrapText="1"/>
    </xf>
    <xf numFmtId="0" fontId="100" fillId="0" borderId="0" xfId="0" applyFont="1" applyBorder="1" applyAlignment="1">
      <alignment horizontal="right" vertical="center" wrapText="1"/>
    </xf>
    <xf numFmtId="179" fontId="19" fillId="0" borderId="0" xfId="13" applyNumberFormat="1" applyFont="1" applyBorder="1" applyAlignment="1">
      <alignment vertical="center"/>
    </xf>
    <xf numFmtId="193" fontId="56" fillId="0" borderId="0" xfId="13" applyNumberFormat="1" applyFont="1" applyAlignment="1">
      <alignment vertical="center"/>
    </xf>
    <xf numFmtId="190" fontId="56" fillId="0" borderId="0" xfId="13" applyNumberFormat="1" applyFont="1" applyAlignment="1">
      <alignment vertical="center"/>
    </xf>
    <xf numFmtId="180" fontId="56" fillId="0" borderId="0" xfId="13" applyNumberFormat="1" applyFont="1" applyAlignment="1">
      <alignment vertical="center"/>
    </xf>
    <xf numFmtId="176" fontId="56" fillId="0" borderId="0" xfId="1" quotePrefix="1" applyFont="1" applyAlignment="1">
      <alignment vertical="center"/>
    </xf>
    <xf numFmtId="3" fontId="0" fillId="0" borderId="0" xfId="0" applyNumberFormat="1" applyFill="1" applyBorder="1"/>
    <xf numFmtId="1" fontId="19" fillId="0" borderId="0" xfId="1" applyNumberFormat="1" applyFont="1" applyAlignment="1">
      <alignment vertical="center"/>
    </xf>
    <xf numFmtId="179" fontId="0" fillId="0" borderId="0" xfId="13" applyNumberFormat="1" applyFont="1" applyFill="1" applyBorder="1" applyAlignment="1"/>
    <xf numFmtId="179" fontId="56" fillId="0" borderId="0" xfId="13" applyNumberFormat="1" applyFont="1" applyFill="1" applyBorder="1" applyAlignment="1">
      <alignment vertical="center"/>
    </xf>
    <xf numFmtId="176" fontId="19" fillId="0" borderId="0" xfId="1" applyNumberFormat="1" applyFont="1" applyFill="1" applyAlignment="1">
      <alignment vertical="center"/>
    </xf>
    <xf numFmtId="10" fontId="19" fillId="0" borderId="0" xfId="13" applyNumberFormat="1" applyFont="1" applyFill="1" applyAlignment="1">
      <alignment vertical="center"/>
    </xf>
    <xf numFmtId="3" fontId="101" fillId="0" borderId="0" xfId="0" applyNumberFormat="1" applyFont="1" applyFill="1"/>
    <xf numFmtId="176" fontId="56" fillId="0" borderId="0" xfId="1" applyNumberFormat="1" applyFont="1" applyFill="1" applyBorder="1" applyAlignment="1">
      <alignment vertical="center" wrapText="1"/>
    </xf>
    <xf numFmtId="3" fontId="0" fillId="0" borderId="0" xfId="0" applyNumberFormat="1" applyAlignment="1">
      <alignment vertical="center"/>
    </xf>
    <xf numFmtId="176" fontId="61" fillId="0" borderId="0" xfId="1" applyFont="1" applyBorder="1" applyAlignment="1">
      <alignment vertical="center"/>
    </xf>
    <xf numFmtId="2" fontId="62" fillId="0" borderId="0" xfId="1" applyNumberFormat="1" applyFont="1" applyFill="1" applyBorder="1" applyAlignment="1">
      <alignment vertical="center"/>
    </xf>
    <xf numFmtId="187" fontId="102" fillId="0" borderId="0" xfId="0" applyNumberFormat="1" applyFont="1" applyBorder="1" applyAlignment="1">
      <alignment horizontal="right" vertical="center"/>
    </xf>
    <xf numFmtId="176" fontId="61" fillId="0" borderId="0" xfId="1" applyFont="1">
      <alignment vertical="center"/>
    </xf>
    <xf numFmtId="3" fontId="19" fillId="0" borderId="0" xfId="0" applyNumberFormat="1" applyFont="1" applyBorder="1" applyAlignment="1">
      <alignment horizontal="right"/>
    </xf>
    <xf numFmtId="176" fontId="19" fillId="0" borderId="0" xfId="1" applyFont="1">
      <alignment vertical="center"/>
    </xf>
    <xf numFmtId="189" fontId="61" fillId="0" borderId="0" xfId="0" applyNumberFormat="1" applyFont="1" applyBorder="1" applyAlignment="1">
      <alignment horizontal="right"/>
    </xf>
    <xf numFmtId="3" fontId="61" fillId="0" borderId="0" xfId="0" applyNumberFormat="1" applyFont="1" applyBorder="1" applyAlignment="1">
      <alignment horizontal="right"/>
    </xf>
    <xf numFmtId="176" fontId="104" fillId="2" borderId="0" xfId="12" applyNumberFormat="1" applyFont="1" applyAlignment="1">
      <alignment vertical="center"/>
    </xf>
    <xf numFmtId="176" fontId="56" fillId="0" borderId="0" xfId="1" applyFont="1" applyBorder="1" applyAlignment="1">
      <alignment horizontal="right" vertical="center"/>
    </xf>
    <xf numFmtId="3" fontId="71" fillId="0" borderId="0" xfId="0" applyNumberFormat="1" applyFont="1" applyBorder="1" applyAlignment="1">
      <alignment horizontal="right"/>
    </xf>
    <xf numFmtId="176" fontId="56" fillId="0" borderId="0" xfId="1" applyNumberFormat="1" applyFont="1" applyAlignment="1">
      <alignment horizontal="right" vertical="center"/>
    </xf>
    <xf numFmtId="0" fontId="106" fillId="0" borderId="0" xfId="0" applyFont="1" applyFill="1" applyBorder="1" applyAlignment="1">
      <alignment vertical="center"/>
    </xf>
    <xf numFmtId="0" fontId="106" fillId="0" borderId="0" xfId="0" applyFont="1" applyFill="1" applyBorder="1" applyAlignment="1">
      <alignment horizontal="right" vertical="center"/>
    </xf>
    <xf numFmtId="176" fontId="103" fillId="2" borderId="0" xfId="12" applyNumberFormat="1" applyFont="1" applyAlignment="1">
      <alignment vertical="center"/>
    </xf>
    <xf numFmtId="0" fontId="19" fillId="0" borderId="0" xfId="0" applyFont="1" applyFill="1" applyBorder="1" applyAlignment="1">
      <alignment vertical="center"/>
    </xf>
    <xf numFmtId="0" fontId="19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56" fillId="0" borderId="0" xfId="0" applyFont="1" applyFill="1" applyBorder="1" applyAlignment="1">
      <alignment vertical="center"/>
    </xf>
    <xf numFmtId="177" fontId="56" fillId="0" borderId="0" xfId="1" applyNumberFormat="1" applyFont="1" applyAlignment="1"/>
    <xf numFmtId="176" fontId="56" fillId="0" borderId="0" xfId="1" applyFont="1" applyAlignment="1">
      <alignment horizontal="right"/>
    </xf>
    <xf numFmtId="176" fontId="60" fillId="0" borderId="0" xfId="1" applyFont="1" applyAlignment="1">
      <alignment vertical="center"/>
    </xf>
    <xf numFmtId="185" fontId="0" fillId="0" borderId="0" xfId="0" applyNumberFormat="1" applyAlignment="1">
      <alignment vertical="center"/>
    </xf>
    <xf numFmtId="0" fontId="56" fillId="0" borderId="1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61" fillId="0" borderId="0" xfId="0" applyFont="1" applyBorder="1" applyAlignment="1">
      <alignment vertical="center"/>
    </xf>
    <xf numFmtId="0" fontId="19" fillId="0" borderId="0" xfId="1" applyNumberFormat="1" applyFont="1" applyAlignment="1"/>
    <xf numFmtId="177" fontId="12" fillId="0" borderId="0" xfId="1" applyNumberFormat="1" applyFont="1" applyFill="1" applyBorder="1" applyAlignment="1">
      <alignment vertical="center"/>
    </xf>
    <xf numFmtId="177" fontId="107" fillId="0" borderId="0" xfId="1" applyNumberFormat="1" applyFont="1" applyFill="1" applyBorder="1" applyAlignment="1"/>
    <xf numFmtId="0" fontId="58" fillId="0" borderId="0" xfId="1" applyNumberFormat="1" applyFont="1" applyFill="1" applyBorder="1" applyAlignment="1"/>
    <xf numFmtId="177" fontId="0" fillId="0" borderId="0" xfId="1" applyNumberFormat="1" applyFont="1" applyFill="1" applyBorder="1" applyAlignment="1"/>
    <xf numFmtId="177" fontId="19" fillId="0" borderId="0" xfId="1" applyNumberFormat="1" applyFont="1" applyFill="1" applyBorder="1" applyAlignment="1">
      <alignment vertical="center"/>
    </xf>
    <xf numFmtId="177" fontId="56" fillId="0" borderId="4" xfId="1" applyNumberFormat="1" applyFont="1" applyBorder="1" applyAlignment="1"/>
    <xf numFmtId="178" fontId="56" fillId="0" borderId="4" xfId="1" applyNumberFormat="1" applyFont="1" applyBorder="1" applyAlignment="1">
      <alignment vertical="center"/>
    </xf>
    <xf numFmtId="179" fontId="0" fillId="0" borderId="0" xfId="13" applyNumberFormat="1" applyFont="1" applyAlignment="1"/>
    <xf numFmtId="179" fontId="0" fillId="0" borderId="0" xfId="13" applyNumberFormat="1" applyFont="1" applyAlignment="1">
      <alignment vertical="center"/>
    </xf>
    <xf numFmtId="2" fontId="0" fillId="0" borderId="0" xfId="0" applyNumberFormat="1"/>
    <xf numFmtId="4" fontId="0" fillId="0" borderId="0" xfId="0" applyNumberFormat="1" applyAlignment="1">
      <alignment horizontal="right"/>
    </xf>
    <xf numFmtId="2" fontId="19" fillId="0" borderId="0" xfId="1" applyNumberFormat="1" applyFont="1" applyAlignment="1">
      <alignment vertical="center"/>
    </xf>
    <xf numFmtId="2" fontId="0" fillId="0" borderId="0" xfId="0" applyNumberFormat="1" applyAlignment="1">
      <alignment horizontal="right"/>
    </xf>
    <xf numFmtId="0" fontId="25" fillId="0" borderId="0" xfId="0" applyFont="1" applyBorder="1" applyAlignment="1">
      <alignment vertical="center"/>
    </xf>
    <xf numFmtId="177" fontId="19" fillId="0" borderId="0" xfId="0" applyNumberFormat="1" applyFont="1" applyAlignment="1">
      <alignment vertical="center"/>
    </xf>
    <xf numFmtId="185" fontId="19" fillId="0" borderId="0" xfId="0" applyNumberFormat="1" applyFont="1" applyAlignment="1">
      <alignment vertical="center"/>
    </xf>
    <xf numFmtId="185" fontId="74" fillId="0" borderId="0" xfId="1" applyNumberFormat="1" applyFont="1" applyAlignment="1">
      <alignment vertical="center"/>
    </xf>
    <xf numFmtId="2" fontId="74" fillId="0" borderId="0" xfId="1" applyNumberFormat="1" applyFont="1" applyAlignment="1">
      <alignment vertical="center"/>
    </xf>
    <xf numFmtId="2" fontId="35" fillId="0" borderId="0" xfId="1" applyNumberFormat="1" applyFont="1" applyAlignment="1">
      <alignment vertical="center"/>
    </xf>
    <xf numFmtId="177" fontId="12" fillId="2" borderId="0" xfId="1" applyNumberFormat="1" applyFont="1" applyFill="1" applyAlignment="1">
      <alignment vertical="center"/>
    </xf>
    <xf numFmtId="2" fontId="19" fillId="0" borderId="0" xfId="0" applyNumberFormat="1" applyFont="1" applyAlignment="1">
      <alignment vertical="center"/>
    </xf>
    <xf numFmtId="2" fontId="35" fillId="0" borderId="0" xfId="0" applyNumberFormat="1" applyFont="1" applyAlignment="1">
      <alignment vertical="center"/>
    </xf>
    <xf numFmtId="179" fontId="0" fillId="0" borderId="0" xfId="0" applyNumberFormat="1" applyFill="1"/>
    <xf numFmtId="1" fontId="0" fillId="0" borderId="0" xfId="0" applyNumberFormat="1" applyFill="1"/>
    <xf numFmtId="178" fontId="19" fillId="0" borderId="0" xfId="1" applyNumberFormat="1" applyFont="1" applyFill="1" applyAlignment="1">
      <alignment vertical="center"/>
    </xf>
    <xf numFmtId="179" fontId="12" fillId="0" borderId="0" xfId="13" applyNumberFormat="1" applyFont="1" applyFill="1" applyAlignment="1">
      <alignment vertical="center"/>
    </xf>
    <xf numFmtId="179" fontId="19" fillId="0" borderId="0" xfId="1" applyNumberFormat="1" applyFont="1" applyFill="1" applyAlignment="1">
      <alignment vertical="center"/>
    </xf>
    <xf numFmtId="179" fontId="19" fillId="0" borderId="0" xfId="13" applyNumberFormat="1" applyFont="1" applyFill="1" applyAlignment="1">
      <alignment vertical="center"/>
    </xf>
    <xf numFmtId="177" fontId="0" fillId="0" borderId="0" xfId="1" applyNumberFormat="1" applyFont="1" applyFill="1" applyAlignment="1"/>
    <xf numFmtId="4" fontId="19" fillId="0" borderId="0" xfId="0" applyNumberFormat="1" applyFont="1" applyAlignment="1">
      <alignment vertical="center"/>
    </xf>
    <xf numFmtId="4" fontId="74" fillId="0" borderId="0" xfId="1" applyNumberFormat="1" applyFont="1" applyAlignment="1">
      <alignment vertical="center"/>
    </xf>
    <xf numFmtId="178" fontId="12" fillId="0" borderId="0" xfId="1" applyNumberFormat="1" applyFont="1" applyFill="1" applyAlignment="1">
      <alignment vertical="center"/>
    </xf>
    <xf numFmtId="177" fontId="19" fillId="0" borderId="0" xfId="1" applyNumberFormat="1" applyFont="1" applyFill="1" applyAlignment="1">
      <alignment horizontal="center" vertical="center"/>
    </xf>
    <xf numFmtId="4" fontId="0" fillId="0" borderId="0" xfId="0" applyNumberFormat="1" applyBorder="1"/>
    <xf numFmtId="4" fontId="19" fillId="0" borderId="0" xfId="1" applyNumberFormat="1" applyFont="1" applyBorder="1" applyAlignment="1">
      <alignment vertical="center"/>
    </xf>
    <xf numFmtId="189" fontId="19" fillId="0" borderId="0" xfId="1" applyNumberFormat="1" applyFont="1" applyBorder="1" applyAlignment="1">
      <alignment vertical="center"/>
    </xf>
    <xf numFmtId="4" fontId="19" fillId="0" borderId="0" xfId="1" applyNumberFormat="1" applyFont="1" applyAlignment="1"/>
    <xf numFmtId="4" fontId="19" fillId="0" borderId="0" xfId="0" applyNumberFormat="1" applyFont="1" applyAlignment="1"/>
    <xf numFmtId="4" fontId="19" fillId="0" borderId="0" xfId="0" applyNumberFormat="1" applyFont="1" applyBorder="1" applyAlignment="1">
      <alignment vertical="center"/>
    </xf>
    <xf numFmtId="189" fontId="19" fillId="0" borderId="0" xfId="0" applyNumberFormat="1" applyFont="1" applyBorder="1" applyAlignment="1">
      <alignment vertical="center"/>
    </xf>
    <xf numFmtId="189" fontId="19" fillId="0" borderId="0" xfId="1" applyNumberFormat="1" applyFont="1" applyAlignment="1">
      <alignment vertical="center"/>
    </xf>
    <xf numFmtId="177" fontId="12" fillId="0" borderId="0" xfId="0" applyNumberFormat="1" applyFont="1"/>
    <xf numFmtId="176" fontId="62" fillId="0" borderId="3" xfId="1" applyNumberFormat="1" applyFont="1" applyBorder="1" applyAlignment="1">
      <alignment vertical="center"/>
    </xf>
    <xf numFmtId="176" fontId="58" fillId="0" borderId="3" xfId="1" applyNumberFormat="1" applyFont="1" applyBorder="1" applyAlignment="1">
      <alignment vertical="center"/>
    </xf>
    <xf numFmtId="0" fontId="56" fillId="0" borderId="0" xfId="0" applyFont="1" applyAlignment="1">
      <alignment horizontal="center" vertical="center"/>
    </xf>
    <xf numFmtId="0" fontId="0" fillId="16" borderId="0" xfId="0" applyFont="1" applyFill="1"/>
    <xf numFmtId="2" fontId="56" fillId="16" borderId="0" xfId="0" applyNumberFormat="1" applyFont="1" applyFill="1"/>
    <xf numFmtId="177" fontId="56" fillId="18" borderId="23" xfId="1" applyNumberFormat="1" applyFont="1" applyFill="1" applyBorder="1" applyAlignment="1">
      <alignment vertical="center"/>
    </xf>
    <xf numFmtId="176" fontId="56" fillId="0" borderId="23" xfId="1" applyFont="1" applyBorder="1" applyAlignment="1">
      <alignment vertical="center"/>
    </xf>
    <xf numFmtId="176" fontId="19" fillId="16" borderId="0" xfId="1" applyNumberFormat="1" applyFont="1" applyFill="1" applyAlignment="1">
      <alignment vertical="center"/>
    </xf>
    <xf numFmtId="2" fontId="61" fillId="0" borderId="0" xfId="0" applyNumberFormat="1" applyFont="1"/>
    <xf numFmtId="2" fontId="61" fillId="0" borderId="0" xfId="1" applyNumberFormat="1" applyFont="1" applyAlignment="1">
      <alignment vertical="center"/>
    </xf>
    <xf numFmtId="2" fontId="61" fillId="0" borderId="0" xfId="1" applyNumberFormat="1" applyFont="1" applyFill="1" applyAlignment="1">
      <alignment vertical="center"/>
    </xf>
    <xf numFmtId="2" fontId="61" fillId="16" borderId="0" xfId="0" applyNumberFormat="1" applyFont="1" applyFill="1"/>
    <xf numFmtId="2" fontId="61" fillId="16" borderId="0" xfId="1" applyNumberFormat="1" applyFont="1" applyFill="1" applyAlignment="1">
      <alignment vertical="center"/>
    </xf>
    <xf numFmtId="2" fontId="56" fillId="0" borderId="0" xfId="1" applyNumberFormat="1" applyFont="1" applyAlignment="1">
      <alignment vertical="center"/>
    </xf>
    <xf numFmtId="0" fontId="19" fillId="0" borderId="1" xfId="0" applyFont="1" applyFill="1" applyBorder="1" applyAlignment="1">
      <alignment vertical="center"/>
    </xf>
    <xf numFmtId="0" fontId="56" fillId="0" borderId="1" xfId="0" applyFont="1" applyFill="1" applyBorder="1" applyAlignment="1">
      <alignment vertical="center"/>
    </xf>
    <xf numFmtId="0" fontId="19" fillId="0" borderId="1" xfId="0" applyFont="1" applyFill="1" applyBorder="1" applyAlignment="1">
      <alignment horizontal="center" vertical="center"/>
    </xf>
    <xf numFmtId="177" fontId="0" fillId="16" borderId="0" xfId="1" applyNumberFormat="1" applyFont="1" applyFill="1" applyAlignment="1">
      <alignment vertical="center"/>
    </xf>
    <xf numFmtId="177" fontId="19" fillId="16" borderId="0" xfId="1" applyNumberFormat="1" applyFont="1" applyFill="1" applyAlignment="1">
      <alignment vertical="center"/>
    </xf>
    <xf numFmtId="176" fontId="74" fillId="0" borderId="0" xfId="1" applyFont="1" applyAlignment="1">
      <alignment vertical="center"/>
    </xf>
    <xf numFmtId="179" fontId="0" fillId="0" borderId="0" xfId="0" applyNumberFormat="1" applyAlignment="1">
      <alignment vertical="center"/>
    </xf>
    <xf numFmtId="179" fontId="0" fillId="0" borderId="0" xfId="13" applyNumberFormat="1" applyFont="1" applyAlignment="1">
      <alignment vertical="center" wrapText="1"/>
    </xf>
    <xf numFmtId="0" fontId="0" fillId="0" borderId="0" xfId="0" applyAlignment="1"/>
    <xf numFmtId="0" fontId="0" fillId="0" borderId="0" xfId="0" applyFont="1" applyAlignment="1"/>
    <xf numFmtId="176" fontId="74" fillId="0" borderId="0" xfId="1" applyFont="1" applyBorder="1" applyAlignment="1">
      <alignment vertical="center"/>
    </xf>
    <xf numFmtId="4" fontId="19" fillId="0" borderId="0" xfId="0" applyNumberFormat="1" applyFont="1" applyAlignment="1">
      <alignment horizontal="right" vertical="center"/>
    </xf>
    <xf numFmtId="179" fontId="74" fillId="0" borderId="0" xfId="13" applyNumberFormat="1" applyFont="1" applyBorder="1" applyAlignment="1">
      <alignment vertical="center"/>
    </xf>
    <xf numFmtId="179" fontId="74" fillId="0" borderId="0" xfId="13" applyNumberFormat="1" applyFont="1" applyAlignment="1">
      <alignment vertical="center"/>
    </xf>
    <xf numFmtId="177" fontId="60" fillId="0" borderId="0" xfId="1" applyNumberFormat="1" applyFont="1" applyAlignment="1">
      <alignment vertical="center"/>
    </xf>
    <xf numFmtId="179" fontId="19" fillId="0" borderId="0" xfId="0" applyNumberFormat="1" applyFont="1" applyAlignment="1"/>
    <xf numFmtId="0" fontId="108" fillId="0" borderId="1" xfId="0" applyFont="1" applyBorder="1" applyAlignment="1">
      <alignment vertical="center"/>
    </xf>
    <xf numFmtId="3" fontId="0" fillId="0" borderId="0" xfId="0" applyNumberFormat="1" applyBorder="1"/>
    <xf numFmtId="3" fontId="74" fillId="0" borderId="0" xfId="1" applyNumberFormat="1" applyFont="1" applyBorder="1" applyAlignment="1">
      <alignment vertical="center"/>
    </xf>
    <xf numFmtId="178" fontId="74" fillId="0" borderId="0" xfId="1" applyNumberFormat="1" applyFont="1" applyBorder="1" applyAlignment="1">
      <alignment vertical="center"/>
    </xf>
    <xf numFmtId="179" fontId="0" fillId="21" borderId="0" xfId="0" applyNumberFormat="1" applyFill="1"/>
    <xf numFmtId="0" fontId="0" fillId="21" borderId="0" xfId="0" applyNumberFormat="1" applyFill="1"/>
    <xf numFmtId="1" fontId="0" fillId="21" borderId="0" xfId="0" applyNumberFormat="1" applyFill="1"/>
    <xf numFmtId="189" fontId="74" fillId="21" borderId="0" xfId="1" applyNumberFormat="1" applyFont="1" applyFill="1" applyBorder="1" applyAlignment="1">
      <alignment vertical="center"/>
    </xf>
    <xf numFmtId="0" fontId="0" fillId="3" borderId="0" xfId="0" applyFill="1"/>
    <xf numFmtId="3" fontId="19" fillId="0" borderId="0" xfId="1" applyNumberFormat="1" applyFont="1" applyAlignment="1">
      <alignment vertical="center"/>
    </xf>
    <xf numFmtId="3" fontId="74" fillId="0" borderId="0" xfId="1" applyNumberFormat="1" applyFont="1" applyAlignment="1">
      <alignment vertical="center"/>
    </xf>
    <xf numFmtId="185" fontId="19" fillId="0" borderId="0" xfId="1" applyNumberFormat="1" applyFont="1" applyAlignment="1"/>
    <xf numFmtId="178" fontId="0" fillId="0" borderId="0" xfId="0" applyNumberFormat="1"/>
    <xf numFmtId="9" fontId="12" fillId="0" borderId="0" xfId="13" applyFont="1" applyFill="1" applyAlignment="1">
      <alignment vertical="center"/>
    </xf>
    <xf numFmtId="179" fontId="0" fillId="0" borderId="0" xfId="13" applyNumberFormat="1" applyFont="1" applyBorder="1" applyAlignment="1"/>
    <xf numFmtId="176" fontId="12" fillId="0" borderId="0" xfId="1" applyFont="1" applyAlignment="1">
      <alignment vertical="center"/>
    </xf>
    <xf numFmtId="194" fontId="56" fillId="0" borderId="0" xfId="0" applyNumberFormat="1" applyFont="1" applyAlignment="1"/>
    <xf numFmtId="0" fontId="111" fillId="0" borderId="0" xfId="0" applyFont="1"/>
    <xf numFmtId="0" fontId="56" fillId="0" borderId="0" xfId="1" applyNumberFormat="1" applyFont="1" applyAlignment="1" applyProtection="1">
      <alignment vertical="center"/>
    </xf>
    <xf numFmtId="178" fontId="19" fillId="0" borderId="0" xfId="1" applyNumberFormat="1" applyFont="1" applyFill="1" applyAlignment="1" applyProtection="1">
      <alignment vertical="center"/>
    </xf>
    <xf numFmtId="178" fontId="19" fillId="0" borderId="0" xfId="1" applyNumberFormat="1" applyFont="1" applyAlignment="1" applyProtection="1">
      <alignment vertical="center"/>
    </xf>
    <xf numFmtId="178" fontId="35" fillId="0" borderId="0" xfId="1" applyNumberFormat="1" applyFont="1" applyFill="1" applyAlignment="1" applyProtection="1">
      <alignment vertical="center"/>
    </xf>
    <xf numFmtId="178" fontId="35" fillId="0" borderId="0" xfId="1" applyNumberFormat="1" applyFont="1" applyAlignment="1" applyProtection="1">
      <alignment vertical="center"/>
    </xf>
    <xf numFmtId="182" fontId="56" fillId="0" borderId="0" xfId="13" applyNumberFormat="1" applyFont="1" applyBorder="1" applyAlignment="1">
      <alignment vertical="center"/>
    </xf>
    <xf numFmtId="177" fontId="56" fillId="0" borderId="24" xfId="1" applyNumberFormat="1" applyFont="1" applyBorder="1" applyAlignment="1">
      <alignment vertical="center"/>
    </xf>
    <xf numFmtId="185" fontId="61" fillId="0" borderId="0" xfId="0" applyNumberFormat="1" applyFont="1" applyAlignment="1">
      <alignment vertical="center"/>
    </xf>
    <xf numFmtId="176" fontId="22" fillId="0" borderId="22" xfId="1" applyFont="1" applyBorder="1" applyAlignment="1">
      <alignment vertical="center"/>
    </xf>
    <xf numFmtId="176" fontId="27" fillId="15" borderId="4" xfId="1" applyFont="1" applyFill="1" applyBorder="1" applyAlignment="1" applyProtection="1">
      <alignment horizontal="center" vertical="center"/>
    </xf>
    <xf numFmtId="177" fontId="22" fillId="18" borderId="7" xfId="1" applyNumberFormat="1" applyFont="1" applyFill="1" applyBorder="1" applyAlignment="1">
      <alignment horizontal="center" vertical="center"/>
    </xf>
    <xf numFmtId="177" fontId="22" fillId="18" borderId="8" xfId="1" applyNumberFormat="1" applyFont="1" applyFill="1" applyBorder="1" applyAlignment="1">
      <alignment horizontal="center" vertical="center"/>
    </xf>
    <xf numFmtId="177" fontId="22" fillId="18" borderId="10" xfId="1" applyNumberFormat="1" applyFont="1" applyFill="1" applyBorder="1" applyAlignment="1">
      <alignment horizontal="center" vertical="center" wrapText="1"/>
    </xf>
    <xf numFmtId="177" fontId="22" fillId="18" borderId="11" xfId="1" applyNumberFormat="1" applyFont="1" applyFill="1" applyBorder="1" applyAlignment="1">
      <alignment horizontal="center" vertical="center" wrapText="1"/>
    </xf>
    <xf numFmtId="0" fontId="50" fillId="0" borderId="0" xfId="92" applyFont="1" applyFill="1" applyBorder="1" applyAlignment="1">
      <alignment vertical="center"/>
    </xf>
    <xf numFmtId="0" fontId="51" fillId="0" borderId="0" xfId="0" applyFont="1" applyFill="1" applyAlignment="1">
      <alignment vertical="center"/>
    </xf>
    <xf numFmtId="0" fontId="22" fillId="18" borderId="4" xfId="91" applyFont="1" applyFill="1" applyBorder="1" applyAlignment="1">
      <alignment horizontal="center" vertical="center"/>
    </xf>
    <xf numFmtId="177" fontId="23" fillId="18" borderId="10" xfId="1" applyNumberFormat="1" applyFont="1" applyFill="1" applyBorder="1" applyAlignment="1">
      <alignment horizontal="center" vertical="center"/>
    </xf>
    <xf numFmtId="177" fontId="22" fillId="18" borderId="11" xfId="1" applyNumberFormat="1" applyFont="1" applyFill="1" applyBorder="1" applyAlignment="1">
      <alignment horizontal="center" vertical="center"/>
    </xf>
    <xf numFmtId="177" fontId="26" fillId="18" borderId="13" xfId="1" applyNumberFormat="1" applyFont="1" applyFill="1" applyBorder="1" applyAlignment="1">
      <alignment horizontal="center" vertical="center"/>
    </xf>
    <xf numFmtId="177" fontId="26" fillId="18" borderId="14" xfId="1" applyNumberFormat="1" applyFont="1" applyFill="1" applyBorder="1" applyAlignment="1">
      <alignment horizontal="center" vertical="center"/>
    </xf>
    <xf numFmtId="177" fontId="26" fillId="18" borderId="12" xfId="1" applyNumberFormat="1" applyFont="1" applyFill="1" applyBorder="1" applyAlignment="1">
      <alignment horizontal="center" vertical="center"/>
    </xf>
    <xf numFmtId="177" fontId="26" fillId="18" borderId="18" xfId="1" applyNumberFormat="1" applyFont="1" applyFill="1" applyBorder="1" applyAlignment="1">
      <alignment horizontal="center" vertical="center"/>
    </xf>
    <xf numFmtId="177" fontId="26" fillId="18" borderId="17" xfId="1" applyNumberFormat="1" applyFont="1" applyFill="1" applyBorder="1" applyAlignment="1">
      <alignment horizontal="center" vertical="center"/>
    </xf>
    <xf numFmtId="0" fontId="56" fillId="0" borderId="7" xfId="1" applyNumberFormat="1" applyFont="1" applyBorder="1" applyAlignment="1">
      <alignment horizontal="center" vertical="center"/>
    </xf>
    <xf numFmtId="0" fontId="56" fillId="0" borderId="9" xfId="1" applyNumberFormat="1" applyFont="1" applyBorder="1" applyAlignment="1">
      <alignment horizontal="center" vertical="center"/>
    </xf>
    <xf numFmtId="0" fontId="56" fillId="0" borderId="8" xfId="1" applyNumberFormat="1" applyFont="1" applyBorder="1" applyAlignment="1">
      <alignment horizontal="center" vertical="center"/>
    </xf>
  </cellXfs>
  <cellStyles count="105">
    <cellStyle name="백분율" xfId="13" builtinId="5"/>
    <cellStyle name="백분율 2" xfId="22" xr:uid="{00000000-0005-0000-0000-000001000000}"/>
    <cellStyle name="백분율 2 2" xfId="64" xr:uid="{00000000-0005-0000-0000-000002000000}"/>
    <cellStyle name="백분율 3" xfId="26" xr:uid="{00000000-0005-0000-0000-000003000000}"/>
    <cellStyle name="백분율 3 2" xfId="72" xr:uid="{00000000-0005-0000-0000-000004000000}"/>
    <cellStyle name="보통" xfId="92" builtinId="28"/>
    <cellStyle name="쉼표 [0]" xfId="1" builtinId="6"/>
    <cellStyle name="쉼표 [0] 10 9 2" xfId="100" xr:uid="{00000000-0005-0000-0000-000007000000}"/>
    <cellStyle name="쉼표 [0] 11 2" xfId="103" xr:uid="{00000000-0005-0000-0000-000008000000}"/>
    <cellStyle name="쉼표 [0] 2" xfId="10" xr:uid="{00000000-0005-0000-0000-000009000000}"/>
    <cellStyle name="쉼표 [0] 2 2" xfId="18" xr:uid="{00000000-0005-0000-0000-00000A000000}"/>
    <cellStyle name="쉼표 [0] 2 2 2" xfId="49" xr:uid="{00000000-0005-0000-0000-00000B000000}"/>
    <cellStyle name="쉼표 [0] 2 2 2 2" xfId="86" xr:uid="{00000000-0005-0000-0000-00000C000000}"/>
    <cellStyle name="쉼표 [0] 2 2 3" xfId="81" xr:uid="{00000000-0005-0000-0000-00000D000000}"/>
    <cellStyle name="쉼표 [0] 2 2 4" xfId="66" xr:uid="{00000000-0005-0000-0000-00000E000000}"/>
    <cellStyle name="쉼표 [0] 2 3" xfId="20" xr:uid="{00000000-0005-0000-0000-00000F000000}"/>
    <cellStyle name="쉼표 [0] 2 3 2" xfId="54" xr:uid="{00000000-0005-0000-0000-000010000000}"/>
    <cellStyle name="쉼표 [0] 2 3 2 2" xfId="84" xr:uid="{00000000-0005-0000-0000-000011000000}"/>
    <cellStyle name="쉼표 [0] 2 3 3" xfId="63" xr:uid="{00000000-0005-0000-0000-000012000000}"/>
    <cellStyle name="쉼표 [0] 2 4" xfId="28" xr:uid="{00000000-0005-0000-0000-000013000000}"/>
    <cellStyle name="쉼표 [0] 2 4 2" xfId="56" xr:uid="{00000000-0005-0000-0000-000014000000}"/>
    <cellStyle name="쉼표 [0] 2 4 3" xfId="74" xr:uid="{00000000-0005-0000-0000-000015000000}"/>
    <cellStyle name="쉼표 [0] 2 4 4" xfId="95" xr:uid="{00000000-0005-0000-0000-000016000000}"/>
    <cellStyle name="쉼표 [0] 2 5" xfId="36" xr:uid="{00000000-0005-0000-0000-000017000000}"/>
    <cellStyle name="쉼표 [0] 2 6" xfId="43" xr:uid="{00000000-0005-0000-0000-000018000000}"/>
    <cellStyle name="쉼표 [0] 2 7" xfId="58" xr:uid="{00000000-0005-0000-0000-000019000000}"/>
    <cellStyle name="쉼표 [0] 3" xfId="8" xr:uid="{00000000-0005-0000-0000-00001A000000}"/>
    <cellStyle name="쉼표 [0] 3 2" xfId="16" xr:uid="{00000000-0005-0000-0000-00001B000000}"/>
    <cellStyle name="쉼표 [0] 3 2 2" xfId="88" xr:uid="{00000000-0005-0000-0000-00001C000000}"/>
    <cellStyle name="쉼표 [0] 3 2 3" xfId="68" xr:uid="{00000000-0005-0000-0000-00001D000000}"/>
    <cellStyle name="쉼표 [0] 3 3" xfId="29" xr:uid="{00000000-0005-0000-0000-00001E000000}"/>
    <cellStyle name="쉼표 [0] 3 3 2" xfId="76" xr:uid="{00000000-0005-0000-0000-00001F000000}"/>
    <cellStyle name="쉼표 [0] 3 4" xfId="34" xr:uid="{00000000-0005-0000-0000-000020000000}"/>
    <cellStyle name="쉼표 [0] 3 5" xfId="47" xr:uid="{00000000-0005-0000-0000-000021000000}"/>
    <cellStyle name="쉼표 [0] 3 6" xfId="59" xr:uid="{00000000-0005-0000-0000-000022000000}"/>
    <cellStyle name="쉼표 [0] 3 7" xfId="89" xr:uid="{00000000-0005-0000-0000-000023000000}"/>
    <cellStyle name="쉼표 [0] 4" xfId="21" xr:uid="{00000000-0005-0000-0000-000024000000}"/>
    <cellStyle name="쉼표 [0] 4 2" xfId="30" xr:uid="{00000000-0005-0000-0000-000025000000}"/>
    <cellStyle name="쉼표 [0] 4 2 2" xfId="80" xr:uid="{00000000-0005-0000-0000-000026000000}"/>
    <cellStyle name="쉼표 [0] 4 3" xfId="39" xr:uid="{00000000-0005-0000-0000-000027000000}"/>
    <cellStyle name="쉼표 [0] 4 4" xfId="51" xr:uid="{00000000-0005-0000-0000-000028000000}"/>
    <cellStyle name="쉼표 [0] 4 5" xfId="61" xr:uid="{00000000-0005-0000-0000-000029000000}"/>
    <cellStyle name="쉼표 [0] 4 6" xfId="90" xr:uid="{00000000-0005-0000-0000-00002A000000}"/>
    <cellStyle name="쉼표 [0] 5" xfId="25" xr:uid="{00000000-0005-0000-0000-00002B000000}"/>
    <cellStyle name="쉼표 [0] 5 2" xfId="55" xr:uid="{00000000-0005-0000-0000-00002C000000}"/>
    <cellStyle name="쉼표 [0] 5 3" xfId="69" xr:uid="{00000000-0005-0000-0000-00002D000000}"/>
    <cellStyle name="쉼표 [0] 6" xfId="96" xr:uid="{00000000-0005-0000-0000-00002E000000}"/>
    <cellStyle name="쉼표 [0] 7" xfId="104" xr:uid="{00000000-0005-0000-0000-00002F000000}"/>
    <cellStyle name="제목" xfId="2" builtinId="15" hidden="1" customBuiltin="1"/>
    <cellStyle name="제목 1" xfId="12" builtinId="16" customBuiltin="1"/>
    <cellStyle name="좋음" xfId="91" builtinId="26"/>
    <cellStyle name="표준" xfId="0" builtinId="0"/>
    <cellStyle name="표준 10" xfId="42" xr:uid="{00000000-0005-0000-0000-000034000000}"/>
    <cellStyle name="표준 10 2" xfId="93" xr:uid="{00000000-0005-0000-0000-000035000000}"/>
    <cellStyle name="표준 10 2 2" xfId="101" xr:uid="{00000000-0005-0000-0000-000036000000}"/>
    <cellStyle name="표준 101 2" xfId="99" xr:uid="{00000000-0005-0000-0000-000037000000}"/>
    <cellStyle name="표준 101 2 2 2 2" xfId="102" xr:uid="{00000000-0005-0000-0000-000038000000}"/>
    <cellStyle name="표준 11" xfId="57" xr:uid="{00000000-0005-0000-0000-000039000000}"/>
    <cellStyle name="표준 11 2" xfId="94" xr:uid="{00000000-0005-0000-0000-00003A000000}"/>
    <cellStyle name="표준 2" xfId="5" xr:uid="{00000000-0005-0000-0000-00003B000000}"/>
    <cellStyle name="표준 2 2" xfId="6" xr:uid="{00000000-0005-0000-0000-00003C000000}"/>
    <cellStyle name="표준 2 3" xfId="9" xr:uid="{00000000-0005-0000-0000-00003D000000}"/>
    <cellStyle name="표준 2 3 2" xfId="17" xr:uid="{00000000-0005-0000-0000-00003E000000}"/>
    <cellStyle name="표준 2 3 3" xfId="35" xr:uid="{00000000-0005-0000-0000-00003F000000}"/>
    <cellStyle name="표준 2 3 4" xfId="48" xr:uid="{00000000-0005-0000-0000-000040000000}"/>
    <cellStyle name="표준 2 3 5" xfId="62" xr:uid="{00000000-0005-0000-0000-000041000000}"/>
    <cellStyle name="표준 2 4" xfId="15" xr:uid="{00000000-0005-0000-0000-000042000000}"/>
    <cellStyle name="표준 2 4 2" xfId="40" xr:uid="{00000000-0005-0000-0000-000043000000}"/>
    <cellStyle name="표준 2 4 2 2" xfId="87" xr:uid="{00000000-0005-0000-0000-000044000000}"/>
    <cellStyle name="표준 2 4 3" xfId="46" xr:uid="{00000000-0005-0000-0000-000045000000}"/>
    <cellStyle name="표준 2 4 3 2" xfId="78" xr:uid="{00000000-0005-0000-0000-000046000000}"/>
    <cellStyle name="표준 2 4 4" xfId="67" xr:uid="{00000000-0005-0000-0000-000047000000}"/>
    <cellStyle name="표준 2 4 5" xfId="97" xr:uid="{00000000-0005-0000-0000-000048000000}"/>
    <cellStyle name="표준 2 5" xfId="27" xr:uid="{00000000-0005-0000-0000-000049000000}"/>
    <cellStyle name="표준 2 5 2" xfId="52" xr:uid="{00000000-0005-0000-0000-00004A000000}"/>
    <cellStyle name="표준 2 5 2 2" xfId="83" xr:uid="{00000000-0005-0000-0000-00004B000000}"/>
    <cellStyle name="표준 2 5 3" xfId="75" xr:uid="{00000000-0005-0000-0000-00004C000000}"/>
    <cellStyle name="표준 2 5 4" xfId="60" xr:uid="{00000000-0005-0000-0000-00004D000000}"/>
    <cellStyle name="표준 2 6" xfId="33" xr:uid="{00000000-0005-0000-0000-00004E000000}"/>
    <cellStyle name="표준 2 6 2" xfId="70" xr:uid="{00000000-0005-0000-0000-00004F000000}"/>
    <cellStyle name="표준 2 7" xfId="44" xr:uid="{00000000-0005-0000-0000-000050000000}"/>
    <cellStyle name="표준 3" xfId="7" xr:uid="{00000000-0005-0000-0000-000051000000}"/>
    <cellStyle name="표준 3 2" xfId="31" xr:uid="{00000000-0005-0000-0000-000052000000}"/>
    <cellStyle name="표준 3 2 2" xfId="41" xr:uid="{00000000-0005-0000-0000-000053000000}"/>
    <cellStyle name="표준 3 2 3" xfId="79" xr:uid="{00000000-0005-0000-0000-000054000000}"/>
    <cellStyle name="표준 3 3" xfId="71" xr:uid="{00000000-0005-0000-0000-000055000000}"/>
    <cellStyle name="표준 4" xfId="11" xr:uid="{00000000-0005-0000-0000-000056000000}"/>
    <cellStyle name="표준 4 2" xfId="19" xr:uid="{00000000-0005-0000-0000-000057000000}"/>
    <cellStyle name="표준 4 2 2" xfId="53" xr:uid="{00000000-0005-0000-0000-000058000000}"/>
    <cellStyle name="표준 4 2 3" xfId="85" xr:uid="{00000000-0005-0000-0000-000059000000}"/>
    <cellStyle name="표준 4 3" xfId="37" xr:uid="{00000000-0005-0000-0000-00005A000000}"/>
    <cellStyle name="표준 4 3 2" xfId="77" xr:uid="{00000000-0005-0000-0000-00005B000000}"/>
    <cellStyle name="표준 4 4" xfId="45" xr:uid="{00000000-0005-0000-0000-00005C000000}"/>
    <cellStyle name="표준 4 5" xfId="65" xr:uid="{00000000-0005-0000-0000-00005D000000}"/>
    <cellStyle name="표준 5" xfId="3" xr:uid="{00000000-0005-0000-0000-00005E000000}"/>
    <cellStyle name="표준 5 2" xfId="50" xr:uid="{00000000-0005-0000-0000-00005F000000}"/>
    <cellStyle name="표준 5 2 2" xfId="82" xr:uid="{00000000-0005-0000-0000-000060000000}"/>
    <cellStyle name="표준 5 3" xfId="73" xr:uid="{00000000-0005-0000-0000-000061000000}"/>
    <cellStyle name="표준 6" xfId="4" xr:uid="{00000000-0005-0000-0000-000062000000}"/>
    <cellStyle name="표준 6 2" xfId="38" xr:uid="{00000000-0005-0000-0000-000063000000}"/>
    <cellStyle name="표준 7" xfId="14" xr:uid="{00000000-0005-0000-0000-000064000000}"/>
    <cellStyle name="표준 8" xfId="24" xr:uid="{00000000-0005-0000-0000-000065000000}"/>
    <cellStyle name="표준 86" xfId="98" xr:uid="{00000000-0005-0000-0000-000066000000}"/>
    <cellStyle name="표준 9" xfId="32" xr:uid="{00000000-0005-0000-0000-000067000000}"/>
    <cellStyle name="하이퍼링크" xfId="23" builtinId="8"/>
  </cellStyles>
  <dxfs count="1096">
    <dxf>
      <numFmt numFmtId="178" formatCode="_(* #,##0.0_);_(* \(#,##0.0\);_(* &quot;-&quot;_);_(@_)"/>
    </dxf>
    <dxf>
      <numFmt numFmtId="178" formatCode="_(* #,##0.0_);_(* \(#,##0.0\);_(* &quot;-&quot;_);_(@_)"/>
    </dxf>
    <dxf>
      <numFmt numFmtId="178" formatCode="_(* #,##0.0_);_(* \(#,##0.0\);_(* &quot;-&quot;_);_(@_)"/>
    </dxf>
    <dxf>
      <numFmt numFmtId="178" formatCode="_(* #,##0.0_);_(* \(#,##0.0\);_(* &quot;-&quot;_);_(@_)"/>
    </dxf>
    <dxf>
      <numFmt numFmtId="178" formatCode="_(* #,##0.0_);_(* \(#,##0.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8" formatCode="_(* #,##0.0_);_(* \(#,##0.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89" formatCode="#,##0.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89" formatCode="#,##0.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9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89" formatCode="#,##0.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89" formatCode="#,##0.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9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89" formatCode="#,##0.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89" formatCode="#,##0.0"/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89" formatCode="#,##0.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89" formatCode="#,##0.0"/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89" formatCode="#,##0.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bottom" textRotation="0" wrapText="0" indent="0" justifyLastLine="0" shrinkToFit="0" readingOrder="0"/>
    </dxf>
    <dxf>
      <numFmt numFmtId="177" formatCode="_(* #,##0.00_);_(* \(#,##0.00\);_(* &quot;-&quot;_);_(@_)"/>
    </dxf>
    <dxf>
      <numFmt numFmtId="178" formatCode="_(* #,##0.0_);_(* \(#,##0.0\);_(* &quot;-&quot;_);_(@_)"/>
      <alignment horizontal="general" vertical="center" textRotation="0" wrapText="0" indent="0" justifyLastLine="0" shrinkToFit="0" readingOrder="0"/>
    </dxf>
    <dxf>
      <numFmt numFmtId="177" formatCode="_(* #,##0.00_);_(* \(#,##0.00\);_(* &quot;-&quot;_);_(@_)"/>
    </dxf>
    <dxf>
      <numFmt numFmtId="177" formatCode="_(* #,##0.00_);_(* \(#,##0.00\);_(* &quot;-&quot;_);_(@_)"/>
    </dxf>
    <dxf>
      <numFmt numFmtId="177" formatCode="_(* #,##0.00_);_(* \(#,##0.00\);_(* &quot;-&quot;_);_(@_)"/>
    </dxf>
    <dxf>
      <numFmt numFmtId="177" formatCode="_(* #,##0.00_);_(* \(#,##0.0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178" formatCode="_(* #,##0.0_);_(* \(#,##0.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numFmt numFmtId="178" formatCode="_(* #,##0.0_);_(* \(#,##0.0\);_(* &quot;-&quot;_);_(@_)"/>
      <alignment horizontal="general" vertical="center" textRotation="0" wrapText="0" indent="0" justifyLastLine="0" shrinkToFit="0" readingOrder="0"/>
    </dxf>
    <dxf>
      <numFmt numFmtId="177" formatCode="_(* #,##0.00_);_(* \(#,##0.00\);_(* &quot;-&quot;_);_(@_)"/>
    </dxf>
    <dxf>
      <numFmt numFmtId="177" formatCode="_(* #,##0.00_);_(* \(#,##0.00\);_(* &quot;-&quot;_);_(@_)"/>
    </dxf>
    <dxf>
      <numFmt numFmtId="177" formatCode="_(* #,##0.00_);_(* \(#,##0.00\);_(* &quot;-&quot;_);_(@_)"/>
    </dxf>
    <dxf>
      <numFmt numFmtId="177" formatCode="_(* #,##0.00_);_(* \(#,##0.00\);_(* &quot;-&quot;_);_(@_)"/>
    </dxf>
    <dxf>
      <numFmt numFmtId="177" formatCode="_(* #,##0.00_);_(* \(#,##0.00\);_(* &quot;-&quot;_);_(@_)"/>
    </dxf>
    <dxf>
      <numFmt numFmtId="177" formatCode="_(* #,##0.00_);_(* \(#,##0.0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85" formatCode="0.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85" formatCode="0.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85" formatCode="0.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85" formatCode="0.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85" formatCode="0.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85" formatCode="0.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8" formatCode="_(* #,##0.0_);_(* \(#,##0.0\);_(* &quot;-&quot;_);_(@_)"/>
      <alignment horizontal="general" vertical="center" textRotation="0" wrapText="0" indent="0" justifyLastLine="0" shrinkToFit="0" readingOrder="0"/>
    </dxf>
    <dxf>
      <numFmt numFmtId="177" formatCode="_(* #,##0.00_);_(* \(#,##0.00\);_(* &quot;-&quot;_);_(@_)"/>
    </dxf>
    <dxf>
      <numFmt numFmtId="177" formatCode="_(* #,##0.00_);_(* \(#,##0.00\);_(* &quot;-&quot;_);_(@_)"/>
    </dxf>
    <dxf>
      <numFmt numFmtId="177" formatCode="_(* #,##0.00_);_(* \(#,##0.00\);_(* &quot;-&quot;_);_(@_)"/>
    </dxf>
    <dxf>
      <numFmt numFmtId="177" formatCode="_(* #,##0.00_);_(* \(#,##0.00\);_(* &quot;-&quot;_);_(@_)"/>
    </dxf>
    <dxf>
      <numFmt numFmtId="177" formatCode="_(* #,##0.00_);_(* \(#,##0.00\);_(* &quot;-&quot;_);_(@_)"/>
    </dxf>
    <dxf>
      <font>
        <strike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8" formatCode="_(* #,##0.0_);_(* \(#,##0.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8" formatCode="_(* #,##0.0_);_(* \(#,##0.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numFmt numFmtId="177" formatCode="_(* #,##0.00_);_(* \(#,##0.00\);_(* &quot;-&quot;_);_(@_)"/>
    </dxf>
    <dxf>
      <numFmt numFmtId="177" formatCode="_(* #,##0.00_);_(* \(#,##0.00\);_(* &quot;-&quot;_);_(@_)"/>
    </dxf>
    <dxf>
      <numFmt numFmtId="177" formatCode="_(* #,##0.00_);_(* \(#,##0.00\);_(* &quot;-&quot;_);_(@_)"/>
    </dxf>
    <dxf>
      <numFmt numFmtId="177" formatCode="_(* #,##0.00_);_(* \(#,##0.00\);_(* &quot;-&quot;_);_(@_)"/>
    </dxf>
    <dxf>
      <numFmt numFmtId="177" formatCode="_(* #,##0.00_);_(* \(#,##0.0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8" formatCode="_(* #,##0.0_);_(* \(#,##0.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9" formatCode="0.0%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9" formatCode="0.0%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8" formatCode="_(* #,##0.0_);_(* \(#,##0.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* #,##0.00_);_(* \(#,##0.00\);_(* &quot;-&quot;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8" formatCode="_(* #,##0.0_);_(* \(#,##0.0\);_(* &quot;-&quot;_);_(@_)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8" formatCode="_(* #,##0.0_);_(* \(#,##0.0\);_(* &quot;-&quot;_);_(@_)"/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8" formatCode="_(* #,##0.0_);_(* \(#,##0.0\);_(* &quot;-&quot;_);_(@_)"/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8" formatCode="_(* #,##0.0_);_(* \(#,##0.0\);_(* &quot;-&quot;_);_(@_)"/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8" formatCode="_(* #,##0.0_);_(* \(#,##0.0\);_(* &quot;-&quot;_);_(@_)"/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8" formatCode="_(* #,##0.0_);_(* \(#,##0.0\);_(* &quot;-&quot;_);_(@_)"/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8" formatCode="_(* #,##0.0_);_(* \(#,##0.0\);_(* &quot;-&quot;_);_(@_)"/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8" formatCode="_(* #,##0.0_);_(* \(#,##0.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7" formatCode="_(* #,##0.00_);_(* \(#,##0.00\);_(* &quot;-&quot;_);_(@_)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7" formatCode="_(* #,##0.00_);_(* \(#,##0.00\);_(* &quot;-&quot;_);_(@_)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3" formatCode="#,##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3" formatCode="#,##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3" formatCode="#,##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3" formatCode="#,##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3" formatCode="#,##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3" formatCode="#,##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3" formatCode="#,##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7" formatCode="_(* #,##0.00_);_(* \(#,##0.00\);_(* &quot;-&quot;_);_(@_)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3" formatCode="#,##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3" formatCode="#,##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3" formatCode="#,##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3" formatCode="#,##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3" formatCode="#,##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3" formatCode="#,##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3" formatCode="#,##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7" formatCode="_(* #,##0.00_);_(* \(#,##0.00\);_(* &quot;-&quot;_);_(@_)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7" formatCode="_(* #,##0.00_);_(* \(#,##0.00\);_(* &quot;-&quot;_);_(@_)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7" formatCode="_(* #,##0.00_);_(* \(#,##0.00\);_(* &quot;-&quot;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7" formatCode="_(* #,##0.00_);_(* \(#,##0.00\);_(* &quot;-&quot;_);_(@_)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7" formatCode="_(* #,##0.00_);_(* \(#,##0.00\);_(* &quot;-&quot;_);_(@_)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6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85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6" formatCode="_(* #,##0_);_(* \(#,##0\);_(* &quot;-&quot;_);_(@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3" formatCode="0%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6" formatCode="_(* #,##0_);_(* \(#,##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4" formatCode="0.00%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87" formatCode="0.00_ 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6" formatCode="_(* #,##0_);_(* \(#,##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88" formatCode="_-* #,##0_-;\-* #,##0_-;_-* &quot;-&quot;??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6" formatCode="_(* #,##0_);_(* \(#,##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ajor"/>
      </font>
      <numFmt numFmtId="187" formatCode="0.00_ 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ajor"/>
      </font>
      <numFmt numFmtId="187" formatCode="0.00_ 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6" formatCode="_(* #,##0_);_(* \(#,##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6" formatCode="_(* #,##0_);_(* \(#,##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6" formatCode="_(* #,##0_);_(* \(#,##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6" formatCode="_(* #,##0_);_(* \(#,##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9" formatCode="0.0%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80" formatCode="#,##0_ 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9" formatCode="0.0%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8" formatCode="_(* #,##0.0_);_(* \(#,##0.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85" formatCode="0.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95" formatCode="_(* #,##0.0000000_);_(* \(#,##0.00000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minor"/>
      </font>
      <numFmt numFmtId="184" formatCode="0_);[Red]\(0\)"/>
    </dxf>
    <dxf>
      <font>
        <color auto="1"/>
      </font>
      <numFmt numFmtId="184" formatCode="0_);[Red]\(0\)"/>
      <alignment horizontal="general" vertical="center" textRotation="0" wrapText="0" indent="0" justifyLastLine="0" shrinkToFit="0" readingOrder="0"/>
    </dxf>
    <dxf>
      <font>
        <color auto="1"/>
      </font>
      <numFmt numFmtId="184" formatCode="0_);[Red]\(0\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6" formatCode="_(* #,##0_);_(* \(#,##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6" formatCode="_(* #,##0_);_(* \(#,##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6" formatCode="_(* #,##0_);_(* \(#,##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82" formatCode="0.0_ 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  <border outline="0">
        <left style="thin">
          <color rgb="FF000000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82" formatCode="0.0_ 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8" formatCode="_(* #,##0.0_);_(* \(#,##0.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9" formatCode="0.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6" formatCode="_(* #,##0_);_(* \(#,##0\);_(* &quot;-&quot;_);_(@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7" formatCode="_(* #,##0.00_);_(* \(#,##0.00\);_(* &quot;-&quot;_);_(@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6" formatCode="_(* #,##0_);_(* \(#,##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6" formatCode="_(* #,##0_);_(* \(#,##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6" formatCode="_(* #,##0_);_(* \(#,##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6" formatCode="_(* #,##0_);_(* \(#,##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6" formatCode="_(* #,##0_);_(* \(#,##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8" formatCode="_(* #,##0.0_);_(* \(#,##0.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80" formatCode="#,##0_ 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80" formatCode="#,##0_ 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80" formatCode="#,##0_ 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80" formatCode="#,##0_ 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80" formatCode="#,##0_ 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80" formatCode="#,##0_ 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80" formatCode="#,##0_ 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80" formatCode="#,##0_ 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80" formatCode="#,##0_ 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80" formatCode="#,##0_ 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80" formatCode="#,##0_ 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80" formatCode="#,##0_ 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3" formatCode="0%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80" formatCode="#,##0_ 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3" formatCode="0%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80" formatCode="#,##0_ 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3" formatCode="0%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80" formatCode="#,##0_ 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7" formatCode="_(* #,##0.00_);_(* \(#,##0.00\);_(* &quot;-&quot;_);_(@_)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6" formatCode="_(* #,##0_);_(* \(#,##0\);_(* &quot;-&quot;_);_(@_)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6" formatCode="_(* #,##0_);_(* \(#,##0\);_(* &quot;-&quot;_);_(@_)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6" formatCode="_(* #,##0_);_(* \(#,##0\);_(* &quot;-&quot;_);_(@_)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6" formatCode="_(* #,##0_);_(* \(#,##0\);_(* &quot;-&quot;_);_(@_)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7" formatCode="_(* #,##0.00_);_(* \(#,##0.00\);_(* &quot;-&quot;_);_(@_)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7" formatCode="_(* #,##0.00_);_(* \(#,##0.00\);_(* &quot;-&quot;_);_(@_)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7" formatCode="_(* #,##0.00_);_(* \(#,##0.00\);_(* &quot;-&quot;_);_(@_)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6" formatCode="_(* #,##0_);_(* \(#,##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6" formatCode="_(* #,##0_);_(* \(#,##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6" formatCode="_(* #,##0_);_(* \(#,##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6" formatCode="_(* #,##0_);_(* \(#,##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6" formatCode="_(* #,##0_);_(* \(#,##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6" formatCode="_(* #,##0_);_(* \(#,##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6" formatCode="_(* #,##0_);_(* \(#,##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6" formatCode="_(* #,##0_);_(* \(#,##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6" formatCode="_(* #,##0_);_(* \(#,##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_(* #,##0.00_);_(* \(#,##0.00\);_(* &quot;-&quot;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9" formatCode="0.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rgb="FFFF0000"/>
        <name val="맑은 고딕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6" formatCode="_(* #,##0_);_(* \(#,##0\);_(* &quot;-&quot;_);_(@_)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scheme val="minor"/>
      </font>
      <numFmt numFmtId="178" formatCode="_(* #,##0.0_);_(* \(#,##0.0\);_(* &quot;-&quot;_);_(@_)"/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8" formatCode="_(* #,##0.0_);_(* \(#,##0.0\);_(* &quot;-&quot;_);_(@_)"/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8" formatCode="_(* #,##0.0_);_(* \(#,##0.0\);_(* &quot;-&quot;_);_(@_)"/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scheme val="minor"/>
      </font>
      <numFmt numFmtId="178" formatCode="_(* #,##0.0_);_(* \(#,##0.0\);_(* &quot;-&quot;_);_(@_)"/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8" formatCode="_(* #,##0.0_);_(* \(#,##0.0\);_(* &quot;-&quot;_);_(@_)"/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8" formatCode="_(* #,##0.0_);_(* \(#,##0.0\);_(* &quot;-&quot;_);_(@_)"/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8" formatCode="_(* #,##0.0_);_(* \(#,##0.0\);_(* &quot;-&quot;_);_(@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ajor"/>
      </font>
      <numFmt numFmtId="3" formatCode="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aj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aj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aj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aj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9" formatCode="0.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9" formatCode="0.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9" formatCode="0.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9" formatCode="0.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9" formatCode="0.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9" formatCode="0.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minor"/>
      </font>
      <fill>
        <patternFill patternType="none">
          <fgColor indexed="64"/>
          <bgColor indexed="65"/>
        </patternFill>
      </fill>
      <alignment horizontal="justify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 style="thin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9" formatCode="0.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9" formatCode="0.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9" formatCode="0.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9" formatCode="0.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6" formatCode="_(* #,##0_);_(* \(#,##0\);_(* &quot;-&quot;_);_(@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6" formatCode="_(* #,##0_);_(* \(#,##0\);_(* &quot;-&quot;_);_(@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6" formatCode="_(* #,##0_);_(* \(#,##0\);_(* &quot;-&quot;_);_(@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6" formatCode="_(* #,##0_);_(* \(#,##0\);_(* &quot;-&quot;_);_(@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6" formatCode="_(* #,##0_);_(* \(#,##0\);_(* &quot;-&quot;_);_(@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6" formatCode="_(* #,##0_);_(* \(#,##0\);_(* &quot;-&quot;_);_(@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6" formatCode="_(* #,##0_);_(* \(#,##0\);_(* &quot;-&quot;_);_(@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6" formatCode="_(* #,##0_);_(* \(#,##0\);_(* &quot;-&quot;_);_(@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4" formatCode="0.00%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80" formatCode="#,##0_ "/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80" formatCode="#,##0_ "/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80" formatCode="#,##0_ "/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80" formatCode="#,##0_ "/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80" formatCode="#,##0_ "/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80" formatCode="#,##0_ "/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80" formatCode="#,##0_ "/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80" formatCode="#,##0_ "/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80" formatCode="#,##0_ "/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80" formatCode="#,##0_ "/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rgb="FFFF0000"/>
        <name val="맑은 고딕"/>
        <scheme val="minor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9" formatCode="0.0%"/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80" formatCode="#,##0_ "/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9" formatCode="0.0%"/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9" formatCode="0.0%"/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3" formatCode="#,##0"/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9" formatCode="0.0%"/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3" formatCode="#,##0"/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3" formatCode="#,##0"/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77" formatCode="_(* #,##0.00_);_(* \(#,##0.00\);_(* &quot;-&quot;_);_(@_)"/>
      <alignment vertical="center" textRotation="0" wrapText="0" indent="0" justifyLastLine="0" shrinkToFit="0" readingOrder="0"/>
    </dxf>
    <dxf>
      <font>
        <color rgb="FF0000FF"/>
      </font>
      <numFmt numFmtId="177" formatCode="_(* #,##0.00_);_(* \(#,##0.00\);_(* &quot;-&quot;_);_(@_)"/>
      <alignment horizontal="general" vertical="center" textRotation="0" wrapText="0" indent="0" justifyLastLine="0" shrinkToFit="0" readingOrder="0"/>
      <protection locked="1" hidden="0"/>
    </dxf>
    <dxf>
      <font>
        <color auto="1"/>
      </font>
      <numFmt numFmtId="177" formatCode="_(* #,##0.00_);_(* \(#,##0.00\);_(* &quot;-&quot;_);_(@_)"/>
      <alignment horizontal="general" vertical="center" textRotation="0" wrapText="0" indent="0" justifyLastLine="0" shrinkToFit="0" readingOrder="0"/>
      <protection locked="1" hidden="0"/>
    </dxf>
    <dxf>
      <font>
        <color auto="1"/>
      </font>
      <numFmt numFmtId="177" formatCode="_(* #,##0.00_);_(* \(#,##0.00\);_(* &quot;-&quot;_);_(@_)"/>
      <alignment horizontal="general" vertical="center" textRotation="0" wrapText="0" indent="0" justifyLastLine="0" shrinkToFit="0" readingOrder="0"/>
      <protection locked="1" hidden="0"/>
    </dxf>
    <dxf>
      <font>
        <color auto="1"/>
      </font>
      <numFmt numFmtId="177" formatCode="_(* #,##0.00_);_(* \(#,##0.00\);_(* &quot;-&quot;_);_(@_)"/>
      <alignment horizontal="general" vertical="center" textRotation="0" wrapText="0" indent="0" justifyLastLine="0" shrinkToFit="0" readingOrder="0"/>
      <protection locked="1" hidden="0"/>
    </dxf>
    <dxf>
      <font>
        <color auto="1"/>
      </font>
      <numFmt numFmtId="177" formatCode="_(* #,##0.00_);_(* \(#,##0.00\);_(* &quot;-&quot;_);_(@_)"/>
      <alignment horizontal="general" vertical="center" textRotation="0" wrapText="0" indent="0" justifyLastLine="0" shrinkToFit="0" readingOrder="0"/>
      <protection locked="1" hidden="0"/>
    </dxf>
    <dxf>
      <font>
        <color auto="1"/>
      </font>
      <numFmt numFmtId="177" formatCode="_(* #,##0.00_);_(* \(#,##0.00\);_(* &quot;-&quot;_);_(@_)"/>
      <alignment horizontal="general" vertical="center" textRotation="0" wrapText="0" indent="0" justifyLastLine="0" shrinkToFit="0" readingOrder="0"/>
      <protection locked="1" hidden="0"/>
    </dxf>
    <dxf>
      <font>
        <color auto="1"/>
      </font>
      <numFmt numFmtId="177" formatCode="_(* #,##0.00_);_(* \(#,##0.00\);_(* &quot;-&quot;_);_(@_)"/>
      <alignment horizontal="general" vertical="center" textRotation="0" wrapText="0" indent="0" justifyLastLine="0" shrinkToFit="0" readingOrder="0"/>
      <protection locked="1" hidden="0"/>
    </dxf>
    <dxf>
      <font>
        <color auto="1"/>
      </font>
      <numFmt numFmtId="177" formatCode="_(* #,##0.00_);_(* \(#,##0.00\);_(* &quot;-&quot;_);_(@_)"/>
      <alignment horizontal="general" vertical="center" textRotation="0" wrapText="0" indent="0" justifyLastLine="0" shrinkToFit="0" readingOrder="0"/>
      <protection locked="1" hidden="0"/>
    </dxf>
    <dxf>
      <font>
        <color auto="1"/>
      </font>
      <numFmt numFmtId="177" formatCode="_(* #,##0.00_);_(* \(#,##0.00\);_(* &quot;-&quot;_);_(@_)"/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rgb="FF0000FF"/>
        <name val="맑은 고딕"/>
        <scheme val="minor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minor"/>
      </font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4" formatCode="0.00%"/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numFmt numFmtId="14" formatCode="0.00%"/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general" vertical="center" textRotation="0" wrapText="0" indent="0" justifyLastLine="0" shrinkToFit="0" readingOrder="0"/>
      <protection locked="1" hidden="0"/>
    </dxf>
  </dxfs>
  <tableStyles count="0" defaultTableStyle="TableStyleMedium2" defaultPivotStyle="PivotStyleMedium9"/>
  <colors>
    <mruColors>
      <color rgb="FF0000FF"/>
      <color rgb="FFFF5050"/>
      <color rgb="FFFFFFCC"/>
      <color rgb="FFFCFFE1"/>
      <color rgb="FFF26651"/>
      <color rgb="FFCCFFCC"/>
      <color rgb="FF95C55F"/>
      <color rgb="FF000000"/>
      <color rgb="FFF4A42A"/>
      <color rgb="FFF480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chartUserShapes" Target="../drawings/drawing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4.xml"/><Relationship Id="rId1" Type="http://schemas.microsoft.com/office/2011/relationships/chartStyle" Target="style4.xml"/><Relationship Id="rId4" Type="http://schemas.openxmlformats.org/officeDocument/2006/relationships/chartUserShapes" Target="../drawings/drawing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5.xml"/><Relationship Id="rId1" Type="http://schemas.microsoft.com/office/2011/relationships/chartStyle" Target="style5.xml"/><Relationship Id="rId4" Type="http://schemas.openxmlformats.org/officeDocument/2006/relationships/chartUserShapes" Target="../drawings/drawing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7.xml"/><Relationship Id="rId1" Type="http://schemas.microsoft.com/office/2011/relationships/chartStyle" Target="style7.xml"/><Relationship Id="rId4" Type="http://schemas.openxmlformats.org/officeDocument/2006/relationships/chartUserShapes" Target="../drawings/drawing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12.xml"/><Relationship Id="rId1" Type="http://schemas.microsoft.com/office/2011/relationships/chartStyle" Target="style12.xml"/><Relationship Id="rId4" Type="http://schemas.openxmlformats.org/officeDocument/2006/relationships/chartUserShapes" Target="../drawings/drawing9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13.xml"/><Relationship Id="rId1" Type="http://schemas.microsoft.com/office/2011/relationships/chartStyle" Target="style13.xml"/><Relationship Id="rId4" Type="http://schemas.openxmlformats.org/officeDocument/2006/relationships/chartUserShapes" Target="../drawings/drawing10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0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3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4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5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7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8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9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0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2.xml"/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3.xml"/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4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6.xml"/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7.xml"/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8.xml"/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9.xml"/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7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0.xml"/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2.xml"/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3.xml"/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4.xml"/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5.xml"/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7.xml"/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8.xml"/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0.xml"/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1.xml"/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2.xml"/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4.xml"/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5.xml"/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6.xml"/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8.xml"/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95C55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D06-46B3-92AE-24C204B51BF9}"/>
              </c:ext>
            </c:extLst>
          </c:dPt>
          <c:dPt>
            <c:idx val="1"/>
            <c:invertIfNegative val="0"/>
            <c:bubble3D val="0"/>
            <c:spPr>
              <a:solidFill>
                <a:srgbClr val="F4A42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D06-46B3-92AE-24C204B51BF9}"/>
              </c:ext>
            </c:extLst>
          </c:dPt>
          <c:dPt>
            <c:idx val="2"/>
            <c:invertIfNegative val="0"/>
            <c:bubble3D val="0"/>
            <c:spPr>
              <a:solidFill>
                <a:srgbClr val="F4806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D06-46B3-92AE-24C204B51BF9}"/>
              </c:ext>
            </c:extLst>
          </c:dPt>
          <c:dPt>
            <c:idx val="3"/>
            <c:invertIfNegative val="0"/>
            <c:bubble3D val="0"/>
            <c:spPr>
              <a:solidFill>
                <a:srgbClr val="F2665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D06-46B3-92AE-24C204B51BF9}"/>
              </c:ext>
            </c:extLst>
          </c:dPt>
          <c:dPt>
            <c:idx val="4"/>
            <c:invertIfNegative val="0"/>
            <c:bubble3D val="0"/>
            <c:spPr>
              <a:solidFill>
                <a:srgbClr val="7E8DC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D06-46B3-92AE-24C204B51BF9}"/>
              </c:ext>
            </c:extLst>
          </c:dPt>
          <c:dPt>
            <c:idx val="5"/>
            <c:invertIfNegative val="0"/>
            <c:bubble3D val="0"/>
            <c:spPr>
              <a:solidFill>
                <a:srgbClr val="62C7C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D06-46B3-92AE-24C204B51BF9}"/>
              </c:ext>
            </c:extLst>
          </c:dPt>
          <c:dPt>
            <c:idx val="6"/>
            <c:invertIfNegative val="0"/>
            <c:bubble3D val="0"/>
            <c:spPr>
              <a:solidFill>
                <a:srgbClr val="3CADB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D06-46B3-92AE-24C204B51BF9}"/>
              </c:ext>
            </c:extLst>
          </c:dPt>
          <c:dPt>
            <c:idx val="7"/>
            <c:invertIfNegative val="0"/>
            <c:bubble3D val="0"/>
            <c:spPr>
              <a:solidFill>
                <a:srgbClr val="3DA4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D06-46B3-92AE-24C204B51BF9}"/>
              </c:ext>
            </c:extLst>
          </c:dPt>
          <c:dPt>
            <c:idx val="8"/>
            <c:invertIfNegative val="0"/>
            <c:bubble3D val="0"/>
            <c:spPr>
              <a:solidFill>
                <a:srgbClr val="36726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D06-46B3-92AE-24C204B51BF9}"/>
              </c:ext>
            </c:extLst>
          </c:dPt>
          <c:dPt>
            <c:idx val="9"/>
            <c:invertIfNegative val="0"/>
            <c:bubble3D val="0"/>
            <c:spPr>
              <a:solidFill>
                <a:srgbClr val="BCBD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ED06-46B3-92AE-24C204B51BF9}"/>
              </c:ext>
            </c:extLst>
          </c:dPt>
          <c:cat>
            <c:strRef>
              <c:f>'0. 목차'!$M$20:$V$20</c:f>
              <c:strCache>
                <c:ptCount val="10"/>
                <c:pt idx="0">
                  <c:v> 색1 </c:v>
                </c:pt>
                <c:pt idx="1">
                  <c:v> 색2 </c:v>
                </c:pt>
                <c:pt idx="2">
                  <c:v> 색3 </c:v>
                </c:pt>
                <c:pt idx="3">
                  <c:v> 색4 </c:v>
                </c:pt>
                <c:pt idx="4">
                  <c:v> 색5 </c:v>
                </c:pt>
                <c:pt idx="5">
                  <c:v> 색6 </c:v>
                </c:pt>
                <c:pt idx="6">
                  <c:v> 색7 </c:v>
                </c:pt>
                <c:pt idx="7">
                  <c:v> 색8 </c:v>
                </c:pt>
                <c:pt idx="8">
                  <c:v> 색9 </c:v>
                </c:pt>
                <c:pt idx="9">
                  <c:v> 색10 </c:v>
                </c:pt>
              </c:strCache>
            </c:strRef>
          </c:cat>
          <c:val>
            <c:numRef>
              <c:f>'0. 목차'!$M$21:$V$21</c:f>
              <c:numCache>
                <c:formatCode>_(* #,##0_);_(* \(#,##0\);_(* "-"_);_(@_)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D06-46B3-92AE-24C204B51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978591728"/>
        <c:axId val="-902646208"/>
      </c:barChart>
      <c:catAx>
        <c:axId val="-9785917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902646208"/>
        <c:crosses val="autoZero"/>
        <c:auto val="1"/>
        <c:lblAlgn val="ctr"/>
        <c:lblOffset val="100"/>
        <c:noMultiLvlLbl val="0"/>
      </c:catAx>
      <c:valAx>
        <c:axId val="-90264620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crossAx val="-978591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95C55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83-4A38-93DC-5D3981A168D8}"/>
              </c:ext>
            </c:extLst>
          </c:dPt>
          <c:dPt>
            <c:idx val="1"/>
            <c:bubble3D val="0"/>
            <c:spPr>
              <a:solidFill>
                <a:srgbClr val="F4A42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083-4A38-93DC-5D3981A168D8}"/>
              </c:ext>
            </c:extLst>
          </c:dPt>
          <c:dPt>
            <c:idx val="2"/>
            <c:bubble3D val="0"/>
            <c:spPr>
              <a:solidFill>
                <a:srgbClr val="F4806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083-4A38-93DC-5D3981A168D8}"/>
              </c:ext>
            </c:extLst>
          </c:dPt>
          <c:dPt>
            <c:idx val="3"/>
            <c:bubble3D val="0"/>
            <c:spPr>
              <a:solidFill>
                <a:srgbClr val="F2665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083-4A38-93DC-5D3981A168D8}"/>
              </c:ext>
            </c:extLst>
          </c:dPt>
          <c:dPt>
            <c:idx val="4"/>
            <c:bubble3D val="0"/>
            <c:spPr>
              <a:solidFill>
                <a:srgbClr val="7E8DC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083-4A38-93DC-5D3981A168D8}"/>
              </c:ext>
            </c:extLst>
          </c:dPt>
          <c:dPt>
            <c:idx val="5"/>
            <c:bubble3D val="0"/>
            <c:spPr>
              <a:solidFill>
                <a:srgbClr val="62C7C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083-4A38-93DC-5D3981A168D8}"/>
              </c:ext>
            </c:extLst>
          </c:dPt>
          <c:dPt>
            <c:idx val="6"/>
            <c:bubble3D val="0"/>
            <c:spPr>
              <a:solidFill>
                <a:srgbClr val="3CADB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083-4A38-93DC-5D3981A168D8}"/>
              </c:ext>
            </c:extLst>
          </c:dPt>
          <c:dPt>
            <c:idx val="7"/>
            <c:bubble3D val="0"/>
            <c:spPr>
              <a:solidFill>
                <a:srgbClr val="3DA4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083-4A38-93DC-5D3981A168D8}"/>
              </c:ext>
            </c:extLst>
          </c:dPt>
          <c:dPt>
            <c:idx val="8"/>
            <c:bubble3D val="0"/>
            <c:spPr>
              <a:solidFill>
                <a:srgbClr val="36726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083-4A38-93DC-5D3981A168D8}"/>
              </c:ext>
            </c:extLst>
          </c:dPt>
          <c:dPt>
            <c:idx val="9"/>
            <c:bubble3D val="0"/>
            <c:spPr>
              <a:solidFill>
                <a:srgbClr val="BCBD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9083-4A38-93DC-5D3981A168D8}"/>
              </c:ext>
            </c:extLst>
          </c:dPt>
          <c:cat>
            <c:strRef>
              <c:f>'0. 목차'!$M$23:$V$23</c:f>
              <c:strCache>
                <c:ptCount val="10"/>
                <c:pt idx="0">
                  <c:v> 색1 </c:v>
                </c:pt>
                <c:pt idx="1">
                  <c:v> 색2 </c:v>
                </c:pt>
                <c:pt idx="2">
                  <c:v> 색3 </c:v>
                </c:pt>
                <c:pt idx="3">
                  <c:v> 색4 </c:v>
                </c:pt>
                <c:pt idx="4">
                  <c:v> 색5 </c:v>
                </c:pt>
                <c:pt idx="5">
                  <c:v> 색6 </c:v>
                </c:pt>
                <c:pt idx="6">
                  <c:v> 색7 </c:v>
                </c:pt>
                <c:pt idx="7">
                  <c:v> 색8 </c:v>
                </c:pt>
                <c:pt idx="8">
                  <c:v> 색9 </c:v>
                </c:pt>
                <c:pt idx="9">
                  <c:v> 색10 </c:v>
                </c:pt>
              </c:strCache>
            </c:strRef>
          </c:cat>
          <c:val>
            <c:numRef>
              <c:f>'0. 목차'!$M$24:$V$24</c:f>
              <c:numCache>
                <c:formatCode>_(* #,##0_);_(* \(#,##0\);_(* "-"_);_(@_)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083-4A38-93DC-5D3981A168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'1.투자'!$I$7</c:f>
              <c:strCache>
                <c:ptCount val="1"/>
                <c:pt idx="0">
                  <c:v> 정부 BT R&amp;D </c:v>
                </c:pt>
              </c:strCache>
            </c:strRef>
          </c:tx>
          <c:dPt>
            <c:idx val="0"/>
            <c:bubble3D val="0"/>
            <c:spPr>
              <a:solidFill>
                <a:srgbClr val="3DA4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643-4DD3-B4B6-C8F10E71B054}"/>
              </c:ext>
            </c:extLst>
          </c:dPt>
          <c:dPt>
            <c:idx val="1"/>
            <c:bubble3D val="0"/>
            <c:spPr>
              <a:solidFill>
                <a:srgbClr val="95C55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643-4DD3-B4B6-C8F10E71B054}"/>
              </c:ext>
            </c:extLst>
          </c:dPt>
          <c:dPt>
            <c:idx val="2"/>
            <c:bubble3D val="0"/>
            <c:spPr>
              <a:solidFill>
                <a:srgbClr val="F4A42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643-4DD3-B4B6-C8F10E71B054}"/>
              </c:ext>
            </c:extLst>
          </c:dPt>
          <c:dPt>
            <c:idx val="3"/>
            <c:bubble3D val="0"/>
            <c:spPr>
              <a:solidFill>
                <a:srgbClr val="3CADB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643-4DD3-B4B6-C8F10E71B054}"/>
              </c:ext>
            </c:extLst>
          </c:dPt>
          <c:dPt>
            <c:idx val="4"/>
            <c:bubble3D val="0"/>
            <c:spPr>
              <a:solidFill>
                <a:srgbClr val="BCBD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643-4DD3-B4B6-C8F10E71B054}"/>
              </c:ext>
            </c:extLst>
          </c:dPt>
          <c:dPt>
            <c:idx val="5"/>
            <c:bubble3D val="0"/>
            <c:spPr>
              <a:solidFill>
                <a:srgbClr val="62C7C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643-4DD3-B4B6-C8F10E71B054}"/>
              </c:ext>
            </c:extLst>
          </c:dPt>
          <c:dPt>
            <c:idx val="6"/>
            <c:bubble3D val="0"/>
            <c:spPr>
              <a:solidFill>
                <a:srgbClr val="3CADB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643-4DD3-B4B6-C8F10E71B054}"/>
              </c:ext>
            </c:extLst>
          </c:dPt>
          <c:dPt>
            <c:idx val="7"/>
            <c:bubble3D val="0"/>
            <c:spPr>
              <a:solidFill>
                <a:srgbClr val="3DA4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643-4DD3-B4B6-C8F10E71B054}"/>
              </c:ext>
            </c:extLst>
          </c:dPt>
          <c:dPt>
            <c:idx val="8"/>
            <c:bubble3D val="0"/>
            <c:spPr>
              <a:solidFill>
                <a:srgbClr val="36726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7643-4DD3-B4B6-C8F10E71B054}"/>
              </c:ext>
            </c:extLst>
          </c:dPt>
          <c:dPt>
            <c:idx val="9"/>
            <c:bubble3D val="0"/>
            <c:spPr>
              <a:solidFill>
                <a:srgbClr val="BCBD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7643-4DD3-B4B6-C8F10E71B05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'1.투자'!$H$8:$H$12</c:f>
              <c:strCache>
                <c:ptCount val="5"/>
                <c:pt idx="0">
                  <c:v> 과기부 </c:v>
                </c:pt>
                <c:pt idx="1">
                  <c:v> 농식품부 </c:v>
                </c:pt>
                <c:pt idx="2">
                  <c:v> 복지부 </c:v>
                </c:pt>
                <c:pt idx="3">
                  <c:v> 산업부 </c:v>
                </c:pt>
                <c:pt idx="4">
                  <c:v> 기타 </c:v>
                </c:pt>
              </c:strCache>
            </c:strRef>
          </c:cat>
          <c:val>
            <c:numRef>
              <c:f>'1.투자'!$I$8:$I$12</c:f>
              <c:numCache>
                <c:formatCode>_(* #,##0_);_(* \(#,##0\);_(* "-"_);_(@_)</c:formatCode>
                <c:ptCount val="5"/>
                <c:pt idx="0">
                  <c:v>16638.875653539602</c:v>
                </c:pt>
                <c:pt idx="1">
                  <c:v>7147</c:v>
                </c:pt>
                <c:pt idx="2">
                  <c:v>5524</c:v>
                </c:pt>
                <c:pt idx="3">
                  <c:v>3092.7495315399997</c:v>
                </c:pt>
                <c:pt idx="4">
                  <c:v>8851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643-4DD3-B4B6-C8F10E71B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4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'1.투자'!$M$7</c:f>
              <c:strCache>
                <c:ptCount val="1"/>
                <c:pt idx="0">
                  <c:v> 과기부 BT R&amp;D </c:v>
                </c:pt>
              </c:strCache>
            </c:strRef>
          </c:tx>
          <c:dPt>
            <c:idx val="0"/>
            <c:bubble3D val="0"/>
            <c:spPr>
              <a:solidFill>
                <a:srgbClr val="3DA4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8AD-47D0-BC18-33CCC4AAC369}"/>
              </c:ext>
            </c:extLst>
          </c:dPt>
          <c:dPt>
            <c:idx val="1"/>
            <c:bubble3D val="0"/>
            <c:spPr>
              <a:solidFill>
                <a:srgbClr val="62C7C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8AD-47D0-BC18-33CCC4AAC369}"/>
              </c:ext>
            </c:extLst>
          </c:dPt>
          <c:dPt>
            <c:idx val="2"/>
            <c:bubble3D val="0"/>
            <c:spPr>
              <a:solidFill>
                <a:srgbClr val="BCBD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8AD-47D0-BC18-33CCC4AAC369}"/>
              </c:ext>
            </c:extLst>
          </c:dPt>
          <c:dPt>
            <c:idx val="3"/>
            <c:bubble3D val="0"/>
            <c:spPr>
              <a:solidFill>
                <a:srgbClr val="7E8DC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8AD-47D0-BC18-33CCC4AAC369}"/>
              </c:ext>
            </c:extLst>
          </c:dPt>
          <c:dPt>
            <c:idx val="4"/>
            <c:bubble3D val="0"/>
            <c:spPr>
              <a:solidFill>
                <a:srgbClr val="7E8DC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8AD-47D0-BC18-33CCC4AAC369}"/>
              </c:ext>
            </c:extLst>
          </c:dPt>
          <c:dPt>
            <c:idx val="5"/>
            <c:bubble3D val="0"/>
            <c:spPr>
              <a:solidFill>
                <a:srgbClr val="62C7C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8AD-47D0-BC18-33CCC4AAC369}"/>
              </c:ext>
            </c:extLst>
          </c:dPt>
          <c:dPt>
            <c:idx val="6"/>
            <c:bubble3D val="0"/>
            <c:spPr>
              <a:solidFill>
                <a:srgbClr val="3CADB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8AD-47D0-BC18-33CCC4AAC369}"/>
              </c:ext>
            </c:extLst>
          </c:dPt>
          <c:dPt>
            <c:idx val="7"/>
            <c:bubble3D val="0"/>
            <c:spPr>
              <a:solidFill>
                <a:srgbClr val="3DA4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8AD-47D0-BC18-33CCC4AAC369}"/>
              </c:ext>
            </c:extLst>
          </c:dPt>
          <c:dPt>
            <c:idx val="8"/>
            <c:bubble3D val="0"/>
            <c:spPr>
              <a:solidFill>
                <a:srgbClr val="36726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8AD-47D0-BC18-33CCC4AAC369}"/>
              </c:ext>
            </c:extLst>
          </c:dPt>
          <c:dPt>
            <c:idx val="9"/>
            <c:bubble3D val="0"/>
            <c:spPr>
              <a:solidFill>
                <a:srgbClr val="BCBD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98AD-47D0-BC18-33CCC4AAC3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'1.투자'!$L$8:$L$11</c:f>
              <c:strCache>
                <c:ptCount val="4"/>
                <c:pt idx="0">
                  <c:v> 기초사업 </c:v>
                </c:pt>
                <c:pt idx="1">
                  <c:v> 국책사업 </c:v>
                </c:pt>
                <c:pt idx="2">
                  <c:v> 출연연사업 </c:v>
                </c:pt>
                <c:pt idx="3">
                  <c:v> 기타 </c:v>
                </c:pt>
              </c:strCache>
            </c:strRef>
          </c:cat>
          <c:val>
            <c:numRef>
              <c:f>'1.투자'!$M$8:$M$11</c:f>
              <c:numCache>
                <c:formatCode>_(* #,##0_);_(* \(#,##0\);_(* "-"_);_(@_)</c:formatCode>
                <c:ptCount val="4"/>
                <c:pt idx="0">
                  <c:v>7436</c:v>
                </c:pt>
                <c:pt idx="1">
                  <c:v>5062</c:v>
                </c:pt>
                <c:pt idx="2">
                  <c:v>3972</c:v>
                </c:pt>
                <c:pt idx="3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8AD-47D0-BC18-33CCC4AAC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4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'1.투자'!$Q$7</c:f>
              <c:strCache>
                <c:ptCount val="1"/>
                <c:pt idx="0">
                  <c:v> 과기부 BT 국책사업 </c:v>
                </c:pt>
              </c:strCache>
            </c:strRef>
          </c:tx>
          <c:dPt>
            <c:idx val="0"/>
            <c:bubble3D val="0"/>
            <c:spPr>
              <a:solidFill>
                <a:srgbClr val="3DA4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24-4D60-BB6D-EBD571286394}"/>
              </c:ext>
            </c:extLst>
          </c:dPt>
          <c:dPt>
            <c:idx val="1"/>
            <c:bubble3D val="0"/>
            <c:spPr>
              <a:solidFill>
                <a:srgbClr val="BCBD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24-4D60-BB6D-EBD571286394}"/>
              </c:ext>
            </c:extLst>
          </c:dPt>
          <c:dPt>
            <c:idx val="2"/>
            <c:bubble3D val="0"/>
            <c:spPr>
              <a:solidFill>
                <a:srgbClr val="F4806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24-4D60-BB6D-EBD571286394}"/>
              </c:ext>
            </c:extLst>
          </c:dPt>
          <c:dPt>
            <c:idx val="3"/>
            <c:bubble3D val="0"/>
            <c:spPr>
              <a:solidFill>
                <a:srgbClr val="F2665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24-4D60-BB6D-EBD571286394}"/>
              </c:ext>
            </c:extLst>
          </c:dPt>
          <c:dPt>
            <c:idx val="4"/>
            <c:bubble3D val="0"/>
            <c:spPr>
              <a:solidFill>
                <a:srgbClr val="7E8DC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24-4D60-BB6D-EBD571286394}"/>
              </c:ext>
            </c:extLst>
          </c:dPt>
          <c:dPt>
            <c:idx val="5"/>
            <c:bubble3D val="0"/>
            <c:spPr>
              <a:solidFill>
                <a:srgbClr val="62C7C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24-4D60-BB6D-EBD571286394}"/>
              </c:ext>
            </c:extLst>
          </c:dPt>
          <c:dPt>
            <c:idx val="6"/>
            <c:bubble3D val="0"/>
            <c:spPr>
              <a:solidFill>
                <a:srgbClr val="3CADB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24-4D60-BB6D-EBD571286394}"/>
              </c:ext>
            </c:extLst>
          </c:dPt>
          <c:dPt>
            <c:idx val="7"/>
            <c:bubble3D val="0"/>
            <c:spPr>
              <a:solidFill>
                <a:srgbClr val="3DA4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24-4D60-BB6D-EBD571286394}"/>
              </c:ext>
            </c:extLst>
          </c:dPt>
          <c:dPt>
            <c:idx val="8"/>
            <c:bubble3D val="0"/>
            <c:spPr>
              <a:solidFill>
                <a:srgbClr val="36726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C224-4D60-BB6D-EBD571286394}"/>
              </c:ext>
            </c:extLst>
          </c:dPt>
          <c:dPt>
            <c:idx val="9"/>
            <c:bubble3D val="0"/>
            <c:spPr>
              <a:solidFill>
                <a:srgbClr val="BCBD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C224-4D60-BB6D-EBD57128639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'1.투자'!$P$8:$P$9</c:f>
              <c:strCache>
                <c:ptCount val="2"/>
                <c:pt idx="0">
                  <c:v> 바이오의료기술개발 </c:v>
                </c:pt>
                <c:pt idx="1">
                  <c:v> 그외사업 </c:v>
                </c:pt>
              </c:strCache>
            </c:strRef>
          </c:cat>
          <c:val>
            <c:numRef>
              <c:f>'1.투자'!$Q$8:$Q$9</c:f>
              <c:numCache>
                <c:formatCode>_(* #,##0_);_(* \(#,##0\);_(* "-"_);_(@_)</c:formatCode>
                <c:ptCount val="2"/>
                <c:pt idx="0">
                  <c:v>2760</c:v>
                </c:pt>
                <c:pt idx="1">
                  <c:v>2302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224-4D60-BB6D-EBD571286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4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'1.투자'!$D$52</c:f>
              <c:strCache>
                <c:ptCount val="1"/>
                <c:pt idx="0">
                  <c:v> 총 연구개발비(억원)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'1.투자'!$E$51:$N$51</c:f>
              <c:strCache>
                <c:ptCount val="10"/>
                <c:pt idx="0">
                  <c:v> 2011년 </c:v>
                </c:pt>
                <c:pt idx="1">
                  <c:v> 2012년 </c:v>
                </c:pt>
                <c:pt idx="2">
                  <c:v> 2013년 </c:v>
                </c:pt>
                <c:pt idx="3">
                  <c:v> 2014년 </c:v>
                </c:pt>
                <c:pt idx="4">
                  <c:v> 2015년 </c:v>
                </c:pt>
                <c:pt idx="5">
                  <c:v> 2016년 </c:v>
                </c:pt>
                <c:pt idx="6">
                  <c:v> 2017년 </c:v>
                </c:pt>
                <c:pt idx="7">
                  <c:v> 2018년 </c:v>
                </c:pt>
                <c:pt idx="8">
                  <c:v> 2019년 </c:v>
                </c:pt>
                <c:pt idx="9">
                  <c:v> 2020년 </c:v>
                </c:pt>
              </c:strCache>
            </c:strRef>
          </c:cat>
          <c:val>
            <c:numRef>
              <c:f>'1.투자'!$E$52:$N$52</c:f>
              <c:numCache>
                <c:formatCode>_(* #,##0_);_(* \(#,##0\);_(* "-"_);_(@_)</c:formatCode>
                <c:ptCount val="10"/>
                <c:pt idx="0">
                  <c:v>498904</c:v>
                </c:pt>
                <c:pt idx="1">
                  <c:v>554501</c:v>
                </c:pt>
                <c:pt idx="2">
                  <c:v>593009</c:v>
                </c:pt>
                <c:pt idx="3">
                  <c:v>637341</c:v>
                </c:pt>
                <c:pt idx="4">
                  <c:v>659594</c:v>
                </c:pt>
                <c:pt idx="5">
                  <c:v>694055</c:v>
                </c:pt>
                <c:pt idx="6">
                  <c:v>787892</c:v>
                </c:pt>
                <c:pt idx="7">
                  <c:v>857287</c:v>
                </c:pt>
                <c:pt idx="8">
                  <c:v>890471</c:v>
                </c:pt>
                <c:pt idx="9" formatCode="#,##0">
                  <c:v>930717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A0-4A6D-8EDA-3B6C3D08FC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902640768"/>
        <c:axId val="-902653280"/>
      </c:barChart>
      <c:lineChart>
        <c:grouping val="standard"/>
        <c:varyColors val="0"/>
        <c:ser>
          <c:idx val="1"/>
          <c:order val="1"/>
          <c:tx>
            <c:strRef>
              <c:f>'1.투자'!$D$53</c:f>
              <c:strCache>
                <c:ptCount val="1"/>
                <c:pt idx="0">
                  <c:v> GDP 대비 연구개발비(%) </c:v>
                </c:pt>
              </c:strCache>
            </c:strRef>
          </c:tx>
          <c:spPr>
            <a:ln w="28575" cap="rnd">
              <a:solidFill>
                <a:srgbClr val="F4A42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504D"/>
              </a:solidFill>
              <a:ln w="9525">
                <a:solidFill>
                  <a:srgbClr val="F4A42A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'1.투자'!$E$51:$N$51</c:f>
              <c:strCache>
                <c:ptCount val="10"/>
                <c:pt idx="0">
                  <c:v> 2011년 </c:v>
                </c:pt>
                <c:pt idx="1">
                  <c:v> 2012년 </c:v>
                </c:pt>
                <c:pt idx="2">
                  <c:v> 2013년 </c:v>
                </c:pt>
                <c:pt idx="3">
                  <c:v> 2014년 </c:v>
                </c:pt>
                <c:pt idx="4">
                  <c:v> 2015년 </c:v>
                </c:pt>
                <c:pt idx="5">
                  <c:v> 2016년 </c:v>
                </c:pt>
                <c:pt idx="6">
                  <c:v> 2017년 </c:v>
                </c:pt>
                <c:pt idx="7">
                  <c:v> 2018년 </c:v>
                </c:pt>
                <c:pt idx="8">
                  <c:v> 2019년 </c:v>
                </c:pt>
                <c:pt idx="9">
                  <c:v> 2020년 </c:v>
                </c:pt>
              </c:strCache>
            </c:strRef>
          </c:cat>
          <c:val>
            <c:numRef>
              <c:f>'1.투자'!$E$53:$N$53</c:f>
              <c:numCache>
                <c:formatCode>0.00%</c:formatCode>
                <c:ptCount val="10"/>
                <c:pt idx="0">
                  <c:v>3.5900000000000001E-2</c:v>
                </c:pt>
                <c:pt idx="1">
                  <c:v>3.85E-2</c:v>
                </c:pt>
                <c:pt idx="2">
                  <c:v>3.95E-2</c:v>
                </c:pt>
                <c:pt idx="3">
                  <c:v>4.0800000000000003E-2</c:v>
                </c:pt>
                <c:pt idx="4">
                  <c:v>3.9800000000000002E-2</c:v>
                </c:pt>
                <c:pt idx="5">
                  <c:v>3.9899999999999998E-2</c:v>
                </c:pt>
                <c:pt idx="6">
                  <c:v>4.2900000000000001E-2</c:v>
                </c:pt>
                <c:pt idx="7">
                  <c:v>4.5199999999999997E-2</c:v>
                </c:pt>
                <c:pt idx="8">
                  <c:v>4.6300000000000001E-2</c:v>
                </c:pt>
                <c:pt idx="9">
                  <c:v>4.8099999999999997E-2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A0-4A6D-8EDA-3B6C3D08FC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2654368"/>
        <c:axId val="-902648928"/>
      </c:lineChart>
      <c:catAx>
        <c:axId val="-902640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902653280"/>
        <c:crosses val="autoZero"/>
        <c:auto val="1"/>
        <c:lblAlgn val="ctr"/>
        <c:lblOffset val="100"/>
        <c:noMultiLvlLbl val="0"/>
      </c:catAx>
      <c:valAx>
        <c:axId val="-902653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902640768"/>
        <c:crosses val="autoZero"/>
        <c:crossBetween val="between"/>
      </c:valAx>
      <c:valAx>
        <c:axId val="-902648928"/>
        <c:scaling>
          <c:orientation val="minMax"/>
          <c:max val="5.000000000000001E-2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902654368"/>
        <c:crosses val="max"/>
        <c:crossBetween val="between"/>
      </c:valAx>
      <c:catAx>
        <c:axId val="-90265436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9026489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'1.투자'!$D$133</c:f>
              <c:strCache>
                <c:ptCount val="1"/>
                <c:pt idx="0">
                  <c:v> 정부/공공재원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'1.투자'!$E$132:$N$132</c:f>
              <c:strCache>
                <c:ptCount val="10"/>
                <c:pt idx="0">
                  <c:v> 2011년 </c:v>
                </c:pt>
                <c:pt idx="1">
                  <c:v> 2012년 </c:v>
                </c:pt>
                <c:pt idx="2">
                  <c:v> 2013년 </c:v>
                </c:pt>
                <c:pt idx="3">
                  <c:v> 2014년 </c:v>
                </c:pt>
                <c:pt idx="4">
                  <c:v> 2015년 </c:v>
                </c:pt>
                <c:pt idx="5">
                  <c:v> 2016년 </c:v>
                </c:pt>
                <c:pt idx="6">
                  <c:v> 2017년 </c:v>
                </c:pt>
                <c:pt idx="7">
                  <c:v> 2018년 </c:v>
                </c:pt>
                <c:pt idx="8">
                  <c:v> 2019년 </c:v>
                </c:pt>
                <c:pt idx="9">
                  <c:v> 2020년 </c:v>
                </c:pt>
              </c:strCache>
            </c:strRef>
          </c:cat>
          <c:val>
            <c:numRef>
              <c:f>'1.투자'!$E$133:$N$133</c:f>
              <c:numCache>
                <c:formatCode>_(* #,##0_);_(* \(#,##0\);_(* "-"_);_(@_)</c:formatCode>
                <c:ptCount val="10"/>
                <c:pt idx="0">
                  <c:v>130033</c:v>
                </c:pt>
                <c:pt idx="1">
                  <c:v>138221</c:v>
                </c:pt>
                <c:pt idx="2">
                  <c:v>142417</c:v>
                </c:pt>
                <c:pt idx="3">
                  <c:v>152750</c:v>
                </c:pt>
                <c:pt idx="4">
                  <c:v>162935</c:v>
                </c:pt>
                <c:pt idx="5">
                  <c:v>164100</c:v>
                </c:pt>
                <c:pt idx="6">
                  <c:v>177371</c:v>
                </c:pt>
                <c:pt idx="7">
                  <c:v>183630</c:v>
                </c:pt>
                <c:pt idx="8" formatCode="#,##0">
                  <c:v>190955</c:v>
                </c:pt>
                <c:pt idx="9" formatCode="#,##0">
                  <c:v>215812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5E-40DE-A330-C370DBC94961}"/>
            </c:ext>
          </c:extLst>
        </c:ser>
        <c:ser>
          <c:idx val="1"/>
          <c:order val="1"/>
          <c:tx>
            <c:strRef>
              <c:f>'1.투자'!$D$134</c:f>
              <c:strCache>
                <c:ptCount val="1"/>
                <c:pt idx="0">
                  <c:v> 민간재원 </c:v>
                </c:pt>
              </c:strCache>
            </c:strRef>
          </c:tx>
          <c:spPr>
            <a:solidFill>
              <a:srgbClr val="F4806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'1.투자'!$E$132:$N$132</c:f>
              <c:strCache>
                <c:ptCount val="10"/>
                <c:pt idx="0">
                  <c:v> 2011년 </c:v>
                </c:pt>
                <c:pt idx="1">
                  <c:v> 2012년 </c:v>
                </c:pt>
                <c:pt idx="2">
                  <c:v> 2013년 </c:v>
                </c:pt>
                <c:pt idx="3">
                  <c:v> 2014년 </c:v>
                </c:pt>
                <c:pt idx="4">
                  <c:v> 2015년 </c:v>
                </c:pt>
                <c:pt idx="5">
                  <c:v> 2016년 </c:v>
                </c:pt>
                <c:pt idx="6">
                  <c:v> 2017년 </c:v>
                </c:pt>
                <c:pt idx="7">
                  <c:v> 2018년 </c:v>
                </c:pt>
                <c:pt idx="8">
                  <c:v> 2019년 </c:v>
                </c:pt>
                <c:pt idx="9">
                  <c:v> 2020년 </c:v>
                </c:pt>
              </c:strCache>
            </c:strRef>
          </c:cat>
          <c:val>
            <c:numRef>
              <c:f>'1.투자'!$E$134:$N$134</c:f>
              <c:numCache>
                <c:formatCode>_(* #,##0_);_(* \(#,##0\);_(* "-"_);_(@_)</c:formatCode>
                <c:ptCount val="10"/>
                <c:pt idx="0">
                  <c:v>367753</c:v>
                </c:pt>
                <c:pt idx="1">
                  <c:v>414378</c:v>
                </c:pt>
                <c:pt idx="2">
                  <c:v>448792</c:v>
                </c:pt>
                <c:pt idx="3">
                  <c:v>480083</c:v>
                </c:pt>
                <c:pt idx="4">
                  <c:v>491700</c:v>
                </c:pt>
                <c:pt idx="5">
                  <c:v>523459</c:v>
                </c:pt>
                <c:pt idx="6">
                  <c:v>600643</c:v>
                </c:pt>
                <c:pt idx="7">
                  <c:v>657028</c:v>
                </c:pt>
                <c:pt idx="8" formatCode="#,##0">
                  <c:v>685216</c:v>
                </c:pt>
                <c:pt idx="9" formatCode="#,##0">
                  <c:v>712692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5E-40DE-A330-C370DBC94961}"/>
            </c:ext>
          </c:extLst>
        </c:ser>
        <c:ser>
          <c:idx val="2"/>
          <c:order val="2"/>
          <c:tx>
            <c:strRef>
              <c:f>'1.투자'!$D$135</c:f>
              <c:strCache>
                <c:ptCount val="1"/>
                <c:pt idx="0">
                  <c:v> 외국재원 </c:v>
                </c:pt>
              </c:strCache>
            </c:strRef>
          </c:tx>
          <c:spPr>
            <a:solidFill>
              <a:srgbClr val="7E8DC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'1.투자'!$E$132:$N$132</c:f>
              <c:strCache>
                <c:ptCount val="10"/>
                <c:pt idx="0">
                  <c:v> 2011년 </c:v>
                </c:pt>
                <c:pt idx="1">
                  <c:v> 2012년 </c:v>
                </c:pt>
                <c:pt idx="2">
                  <c:v> 2013년 </c:v>
                </c:pt>
                <c:pt idx="3">
                  <c:v> 2014년 </c:v>
                </c:pt>
                <c:pt idx="4">
                  <c:v> 2015년 </c:v>
                </c:pt>
                <c:pt idx="5">
                  <c:v> 2016년 </c:v>
                </c:pt>
                <c:pt idx="6">
                  <c:v> 2017년 </c:v>
                </c:pt>
                <c:pt idx="7">
                  <c:v> 2018년 </c:v>
                </c:pt>
                <c:pt idx="8">
                  <c:v> 2019년 </c:v>
                </c:pt>
                <c:pt idx="9">
                  <c:v> 2020년 </c:v>
                </c:pt>
              </c:strCache>
            </c:strRef>
          </c:cat>
          <c:val>
            <c:numRef>
              <c:f>'1.투자'!$E$135:$N$135</c:f>
              <c:numCache>
                <c:formatCode>_(* #,##0_);_(* \(#,##0\);_(* "-"_);_(@_)</c:formatCode>
                <c:ptCount val="10"/>
                <c:pt idx="0">
                  <c:v>1118</c:v>
                </c:pt>
                <c:pt idx="1">
                  <c:v>1902</c:v>
                </c:pt>
                <c:pt idx="2">
                  <c:v>1800</c:v>
                </c:pt>
                <c:pt idx="3">
                  <c:v>4508</c:v>
                </c:pt>
                <c:pt idx="4">
                  <c:v>4959</c:v>
                </c:pt>
                <c:pt idx="5">
                  <c:v>6496</c:v>
                </c:pt>
                <c:pt idx="6">
                  <c:v>9878</c:v>
                </c:pt>
                <c:pt idx="7">
                  <c:v>16629</c:v>
                </c:pt>
                <c:pt idx="8" formatCode="#,##0">
                  <c:v>14300</c:v>
                </c:pt>
                <c:pt idx="9" formatCode="#,##0">
                  <c:v>2212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5E-40DE-A330-C370DBC94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02652736"/>
        <c:axId val="-902652192"/>
      </c:barChart>
      <c:catAx>
        <c:axId val="-902652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902652192"/>
        <c:crosses val="autoZero"/>
        <c:auto val="1"/>
        <c:lblAlgn val="ctr"/>
        <c:lblOffset val="100"/>
        <c:noMultiLvlLbl val="0"/>
      </c:catAx>
      <c:valAx>
        <c:axId val="-902652192"/>
        <c:scaling>
          <c:orientation val="minMax"/>
          <c:max val="12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902652736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4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'1.투자'!$D$160</c:f>
              <c:strCache>
                <c:ptCount val="1"/>
                <c:pt idx="0">
                  <c:v> 국가 R&amp;D 투자액(억원)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'1.투자'!$E$159:$N$159</c:f>
              <c:strCache>
                <c:ptCount val="10"/>
                <c:pt idx="0">
                  <c:v> 2011년 </c:v>
                </c:pt>
                <c:pt idx="1">
                  <c:v> 2012년 </c:v>
                </c:pt>
                <c:pt idx="2">
                  <c:v> 2013년 </c:v>
                </c:pt>
                <c:pt idx="3">
                  <c:v> 2014년 </c:v>
                </c:pt>
                <c:pt idx="4">
                  <c:v> 2015년 </c:v>
                </c:pt>
                <c:pt idx="5">
                  <c:v> 2016년 </c:v>
                </c:pt>
                <c:pt idx="6">
                  <c:v> 2017년 </c:v>
                </c:pt>
                <c:pt idx="7">
                  <c:v> 2018년 </c:v>
                </c:pt>
                <c:pt idx="8">
                  <c:v> 2019년 </c:v>
                </c:pt>
                <c:pt idx="9">
                  <c:v> 2020년 </c:v>
                </c:pt>
              </c:strCache>
            </c:strRef>
          </c:cat>
          <c:val>
            <c:numRef>
              <c:f>'1.투자'!$E$160:$N$160</c:f>
              <c:numCache>
                <c:formatCode>_(* #,##0_);_(* \(#,##0\);_(* "-"_);_(@_)</c:formatCode>
                <c:ptCount val="10"/>
                <c:pt idx="0">
                  <c:v>148528</c:v>
                </c:pt>
                <c:pt idx="1">
                  <c:v>159064</c:v>
                </c:pt>
                <c:pt idx="2">
                  <c:v>169139</c:v>
                </c:pt>
                <c:pt idx="3">
                  <c:v>176395</c:v>
                </c:pt>
                <c:pt idx="4">
                  <c:v>188747</c:v>
                </c:pt>
                <c:pt idx="5">
                  <c:v>190044</c:v>
                </c:pt>
                <c:pt idx="6">
                  <c:v>193927</c:v>
                </c:pt>
                <c:pt idx="7">
                  <c:v>197759</c:v>
                </c:pt>
                <c:pt idx="8">
                  <c:v>206254</c:v>
                </c:pt>
                <c:pt idx="9" formatCode="#,##0">
                  <c:v>238803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99-43A2-A2A1-CAC3EF6787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902654912"/>
        <c:axId val="-902642944"/>
      </c:barChart>
      <c:lineChart>
        <c:grouping val="standard"/>
        <c:varyColors val="0"/>
        <c:ser>
          <c:idx val="1"/>
          <c:order val="1"/>
          <c:tx>
            <c:strRef>
              <c:f>'1.투자'!$D$161</c:f>
              <c:strCache>
                <c:ptCount val="1"/>
                <c:pt idx="0">
                  <c:v> 국가 R&amp;D 과제수(건) </c:v>
                </c:pt>
              </c:strCache>
            </c:strRef>
          </c:tx>
          <c:spPr>
            <a:ln w="28575" cap="rnd">
              <a:solidFill>
                <a:srgbClr val="F4A42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rgbClr val="F4A42A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'1.투자'!$E$159:$N$159</c:f>
              <c:strCache>
                <c:ptCount val="10"/>
                <c:pt idx="0">
                  <c:v> 2011년 </c:v>
                </c:pt>
                <c:pt idx="1">
                  <c:v> 2012년 </c:v>
                </c:pt>
                <c:pt idx="2">
                  <c:v> 2013년 </c:v>
                </c:pt>
                <c:pt idx="3">
                  <c:v> 2014년 </c:v>
                </c:pt>
                <c:pt idx="4">
                  <c:v> 2015년 </c:v>
                </c:pt>
                <c:pt idx="5">
                  <c:v> 2016년 </c:v>
                </c:pt>
                <c:pt idx="6">
                  <c:v> 2017년 </c:v>
                </c:pt>
                <c:pt idx="7">
                  <c:v> 2018년 </c:v>
                </c:pt>
                <c:pt idx="8">
                  <c:v> 2019년 </c:v>
                </c:pt>
                <c:pt idx="9">
                  <c:v> 2020년 </c:v>
                </c:pt>
              </c:strCache>
            </c:strRef>
          </c:cat>
          <c:val>
            <c:numRef>
              <c:f>'1.투자'!$E$161:$N$161</c:f>
              <c:numCache>
                <c:formatCode>_(* #,##0_);_(* \(#,##0\);_(* "-"_);_(@_)</c:formatCode>
                <c:ptCount val="10"/>
                <c:pt idx="0">
                  <c:v>41619</c:v>
                </c:pt>
                <c:pt idx="1">
                  <c:v>49948</c:v>
                </c:pt>
                <c:pt idx="2">
                  <c:v>50865</c:v>
                </c:pt>
                <c:pt idx="3">
                  <c:v>53493</c:v>
                </c:pt>
                <c:pt idx="4">
                  <c:v>54433</c:v>
                </c:pt>
                <c:pt idx="5">
                  <c:v>54827</c:v>
                </c:pt>
                <c:pt idx="6">
                  <c:v>61280</c:v>
                </c:pt>
                <c:pt idx="7">
                  <c:v>63697</c:v>
                </c:pt>
                <c:pt idx="8" formatCode="#,##0">
                  <c:v>70327</c:v>
                </c:pt>
                <c:pt idx="9" formatCode="#,##0">
                  <c:v>73501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99-43A2-A2A1-CAC3EF6787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2651648"/>
        <c:axId val="-902647840"/>
      </c:lineChart>
      <c:catAx>
        <c:axId val="-90265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902642944"/>
        <c:crosses val="autoZero"/>
        <c:auto val="1"/>
        <c:lblAlgn val="ctr"/>
        <c:lblOffset val="100"/>
        <c:noMultiLvlLbl val="0"/>
      </c:catAx>
      <c:valAx>
        <c:axId val="-90264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902654912"/>
        <c:crosses val="autoZero"/>
        <c:crossBetween val="between"/>
      </c:valAx>
      <c:valAx>
        <c:axId val="-902647840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902651648"/>
        <c:crosses val="max"/>
        <c:crossBetween val="between"/>
      </c:valAx>
      <c:catAx>
        <c:axId val="-9026516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902647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246419080867865E-2"/>
          <c:y val="0.11347990013090545"/>
          <c:w val="0.93449318379225021"/>
          <c:h val="0.6652125766338438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'1.투자'!$D$220</c:f>
              <c:strCache>
                <c:ptCount val="1"/>
                <c:pt idx="0">
                  <c:v> 정부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-1.0236724660801695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AC7-445C-9643-448AF8AC6F8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'1.투자'!$E$219:$J$219</c:f>
              <c:strCache>
                <c:ptCount val="6"/>
                <c:pt idx="0">
                  <c:v> IT </c:v>
                </c:pt>
                <c:pt idx="1">
                  <c:v> BT </c:v>
                </c:pt>
                <c:pt idx="2">
                  <c:v> NT </c:v>
                </c:pt>
                <c:pt idx="3">
                  <c:v> ST </c:v>
                </c:pt>
                <c:pt idx="4">
                  <c:v> ET </c:v>
                </c:pt>
                <c:pt idx="5">
                  <c:v> CT </c:v>
                </c:pt>
              </c:strCache>
            </c:strRef>
          </c:cat>
          <c:val>
            <c:numRef>
              <c:f>'1.투자'!$E$220:$J$220</c:f>
              <c:numCache>
                <c:formatCode>#,##0</c:formatCode>
                <c:ptCount val="6"/>
                <c:pt idx="0">
                  <c:v>43168</c:v>
                </c:pt>
                <c:pt idx="1">
                  <c:v>41253</c:v>
                </c:pt>
                <c:pt idx="2">
                  <c:v>10884</c:v>
                </c:pt>
                <c:pt idx="3">
                  <c:v>21461</c:v>
                </c:pt>
                <c:pt idx="4">
                  <c:v>27738</c:v>
                </c:pt>
                <c:pt idx="5">
                  <c:v>2485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5B-4D71-9E12-D3B9554C1FA8}"/>
            </c:ext>
          </c:extLst>
        </c:ser>
        <c:ser>
          <c:idx val="1"/>
          <c:order val="1"/>
          <c:tx>
            <c:strRef>
              <c:f>'1.투자'!$D$221</c:f>
              <c:strCache>
                <c:ptCount val="1"/>
                <c:pt idx="0">
                  <c:v> 정부비중 </c:v>
                </c:pt>
              </c:strCache>
            </c:strRef>
          </c:tx>
          <c:spPr>
            <a:solidFill>
              <a:srgbClr val="F4A42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'1.투자'!$E$219:$J$219</c:f>
              <c:strCache>
                <c:ptCount val="6"/>
                <c:pt idx="0">
                  <c:v> IT </c:v>
                </c:pt>
                <c:pt idx="1">
                  <c:v> BT </c:v>
                </c:pt>
                <c:pt idx="2">
                  <c:v> NT </c:v>
                </c:pt>
                <c:pt idx="3">
                  <c:v> ST </c:v>
                </c:pt>
                <c:pt idx="4">
                  <c:v> ET </c:v>
                </c:pt>
                <c:pt idx="5">
                  <c:v> CT </c:v>
                </c:pt>
              </c:strCache>
            </c:strRef>
          </c:cat>
          <c:val>
            <c:numRef>
              <c:f>'1.투자'!$E$221:$J$221</c:f>
              <c:numCache>
                <c:formatCode>0%</c:formatCode>
                <c:ptCount val="6"/>
                <c:pt idx="0">
                  <c:v>0.12398968284514503</c:v>
                </c:pt>
                <c:pt idx="1">
                  <c:v>0.46267468203943385</c:v>
                </c:pt>
                <c:pt idx="2">
                  <c:v>0.11562855230587811</c:v>
                </c:pt>
                <c:pt idx="3">
                  <c:v>1</c:v>
                </c:pt>
                <c:pt idx="4">
                  <c:v>0.31183109991905744</c:v>
                </c:pt>
                <c:pt idx="5">
                  <c:v>0.30022955176996496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5B-4D71-9E12-D3B9554C1FA8}"/>
            </c:ext>
          </c:extLst>
        </c:ser>
        <c:ser>
          <c:idx val="2"/>
          <c:order val="2"/>
          <c:tx>
            <c:strRef>
              <c:f>'1.투자'!$D$222</c:f>
              <c:strCache>
                <c:ptCount val="1"/>
                <c:pt idx="0">
                  <c:v> 민간 </c:v>
                </c:pt>
              </c:strCache>
            </c:strRef>
          </c:tx>
          <c:spPr>
            <a:solidFill>
              <a:srgbClr val="F48065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8.1893797286413557E-3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AC7-445C-9643-448AF8AC6F8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'1.투자'!$E$219:$J$219</c:f>
              <c:strCache>
                <c:ptCount val="6"/>
                <c:pt idx="0">
                  <c:v> IT </c:v>
                </c:pt>
                <c:pt idx="1">
                  <c:v> BT </c:v>
                </c:pt>
                <c:pt idx="2">
                  <c:v> NT </c:v>
                </c:pt>
                <c:pt idx="3">
                  <c:v> ST </c:v>
                </c:pt>
                <c:pt idx="4">
                  <c:v> ET </c:v>
                </c:pt>
                <c:pt idx="5">
                  <c:v> CT </c:v>
                </c:pt>
              </c:strCache>
            </c:strRef>
          </c:cat>
          <c:val>
            <c:numRef>
              <c:f>'1.투자'!#REF!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5B-4D71-9E12-D3B9554C1FA8}"/>
            </c:ext>
          </c:extLst>
        </c:ser>
        <c:ser>
          <c:idx val="3"/>
          <c:order val="3"/>
          <c:tx>
            <c:strRef>
              <c:f>'1.투자'!$D$223</c:f>
              <c:strCache>
                <c:ptCount val="1"/>
                <c:pt idx="0">
                  <c:v> 민간비중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'1.투자'!$E$219:$J$219</c:f>
              <c:strCache>
                <c:ptCount val="6"/>
                <c:pt idx="0">
                  <c:v> IT </c:v>
                </c:pt>
                <c:pt idx="1">
                  <c:v> BT </c:v>
                </c:pt>
                <c:pt idx="2">
                  <c:v> NT </c:v>
                </c:pt>
                <c:pt idx="3">
                  <c:v> ST </c:v>
                </c:pt>
                <c:pt idx="4">
                  <c:v> ET </c:v>
                </c:pt>
                <c:pt idx="5">
                  <c:v> CT </c:v>
                </c:pt>
              </c:strCache>
            </c:strRef>
          </c:cat>
          <c:val>
            <c:numRef>
              <c:f>'1.투자'!$E$222:$J$222</c:f>
              <c:numCache>
                <c:formatCode>_(* #,##0_);_(* \(#,##0\);_(* "-"_);_(@_)</c:formatCode>
                <c:ptCount val="6"/>
                <c:pt idx="0">
                  <c:v>304990</c:v>
                </c:pt>
                <c:pt idx="1">
                  <c:v>47909</c:v>
                </c:pt>
                <c:pt idx="2">
                  <c:v>83245</c:v>
                </c:pt>
                <c:pt idx="4">
                  <c:v>61214</c:v>
                </c:pt>
                <c:pt idx="5">
                  <c:v>5792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48-4138-9EDD-CAFFC115FB5F}"/>
            </c:ext>
          </c:extLst>
        </c:ser>
        <c:ser>
          <c:idx val="4"/>
          <c:order val="4"/>
          <c:tx>
            <c:strRef>
              <c:f>'1.투자'!$D$224</c:f>
              <c:strCache>
                <c:ptCount val="1"/>
                <c:pt idx="0">
                  <c:v> 총 R&amp;D 투자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'1.투자'!$E$219:$J$219</c:f>
              <c:strCache>
                <c:ptCount val="6"/>
                <c:pt idx="0">
                  <c:v> IT </c:v>
                </c:pt>
                <c:pt idx="1">
                  <c:v> BT </c:v>
                </c:pt>
                <c:pt idx="2">
                  <c:v> NT </c:v>
                </c:pt>
                <c:pt idx="3">
                  <c:v> ST </c:v>
                </c:pt>
                <c:pt idx="4">
                  <c:v> ET </c:v>
                </c:pt>
                <c:pt idx="5">
                  <c:v> CT </c:v>
                </c:pt>
              </c:strCache>
            </c:strRef>
          </c:cat>
          <c:val>
            <c:numRef>
              <c:f>'1.투자'!$E$224:$J$224</c:f>
              <c:numCache>
                <c:formatCode>_(* #,##0_);_(* \(#,##0\);_(* "-"_);_(@_)</c:formatCode>
                <c:ptCount val="6"/>
                <c:pt idx="0">
                  <c:v>348158</c:v>
                </c:pt>
                <c:pt idx="1">
                  <c:v>89162</c:v>
                </c:pt>
                <c:pt idx="2">
                  <c:v>94129</c:v>
                </c:pt>
                <c:pt idx="3" formatCode="#,##0">
                  <c:v>21461</c:v>
                </c:pt>
                <c:pt idx="4">
                  <c:v>88952</c:v>
                </c:pt>
                <c:pt idx="5">
                  <c:v>8277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48-4138-9EDD-CAFFC115F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902653824"/>
        <c:axId val="-902651104"/>
      </c:barChart>
      <c:catAx>
        <c:axId val="-902653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902651104"/>
        <c:crosses val="autoZero"/>
        <c:auto val="1"/>
        <c:lblAlgn val="ctr"/>
        <c:lblOffset val="100"/>
        <c:noMultiLvlLbl val="0"/>
      </c:catAx>
      <c:valAx>
        <c:axId val="-902651104"/>
        <c:scaling>
          <c:orientation val="minMax"/>
          <c:max val="4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902653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'1.투자'!$E$310</c:f>
              <c:strCache>
                <c:ptCount val="1"/>
                <c:pt idx="0">
                  <c:v> 2016년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'1.투자'!$D$311:$D$317</c:f>
              <c:strCache>
                <c:ptCount val="7"/>
                <c:pt idx="0">
                  <c:v> 과기정통부 </c:v>
                </c:pt>
                <c:pt idx="1">
                  <c:v> 농식품부 </c:v>
                </c:pt>
                <c:pt idx="2">
                  <c:v> 복지부 </c:v>
                </c:pt>
                <c:pt idx="3">
                  <c:v> 산업부 </c:v>
                </c:pt>
                <c:pt idx="4">
                  <c:v> 중기부 </c:v>
                </c:pt>
                <c:pt idx="5">
                  <c:v> 교육부 </c:v>
                </c:pt>
                <c:pt idx="6">
                  <c:v> 기타 </c:v>
                </c:pt>
              </c:strCache>
            </c:strRef>
          </c:cat>
          <c:val>
            <c:numRef>
              <c:f>'1.투자'!$E$311:$E$317</c:f>
              <c:numCache>
                <c:formatCode>_(* #,##0_);_(* \(#,##0\);_(* "-"_);_(@_)</c:formatCode>
                <c:ptCount val="7"/>
                <c:pt idx="0">
                  <c:v>12092</c:v>
                </c:pt>
                <c:pt idx="1">
                  <c:v>6885</c:v>
                </c:pt>
                <c:pt idx="2">
                  <c:v>4485</c:v>
                </c:pt>
                <c:pt idx="3">
                  <c:v>5099</c:v>
                </c:pt>
                <c:pt idx="4">
                  <c:v>0</c:v>
                </c:pt>
                <c:pt idx="5">
                  <c:v>2100</c:v>
                </c:pt>
                <c:pt idx="6">
                  <c:v>2681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5C-4852-9848-2880C8377713}"/>
            </c:ext>
          </c:extLst>
        </c:ser>
        <c:ser>
          <c:idx val="1"/>
          <c:order val="1"/>
          <c:tx>
            <c:strRef>
              <c:f>'1.투자'!$F$310</c:f>
              <c:strCache>
                <c:ptCount val="1"/>
                <c:pt idx="0">
                  <c:v> 2017년 </c:v>
                </c:pt>
              </c:strCache>
            </c:strRef>
          </c:tx>
          <c:spPr>
            <a:solidFill>
              <a:srgbClr val="F4A42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'1.투자'!$D$311:$D$317</c:f>
              <c:strCache>
                <c:ptCount val="7"/>
                <c:pt idx="0">
                  <c:v> 과기정통부 </c:v>
                </c:pt>
                <c:pt idx="1">
                  <c:v> 농식품부 </c:v>
                </c:pt>
                <c:pt idx="2">
                  <c:v> 복지부 </c:v>
                </c:pt>
                <c:pt idx="3">
                  <c:v> 산업부 </c:v>
                </c:pt>
                <c:pt idx="4">
                  <c:v> 중기부 </c:v>
                </c:pt>
                <c:pt idx="5">
                  <c:v> 교육부 </c:v>
                </c:pt>
                <c:pt idx="6">
                  <c:v> 기타 </c:v>
                </c:pt>
              </c:strCache>
            </c:strRef>
          </c:cat>
          <c:val>
            <c:numRef>
              <c:f>'1.투자'!$F$311:$F$317</c:f>
              <c:numCache>
                <c:formatCode>_(* #,##0_);_(* \(#,##0\);_(* "-"_);_(@_)</c:formatCode>
                <c:ptCount val="7"/>
                <c:pt idx="0">
                  <c:v>13541</c:v>
                </c:pt>
                <c:pt idx="1">
                  <c:v>7326</c:v>
                </c:pt>
                <c:pt idx="2">
                  <c:v>4478</c:v>
                </c:pt>
                <c:pt idx="3">
                  <c:v>3176</c:v>
                </c:pt>
                <c:pt idx="4">
                  <c:v>1915</c:v>
                </c:pt>
                <c:pt idx="5">
                  <c:v>2351</c:v>
                </c:pt>
                <c:pt idx="6">
                  <c:v>2158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5C-4852-9848-2880C8377713}"/>
            </c:ext>
          </c:extLst>
        </c:ser>
        <c:ser>
          <c:idx val="2"/>
          <c:order val="2"/>
          <c:tx>
            <c:strRef>
              <c:f>'1.투자'!$G$310</c:f>
              <c:strCache>
                <c:ptCount val="1"/>
                <c:pt idx="0">
                  <c:v> 2018년 </c:v>
                </c:pt>
              </c:strCache>
            </c:strRef>
          </c:tx>
          <c:spPr>
            <a:solidFill>
              <a:srgbClr val="F4806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'1.투자'!$D$311:$D$317</c:f>
              <c:strCache>
                <c:ptCount val="7"/>
                <c:pt idx="0">
                  <c:v> 과기정통부 </c:v>
                </c:pt>
                <c:pt idx="1">
                  <c:v> 농식품부 </c:v>
                </c:pt>
                <c:pt idx="2">
                  <c:v> 복지부 </c:v>
                </c:pt>
                <c:pt idx="3">
                  <c:v> 산업부 </c:v>
                </c:pt>
                <c:pt idx="4">
                  <c:v> 중기부 </c:v>
                </c:pt>
                <c:pt idx="5">
                  <c:v> 교육부 </c:v>
                </c:pt>
                <c:pt idx="6">
                  <c:v> 기타 </c:v>
                </c:pt>
              </c:strCache>
            </c:strRef>
          </c:cat>
          <c:val>
            <c:numRef>
              <c:f>'1.투자'!$G$311:$G$317</c:f>
              <c:numCache>
                <c:formatCode>_(* #,##0_);_(* \(#,##0\);_(* "-"_);_(@_)</c:formatCode>
                <c:ptCount val="7"/>
                <c:pt idx="0">
                  <c:v>13437</c:v>
                </c:pt>
                <c:pt idx="1">
                  <c:v>6957</c:v>
                </c:pt>
                <c:pt idx="2">
                  <c:v>4521</c:v>
                </c:pt>
                <c:pt idx="3">
                  <c:v>2981</c:v>
                </c:pt>
                <c:pt idx="4">
                  <c:v>1608</c:v>
                </c:pt>
                <c:pt idx="5">
                  <c:v>2693</c:v>
                </c:pt>
                <c:pt idx="6">
                  <c:v>3298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5C-4852-9848-2880C8377713}"/>
            </c:ext>
          </c:extLst>
        </c:ser>
        <c:ser>
          <c:idx val="3"/>
          <c:order val="3"/>
          <c:tx>
            <c:strRef>
              <c:f>'1.투자'!$H$310</c:f>
              <c:strCache>
                <c:ptCount val="1"/>
                <c:pt idx="0">
                  <c:v> 2019년 </c:v>
                </c:pt>
              </c:strCache>
            </c:strRef>
          </c:tx>
          <c:spPr>
            <a:solidFill>
              <a:srgbClr val="F2665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'1.투자'!$D$311:$D$317</c:f>
              <c:strCache>
                <c:ptCount val="7"/>
                <c:pt idx="0">
                  <c:v> 과기정통부 </c:v>
                </c:pt>
                <c:pt idx="1">
                  <c:v> 농식품부 </c:v>
                </c:pt>
                <c:pt idx="2">
                  <c:v> 복지부 </c:v>
                </c:pt>
                <c:pt idx="3">
                  <c:v> 산업부 </c:v>
                </c:pt>
                <c:pt idx="4">
                  <c:v> 중기부 </c:v>
                </c:pt>
                <c:pt idx="5">
                  <c:v> 교육부 </c:v>
                </c:pt>
                <c:pt idx="6">
                  <c:v> 기타 </c:v>
                </c:pt>
              </c:strCache>
            </c:strRef>
          </c:cat>
          <c:val>
            <c:numRef>
              <c:f>'1.투자'!$H$311:$H$317</c:f>
              <c:numCache>
                <c:formatCode>_(* #,##0_);_(* \(#,##0\);_(* "-"_);_(@_)</c:formatCode>
                <c:ptCount val="7"/>
                <c:pt idx="0">
                  <c:v>15054.464315199562</c:v>
                </c:pt>
                <c:pt idx="1">
                  <c:v>6902.9733677999657</c:v>
                </c:pt>
                <c:pt idx="2">
                  <c:v>4505.7376054000124</c:v>
                </c:pt>
                <c:pt idx="3">
                  <c:v>2733.6289066600011</c:v>
                </c:pt>
                <c:pt idx="4">
                  <c:v>1532.4776900000011</c:v>
                </c:pt>
                <c:pt idx="5">
                  <c:v>2873.5248881600455</c:v>
                </c:pt>
                <c:pt idx="6">
                  <c:v>3107.9681159099982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C5C-4852-9848-2880C8377713}"/>
            </c:ext>
          </c:extLst>
        </c:ser>
        <c:ser>
          <c:idx val="4"/>
          <c:order val="4"/>
          <c:tx>
            <c:strRef>
              <c:f>'1.투자'!$I$310</c:f>
              <c:strCache>
                <c:ptCount val="1"/>
                <c:pt idx="0">
                  <c:v> 2020년 </c:v>
                </c:pt>
              </c:strCache>
            </c:strRef>
          </c:tx>
          <c:spPr>
            <a:solidFill>
              <a:srgbClr val="7E8DC7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1.2330009300904653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C5C-4852-9848-2880C837771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'1.투자'!$D$311:$D$317</c:f>
              <c:strCache>
                <c:ptCount val="7"/>
                <c:pt idx="0">
                  <c:v> 과기정통부 </c:v>
                </c:pt>
                <c:pt idx="1">
                  <c:v> 농식품부 </c:v>
                </c:pt>
                <c:pt idx="2">
                  <c:v> 복지부 </c:v>
                </c:pt>
                <c:pt idx="3">
                  <c:v> 산업부 </c:v>
                </c:pt>
                <c:pt idx="4">
                  <c:v> 중기부 </c:v>
                </c:pt>
                <c:pt idx="5">
                  <c:v> 교육부 </c:v>
                </c:pt>
                <c:pt idx="6">
                  <c:v> 기타 </c:v>
                </c:pt>
              </c:strCache>
            </c:strRef>
          </c:cat>
          <c:val>
            <c:numRef>
              <c:f>'1.투자'!$I$311:$I$317</c:f>
              <c:numCache>
                <c:formatCode>_(* #,##0_);_(* \(#,##0\);_(* "-"_);_(@_)</c:formatCode>
                <c:ptCount val="7"/>
                <c:pt idx="0">
                  <c:v>16638.875653539602</c:v>
                </c:pt>
                <c:pt idx="1">
                  <c:v>7147</c:v>
                </c:pt>
                <c:pt idx="2">
                  <c:v>5524</c:v>
                </c:pt>
                <c:pt idx="3">
                  <c:v>3092.7495315399997</c:v>
                </c:pt>
                <c:pt idx="4">
                  <c:v>2033.9347175000019</c:v>
                </c:pt>
                <c:pt idx="5">
                  <c:v>2841.0521674199936</c:v>
                </c:pt>
                <c:pt idx="6">
                  <c:v>3976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C5C-4852-9848-2880C8377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902645120"/>
        <c:axId val="-902644576"/>
      </c:barChart>
      <c:catAx>
        <c:axId val="-902645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902644576"/>
        <c:crosses val="autoZero"/>
        <c:auto val="1"/>
        <c:lblAlgn val="ctr"/>
        <c:lblOffset val="100"/>
        <c:noMultiLvlLbl val="0"/>
      </c:catAx>
      <c:valAx>
        <c:axId val="-902644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902645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'1.투자'!$D$342</c:f>
              <c:strCache>
                <c:ptCount val="1"/>
                <c:pt idx="0">
                  <c:v> 연구비(억원)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3DA4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301-4030-B809-DA302CF6E5BB}"/>
              </c:ext>
            </c:extLst>
          </c:dPt>
          <c:dPt>
            <c:idx val="2"/>
            <c:invertIfNegative val="0"/>
            <c:bubble3D val="0"/>
            <c:spPr>
              <a:solidFill>
                <a:srgbClr val="F4A42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301-4030-B809-DA302CF6E5BB}"/>
              </c:ext>
            </c:extLst>
          </c:dPt>
          <c:dPt>
            <c:idx val="3"/>
            <c:invertIfNegative val="0"/>
            <c:bubble3D val="0"/>
            <c:spPr>
              <a:solidFill>
                <a:srgbClr val="3CADB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301-4030-B809-DA302CF6E5BB}"/>
              </c:ext>
            </c:extLst>
          </c:dPt>
          <c:dPt>
            <c:idx val="4"/>
            <c:invertIfNegative val="0"/>
            <c:bubble3D val="0"/>
            <c:spPr>
              <a:solidFill>
                <a:srgbClr val="7E8DC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301-4030-B809-DA302CF6E5BB}"/>
              </c:ext>
            </c:extLst>
          </c:dPt>
          <c:dPt>
            <c:idx val="5"/>
            <c:invertIfNegative val="0"/>
            <c:bubble3D val="0"/>
            <c:spPr>
              <a:solidFill>
                <a:srgbClr val="BCBD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301-4030-B809-DA302CF6E5B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'1.투자'!$E$341:$J$341</c:f>
              <c:strCache>
                <c:ptCount val="6"/>
                <c:pt idx="0">
                  <c:v> 과기정통부 </c:v>
                </c:pt>
                <c:pt idx="1">
                  <c:v> 농식품부 </c:v>
                </c:pt>
                <c:pt idx="2">
                  <c:v> 복지부 </c:v>
                </c:pt>
                <c:pt idx="3">
                  <c:v> 산업부 </c:v>
                </c:pt>
                <c:pt idx="4">
                  <c:v> 교육부 </c:v>
                </c:pt>
                <c:pt idx="5">
                  <c:v> 기타부처 </c:v>
                </c:pt>
              </c:strCache>
            </c:strRef>
          </c:cat>
          <c:val>
            <c:numRef>
              <c:f>'1.투자'!$E$342:$J$342</c:f>
              <c:numCache>
                <c:formatCode>_(* #,##0_);_(* \(#,##0\);_(* "-"_);_(@_)</c:formatCode>
                <c:ptCount val="6"/>
                <c:pt idx="0">
                  <c:v>16638.875653539602</c:v>
                </c:pt>
                <c:pt idx="1">
                  <c:v>7146.5763930999929</c:v>
                </c:pt>
                <c:pt idx="2">
                  <c:v>5524.1266140899997</c:v>
                </c:pt>
                <c:pt idx="3">
                  <c:v>3092.7495315399997</c:v>
                </c:pt>
                <c:pt idx="4">
                  <c:v>2841.0521674199936</c:v>
                </c:pt>
                <c:pt idx="5">
                  <c:v>6009.6481835000004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301-4030-B809-DA302CF6E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902644032"/>
        <c:axId val="-902647296"/>
      </c:barChart>
      <c:lineChart>
        <c:grouping val="stacked"/>
        <c:varyColors val="0"/>
        <c:ser>
          <c:idx val="1"/>
          <c:order val="1"/>
          <c:tx>
            <c:strRef>
              <c:f>'1.투자'!$D$343</c:f>
              <c:strCache>
                <c:ptCount val="1"/>
                <c:pt idx="0">
                  <c:v> 과제수(개) </c:v>
                </c:pt>
              </c:strCache>
            </c:strRef>
          </c:tx>
          <c:spPr>
            <a:ln w="28575" cap="rnd">
              <a:solidFill>
                <a:srgbClr val="F4A42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rgbClr val="F4A42A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'1.투자'!$E$341:$J$341</c:f>
              <c:strCache>
                <c:ptCount val="6"/>
                <c:pt idx="0">
                  <c:v> 과기정통부 </c:v>
                </c:pt>
                <c:pt idx="1">
                  <c:v> 농식품부 </c:v>
                </c:pt>
                <c:pt idx="2">
                  <c:v> 복지부 </c:v>
                </c:pt>
                <c:pt idx="3">
                  <c:v> 산업부 </c:v>
                </c:pt>
                <c:pt idx="4">
                  <c:v> 교육부 </c:v>
                </c:pt>
                <c:pt idx="5">
                  <c:v> 기타부처 </c:v>
                </c:pt>
              </c:strCache>
            </c:strRef>
          </c:cat>
          <c:val>
            <c:numRef>
              <c:f>'1.투자'!$E$343:$J$343</c:f>
              <c:numCache>
                <c:formatCode>_(* #,##0_);_(* \(#,##0\);_(* "-"_);_(@_)</c:formatCode>
                <c:ptCount val="6"/>
                <c:pt idx="0">
                  <c:v>8806</c:v>
                </c:pt>
                <c:pt idx="1">
                  <c:v>5179</c:v>
                </c:pt>
                <c:pt idx="2">
                  <c:v>2030</c:v>
                </c:pt>
                <c:pt idx="3">
                  <c:v>538</c:v>
                </c:pt>
                <c:pt idx="4">
                  <c:v>5620</c:v>
                </c:pt>
                <c:pt idx="5">
                  <c:v>3694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301-4030-B809-DA302CF6E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2650016"/>
        <c:axId val="-902640224"/>
      </c:lineChart>
      <c:catAx>
        <c:axId val="-902644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902647296"/>
        <c:crosses val="autoZero"/>
        <c:auto val="1"/>
        <c:lblAlgn val="ctr"/>
        <c:lblOffset val="100"/>
        <c:noMultiLvlLbl val="0"/>
      </c:catAx>
      <c:valAx>
        <c:axId val="-90264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902644032"/>
        <c:crosses val="autoZero"/>
        <c:crossBetween val="between"/>
      </c:valAx>
      <c:valAx>
        <c:axId val="-902640224"/>
        <c:scaling>
          <c:orientation val="minMax"/>
          <c:max val="90000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902650016"/>
        <c:crosses val="max"/>
        <c:crossBetween val="between"/>
        <c:majorUnit val="10000"/>
      </c:valAx>
      <c:catAx>
        <c:axId val="-902650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9026402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doughnutChart>
        <c:varyColors val="1"/>
        <c:ser>
          <c:idx val="0"/>
          <c:order val="0"/>
          <c:tx>
            <c:strRef>
              <c:f>'1.투자'!$D$342</c:f>
              <c:strCache>
                <c:ptCount val="1"/>
                <c:pt idx="0">
                  <c:v> 연구비(억원) </c:v>
                </c:pt>
              </c:strCache>
            </c:strRef>
          </c:tx>
          <c:dPt>
            <c:idx val="0"/>
            <c:bubble3D val="0"/>
            <c:spPr>
              <a:solidFill>
                <a:srgbClr val="3DA4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512-47E0-8DC5-4843BAFB8A88}"/>
              </c:ext>
            </c:extLst>
          </c:dPt>
          <c:dPt>
            <c:idx val="1"/>
            <c:bubble3D val="0"/>
            <c:spPr>
              <a:solidFill>
                <a:srgbClr val="95C55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512-47E0-8DC5-4843BAFB8A88}"/>
              </c:ext>
            </c:extLst>
          </c:dPt>
          <c:dPt>
            <c:idx val="2"/>
            <c:bubble3D val="0"/>
            <c:spPr>
              <a:solidFill>
                <a:srgbClr val="F4A42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512-47E0-8DC5-4843BAFB8A88}"/>
              </c:ext>
            </c:extLst>
          </c:dPt>
          <c:dPt>
            <c:idx val="3"/>
            <c:bubble3D val="0"/>
            <c:spPr>
              <a:solidFill>
                <a:srgbClr val="3CADB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512-47E0-8DC5-4843BAFB8A88}"/>
              </c:ext>
            </c:extLst>
          </c:dPt>
          <c:dPt>
            <c:idx val="4"/>
            <c:bubble3D val="0"/>
            <c:spPr>
              <a:solidFill>
                <a:srgbClr val="7E8DC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512-47E0-8DC5-4843BAFB8A88}"/>
              </c:ext>
            </c:extLst>
          </c:dPt>
          <c:dPt>
            <c:idx val="5"/>
            <c:bubble3D val="0"/>
            <c:spPr>
              <a:solidFill>
                <a:srgbClr val="BCBD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512-47E0-8DC5-4843BAFB8A88}"/>
              </c:ext>
            </c:extLst>
          </c:dPt>
          <c:dPt>
            <c:idx val="6"/>
            <c:bubble3D val="0"/>
            <c:spPr>
              <a:solidFill>
                <a:srgbClr val="3CADB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512-47E0-8DC5-4843BAFB8A88}"/>
              </c:ext>
            </c:extLst>
          </c:dPt>
          <c:dPt>
            <c:idx val="7"/>
            <c:bubble3D val="0"/>
            <c:spPr>
              <a:solidFill>
                <a:srgbClr val="3DA4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512-47E0-8DC5-4843BAFB8A88}"/>
              </c:ext>
            </c:extLst>
          </c:dPt>
          <c:dPt>
            <c:idx val="8"/>
            <c:bubble3D val="0"/>
            <c:spPr>
              <a:solidFill>
                <a:srgbClr val="36726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7512-47E0-8DC5-4843BAFB8A88}"/>
              </c:ext>
            </c:extLst>
          </c:dPt>
          <c:dPt>
            <c:idx val="9"/>
            <c:bubble3D val="0"/>
            <c:spPr>
              <a:solidFill>
                <a:srgbClr val="BCBD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7512-47E0-8DC5-4843BAFB8A8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'1.투자'!$E$341:$J$341</c:f>
              <c:strCache>
                <c:ptCount val="6"/>
                <c:pt idx="0">
                  <c:v> 과기정통부 </c:v>
                </c:pt>
                <c:pt idx="1">
                  <c:v> 농식품부 </c:v>
                </c:pt>
                <c:pt idx="2">
                  <c:v> 복지부 </c:v>
                </c:pt>
                <c:pt idx="3">
                  <c:v> 산업부 </c:v>
                </c:pt>
                <c:pt idx="4">
                  <c:v> 교육부 </c:v>
                </c:pt>
                <c:pt idx="5">
                  <c:v> 기타부처 </c:v>
                </c:pt>
              </c:strCache>
            </c:strRef>
          </c:cat>
          <c:val>
            <c:numRef>
              <c:f>'1.투자'!$E$342:$J$342</c:f>
              <c:numCache>
                <c:formatCode>_(* #,##0_);_(* \(#,##0\);_(* "-"_);_(@_)</c:formatCode>
                <c:ptCount val="6"/>
                <c:pt idx="0">
                  <c:v>16638.875653539602</c:v>
                </c:pt>
                <c:pt idx="1">
                  <c:v>7146.5763930999929</c:v>
                </c:pt>
                <c:pt idx="2">
                  <c:v>5524.1266140899997</c:v>
                </c:pt>
                <c:pt idx="3">
                  <c:v>3092.7495315399997</c:v>
                </c:pt>
                <c:pt idx="4">
                  <c:v>2841.0521674199936</c:v>
                </c:pt>
                <c:pt idx="5">
                  <c:v>6009.6481835000004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512-47E0-8DC5-4843BAFB8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4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'1.투자'!$E$369</c:f>
              <c:strCache>
                <c:ptCount val="1"/>
                <c:pt idx="0">
                  <c:v> 신약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'1.투자'!$D$370:$D$374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'1.투자'!$E$370:$E$374</c:f>
              <c:numCache>
                <c:formatCode>_(* #,##0_);_(* \(#,##0\);_(* "-"_);_(@_)</c:formatCode>
                <c:ptCount val="5"/>
                <c:pt idx="0">
                  <c:v>3896</c:v>
                </c:pt>
                <c:pt idx="1">
                  <c:v>4436</c:v>
                </c:pt>
                <c:pt idx="2" formatCode="#,##0_ ">
                  <c:v>4352.5028263800104</c:v>
                </c:pt>
                <c:pt idx="3" formatCode="#,##0">
                  <c:v>4298</c:v>
                </c:pt>
                <c:pt idx="4" formatCode="_(* #,##0_);_(* \(#,##0\);_(* &quot;-&quot;_);_(@_)">
                  <c:v>4817.4806231000075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FA-410F-A2D9-ED37258AE6BA}"/>
            </c:ext>
          </c:extLst>
        </c:ser>
        <c:ser>
          <c:idx val="1"/>
          <c:order val="1"/>
          <c:tx>
            <c:strRef>
              <c:f>'1.투자'!$F$369</c:f>
              <c:strCache>
                <c:ptCount val="1"/>
                <c:pt idx="0">
                  <c:v> 의료기기 </c:v>
                </c:pt>
              </c:strCache>
            </c:strRef>
          </c:tx>
          <c:spPr>
            <a:solidFill>
              <a:srgbClr val="F4A42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'1.투자'!$D$370:$D$374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'1.투자'!$F$370:$F$374</c:f>
              <c:numCache>
                <c:formatCode>_(* #,##0_);_(* \(#,##0\);_(* "-"_);_(@_)</c:formatCode>
                <c:ptCount val="5"/>
                <c:pt idx="0">
                  <c:v>3665</c:v>
                </c:pt>
                <c:pt idx="1">
                  <c:v>3753</c:v>
                </c:pt>
                <c:pt idx="2" formatCode="#,##0_ ">
                  <c:v>3847.8163493500087</c:v>
                </c:pt>
                <c:pt idx="3" formatCode="#,##0">
                  <c:v>4088</c:v>
                </c:pt>
                <c:pt idx="4" formatCode="_(* #,##0_);_(* \(#,##0\);_(* &quot;-&quot;_);_(@_)">
                  <c:v>5195.247362290007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FA-410F-A2D9-ED37258AE6BA}"/>
            </c:ext>
          </c:extLst>
        </c:ser>
        <c:ser>
          <c:idx val="2"/>
          <c:order val="2"/>
          <c:tx>
            <c:strRef>
              <c:f>'1.투자'!$G$369</c:f>
              <c:strCache>
                <c:ptCount val="1"/>
                <c:pt idx="0">
                  <c:v> 의료서비스 </c:v>
                </c:pt>
              </c:strCache>
            </c:strRef>
          </c:tx>
          <c:spPr>
            <a:solidFill>
              <a:srgbClr val="F4806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'1.투자'!$D$370:$D$374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'1.투자'!$G$370:$G$374</c:f>
              <c:numCache>
                <c:formatCode>_(* #,##0_);_(* \(#,##0\);_(* "-"_);_(@_)</c:formatCode>
                <c:ptCount val="5"/>
                <c:pt idx="0">
                  <c:v>1741</c:v>
                </c:pt>
                <c:pt idx="1">
                  <c:v>1977</c:v>
                </c:pt>
                <c:pt idx="2" formatCode="#,##0_ ">
                  <c:v>1886.8535510199972</c:v>
                </c:pt>
                <c:pt idx="3" formatCode="#,##0">
                  <c:v>1969</c:v>
                </c:pt>
                <c:pt idx="4" formatCode="_(* #,##0_);_(* \(#,##0\);_(* &quot;-&quot;_);_(@_)">
                  <c:v>2096.4807059000004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FA-410F-A2D9-ED37258AE6BA}"/>
            </c:ext>
          </c:extLst>
        </c:ser>
        <c:ser>
          <c:idx val="3"/>
          <c:order val="3"/>
          <c:tx>
            <c:strRef>
              <c:f>'1.투자'!$H$369</c:f>
              <c:strCache>
                <c:ptCount val="1"/>
                <c:pt idx="0">
                  <c:v> 뇌연구 </c:v>
                </c:pt>
              </c:strCache>
            </c:strRef>
          </c:tx>
          <c:spPr>
            <a:solidFill>
              <a:srgbClr val="F2665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'1.투자'!$D$370:$D$374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'1.투자'!$H$370:$H$374</c:f>
              <c:numCache>
                <c:formatCode>_(* #,##0_);_(* \(#,##0\);_(* "-"_);_(@_)</c:formatCode>
                <c:ptCount val="5"/>
                <c:pt idx="0">
                  <c:v>1784</c:v>
                </c:pt>
                <c:pt idx="1">
                  <c:v>1885</c:v>
                </c:pt>
                <c:pt idx="2" formatCode="#,##0_ ">
                  <c:v>2097.2503975600002</c:v>
                </c:pt>
                <c:pt idx="3" formatCode="#,##0">
                  <c:v>2387</c:v>
                </c:pt>
                <c:pt idx="4" formatCode="_(* #,##0_);_(* \(#,##0\);_(* &quot;-&quot;_);_(@_)">
                  <c:v>2570.006365650001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9FA-410F-A2D9-ED37258AE6BA}"/>
            </c:ext>
          </c:extLst>
        </c:ser>
        <c:ser>
          <c:idx val="4"/>
          <c:order val="4"/>
          <c:tx>
            <c:strRef>
              <c:f>'1.투자'!$I$369</c:f>
              <c:strCache>
                <c:ptCount val="1"/>
                <c:pt idx="0">
                  <c:v> 줄기세포 </c:v>
                </c:pt>
              </c:strCache>
            </c:strRef>
          </c:tx>
          <c:spPr>
            <a:solidFill>
              <a:srgbClr val="7E8DC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'1.투자'!$D$370:$D$374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'1.투자'!$I$370:$I$374</c:f>
              <c:numCache>
                <c:formatCode>_(* #,##0_);_(* \(#,##0\);_(* "-"_);_(@_)</c:formatCode>
                <c:ptCount val="5"/>
                <c:pt idx="0">
                  <c:v>1282</c:v>
                </c:pt>
                <c:pt idx="1">
                  <c:v>1265</c:v>
                </c:pt>
                <c:pt idx="2" formatCode="#,##0_ ">
                  <c:v>1195.2832584600023</c:v>
                </c:pt>
                <c:pt idx="3" formatCode="#,##0">
                  <c:v>1170</c:v>
                </c:pt>
                <c:pt idx="4" formatCode="_(* #,##0_);_(* \(#,##0\);_(* &quot;-&quot;_);_(@_)">
                  <c:v>1334.401282450001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9FA-410F-A2D9-ED37258AE6BA}"/>
            </c:ext>
          </c:extLst>
        </c:ser>
        <c:ser>
          <c:idx val="5"/>
          <c:order val="5"/>
          <c:tx>
            <c:strRef>
              <c:f>'1.투자'!$J$369</c:f>
              <c:strCache>
                <c:ptCount val="1"/>
                <c:pt idx="0">
                  <c:v> 유전체 </c:v>
                </c:pt>
              </c:strCache>
            </c:strRef>
          </c:tx>
          <c:spPr>
            <a:solidFill>
              <a:srgbClr val="62C7C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'1.투자'!$D$370:$D$374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'1.투자'!$J$370:$J$374</c:f>
              <c:numCache>
                <c:formatCode>_(* #,##0_);_(* \(#,##0\);_(* "-"_);_(@_)</c:formatCode>
                <c:ptCount val="5"/>
                <c:pt idx="0">
                  <c:v>1682</c:v>
                </c:pt>
                <c:pt idx="1">
                  <c:v>1938</c:v>
                </c:pt>
                <c:pt idx="2" formatCode="#,##0_ ">
                  <c:v>1851.3450294100039</c:v>
                </c:pt>
                <c:pt idx="3" formatCode="#,##0">
                  <c:v>1935</c:v>
                </c:pt>
                <c:pt idx="4" formatCode="_(* #,##0_);_(* \(#,##0\);_(* &quot;-&quot;_);_(@_)">
                  <c:v>2083.096815000004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9FA-410F-A2D9-ED37258AE6BA}"/>
            </c:ext>
          </c:extLst>
        </c:ser>
        <c:ser>
          <c:idx val="6"/>
          <c:order val="6"/>
          <c:tx>
            <c:strRef>
              <c:f>'1.투자'!$K$369</c:f>
              <c:strCache>
                <c:ptCount val="1"/>
                <c:pt idx="0">
                  <c:v> 생명연구자원 </c:v>
                </c:pt>
              </c:strCache>
            </c:strRef>
          </c:tx>
          <c:spPr>
            <a:solidFill>
              <a:srgbClr val="3CADB8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'1.투자'!$D$370:$D$374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'1.투자'!$K$370:$K$374</c:f>
              <c:numCache>
                <c:formatCode>_(* #,##0_);_(* \(#,##0\);_(* "-"_);_(@_)</c:formatCode>
                <c:ptCount val="5"/>
                <c:pt idx="0">
                  <c:v>1624</c:v>
                </c:pt>
                <c:pt idx="1">
                  <c:v>1936</c:v>
                </c:pt>
                <c:pt idx="2" formatCode="#,##0_ ">
                  <c:v>1769.017215789999</c:v>
                </c:pt>
                <c:pt idx="3" formatCode="#,##0">
                  <c:v>1551</c:v>
                </c:pt>
                <c:pt idx="4" formatCode="_(* #,##0_);_(* \(#,##0\);_(* &quot;-&quot;_);_(@_)">
                  <c:v>1555.0143024400006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9FA-410F-A2D9-ED37258AE6BA}"/>
            </c:ext>
          </c:extLst>
        </c:ser>
        <c:ser>
          <c:idx val="7"/>
          <c:order val="7"/>
          <c:tx>
            <c:strRef>
              <c:f>'1.투자'!$L$369</c:f>
              <c:strCache>
                <c:ptCount val="1"/>
                <c:pt idx="0">
                  <c:v> 농림수축산/식품 </c:v>
                </c:pt>
              </c:strCache>
            </c:strRef>
          </c:tx>
          <c:spPr>
            <a:solidFill>
              <a:srgbClr val="3DA4D9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'1.투자'!$D$370:$D$374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'1.투자'!$L$370:$L$374</c:f>
              <c:numCache>
                <c:formatCode>_(* #,##0_);_(* \(#,##0\);_(* "-"_);_(@_)</c:formatCode>
                <c:ptCount val="5"/>
                <c:pt idx="0">
                  <c:v>7516</c:v>
                </c:pt>
                <c:pt idx="1">
                  <c:v>7645</c:v>
                </c:pt>
                <c:pt idx="2" formatCode="#,##0_ ">
                  <c:v>7529.4014733500035</c:v>
                </c:pt>
                <c:pt idx="3" formatCode="#,##0">
                  <c:v>7826</c:v>
                </c:pt>
                <c:pt idx="4" formatCode="_(* #,##0_);_(* \(#,##0\);_(* &quot;-&quot;_);_(@_)">
                  <c:v>8127.002601779991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9FA-410F-A2D9-ED37258AE6BA}"/>
            </c:ext>
          </c:extLst>
        </c:ser>
        <c:ser>
          <c:idx val="8"/>
          <c:order val="8"/>
          <c:tx>
            <c:strRef>
              <c:f>'1.투자'!$M$369</c:f>
              <c:strCache>
                <c:ptCount val="1"/>
                <c:pt idx="0">
                  <c:v> 생명과학, 기초연구 및 기타 </c:v>
                </c:pt>
              </c:strCache>
            </c:strRef>
          </c:tx>
          <c:spPr>
            <a:solidFill>
              <a:srgbClr val="BCBD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'1.투자'!$D$370:$D$374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'1.투자'!$M$370:$M$374</c:f>
              <c:numCache>
                <c:formatCode>_(* #,##0_);_(* \(#,##0\);_(* "-"_);_(@_)</c:formatCode>
                <c:ptCount val="5"/>
                <c:pt idx="0">
                  <c:v>10151</c:v>
                </c:pt>
                <c:pt idx="1">
                  <c:v>10111</c:v>
                </c:pt>
                <c:pt idx="2" formatCode="#,##0_ ">
                  <c:v>10964.893779540456</c:v>
                </c:pt>
                <c:pt idx="3" formatCode="#,##0">
                  <c:v>11486</c:v>
                </c:pt>
                <c:pt idx="4" formatCode="_(* #,##0_);_(* \(#,##0\);_(* &quot;-&quot;_);_(@_)">
                  <c:v>13474.298484579869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9FA-410F-A2D9-ED37258AE6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02649472"/>
        <c:axId val="-902643488"/>
      </c:barChart>
      <c:catAx>
        <c:axId val="-9026494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902643488"/>
        <c:crosses val="autoZero"/>
        <c:auto val="1"/>
        <c:lblAlgn val="ctr"/>
        <c:lblOffset val="100"/>
        <c:noMultiLvlLbl val="0"/>
      </c:catAx>
      <c:valAx>
        <c:axId val="-902643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902649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'1.투자'!$D$399</c:f>
              <c:strCache>
                <c:ptCount val="1"/>
                <c:pt idx="0">
                  <c:v> 규모 </c:v>
                </c:pt>
              </c:strCache>
            </c:strRef>
          </c:tx>
          <c:dPt>
            <c:idx val="0"/>
            <c:bubble3D val="0"/>
            <c:spPr>
              <a:solidFill>
                <a:srgbClr val="95C55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789-42A2-97CA-0D1ECC96448E}"/>
              </c:ext>
            </c:extLst>
          </c:dPt>
          <c:dPt>
            <c:idx val="1"/>
            <c:bubble3D val="0"/>
            <c:spPr>
              <a:solidFill>
                <a:srgbClr val="F4A42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789-42A2-97CA-0D1ECC96448E}"/>
              </c:ext>
            </c:extLst>
          </c:dPt>
          <c:dPt>
            <c:idx val="2"/>
            <c:bubble3D val="0"/>
            <c:spPr>
              <a:solidFill>
                <a:srgbClr val="F4806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789-42A2-97CA-0D1ECC96448E}"/>
              </c:ext>
            </c:extLst>
          </c:dPt>
          <c:dPt>
            <c:idx val="3"/>
            <c:bubble3D val="0"/>
            <c:spPr>
              <a:solidFill>
                <a:srgbClr val="F2665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789-42A2-97CA-0D1ECC96448E}"/>
              </c:ext>
            </c:extLst>
          </c:dPt>
          <c:dPt>
            <c:idx val="4"/>
            <c:bubble3D val="0"/>
            <c:spPr>
              <a:solidFill>
                <a:srgbClr val="7E8DC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789-42A2-97CA-0D1ECC96448E}"/>
              </c:ext>
            </c:extLst>
          </c:dPt>
          <c:dPt>
            <c:idx val="5"/>
            <c:bubble3D val="0"/>
            <c:spPr>
              <a:solidFill>
                <a:srgbClr val="62C7C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789-42A2-97CA-0D1ECC96448E}"/>
              </c:ext>
            </c:extLst>
          </c:dPt>
          <c:dPt>
            <c:idx val="6"/>
            <c:bubble3D val="0"/>
            <c:spPr>
              <a:solidFill>
                <a:srgbClr val="3CADB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789-42A2-97CA-0D1ECC96448E}"/>
              </c:ext>
            </c:extLst>
          </c:dPt>
          <c:dPt>
            <c:idx val="7"/>
            <c:bubble3D val="0"/>
            <c:spPr>
              <a:solidFill>
                <a:srgbClr val="3DA4D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789-42A2-97CA-0D1ECC96448E}"/>
              </c:ext>
            </c:extLst>
          </c:dPt>
          <c:dPt>
            <c:idx val="8"/>
            <c:bubble3D val="0"/>
            <c:spPr>
              <a:solidFill>
                <a:srgbClr val="BCBD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789-42A2-97CA-0D1ECC96448E}"/>
              </c:ext>
            </c:extLst>
          </c:dPt>
          <c:dLbls>
            <c:dLbl>
              <c:idx val="3"/>
              <c:layout>
                <c:manualLayout>
                  <c:x val="5.5689429060234982E-2"/>
                  <c:y val="5.5308633372818765E-2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789-42A2-97CA-0D1ECC96448E}"/>
                </c:ext>
              </c:extLst>
            </c:dLbl>
            <c:dLbl>
              <c:idx val="4"/>
              <c:layout>
                <c:manualLayout>
                  <c:x val="0.11352075923817131"/>
                  <c:y val="0.17777775012691746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789-42A2-97CA-0D1ECC96448E}"/>
                </c:ext>
              </c:extLst>
            </c:dLbl>
            <c:dLbl>
              <c:idx val="5"/>
              <c:layout>
                <c:manualLayout>
                  <c:x val="8.7817945825755167E-2"/>
                  <c:y val="0.17777775012691746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789-42A2-97CA-0D1ECC96448E}"/>
                </c:ext>
              </c:extLst>
            </c:dLbl>
            <c:dLbl>
              <c:idx val="6"/>
              <c:layout>
                <c:manualLayout>
                  <c:x val="2.9986615647818838E-2"/>
                  <c:y val="0.15407405010999511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789-42A2-97CA-0D1ECC96448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'1.투자'!$E$398:$M$398</c:f>
              <c:strCache>
                <c:ptCount val="9"/>
                <c:pt idx="0">
                  <c:v> 신약 </c:v>
                </c:pt>
                <c:pt idx="1">
                  <c:v> 의료기기 </c:v>
                </c:pt>
                <c:pt idx="2">
                  <c:v> 의료서비스 </c:v>
                </c:pt>
                <c:pt idx="3">
                  <c:v> 뇌연구 </c:v>
                </c:pt>
                <c:pt idx="4">
                  <c:v> 줄기세포 </c:v>
                </c:pt>
                <c:pt idx="5">
                  <c:v> 유전체 </c:v>
                </c:pt>
                <c:pt idx="6">
                  <c:v> 생명연구자원 </c:v>
                </c:pt>
                <c:pt idx="7">
                  <c:v> 농림수축산/식품 </c:v>
                </c:pt>
                <c:pt idx="8">
                  <c:v> 생명과학, 기초연구 및 기타 </c:v>
                </c:pt>
              </c:strCache>
            </c:strRef>
          </c:cat>
          <c:val>
            <c:numRef>
              <c:f>'1.투자'!$E$399:$M$399</c:f>
              <c:numCache>
                <c:formatCode>_(* #,##0_);_(* \(#,##0\);_(* "-"_);_(@_)</c:formatCode>
                <c:ptCount val="9"/>
                <c:pt idx="0">
                  <c:v>4817.4806231000075</c:v>
                </c:pt>
                <c:pt idx="1">
                  <c:v>5195.247362290007</c:v>
                </c:pt>
                <c:pt idx="2">
                  <c:v>2096.4807059000004</c:v>
                </c:pt>
                <c:pt idx="3">
                  <c:v>2570.006365650001</c:v>
                </c:pt>
                <c:pt idx="4">
                  <c:v>1334.401282450001</c:v>
                </c:pt>
                <c:pt idx="5">
                  <c:v>2083.096815000004</c:v>
                </c:pt>
                <c:pt idx="6">
                  <c:v>1555.0143024400006</c:v>
                </c:pt>
                <c:pt idx="7">
                  <c:v>8127.002601779991</c:v>
                </c:pt>
                <c:pt idx="8">
                  <c:v>13474.298484579869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789-42A2-97CA-0D1ECC964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1260397126881865E-2"/>
          <c:y val="4.3456783364357598E-2"/>
          <c:w val="0.95905310135679323"/>
          <c:h val="0.72820161707761377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'1.투자'!$D$423</c:f>
              <c:strCache>
                <c:ptCount val="1"/>
                <c:pt idx="0">
                  <c:v> 과기정통부 </c:v>
                </c:pt>
              </c:strCache>
            </c:strRef>
          </c:tx>
          <c:spPr>
            <a:solidFill>
              <a:srgbClr val="3DA4D9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'1.투자'!$E$422:$I$422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'1.투자'!$E$423:$I$423</c:f>
              <c:numCache>
                <c:formatCode>_(* #,##0_);_(* \(#,##0\);_(* "-"_);_(@_)</c:formatCode>
                <c:ptCount val="5"/>
                <c:pt idx="0">
                  <c:v>1583</c:v>
                </c:pt>
                <c:pt idx="1">
                  <c:v>2123</c:v>
                </c:pt>
                <c:pt idx="2" formatCode="#,##0_ ">
                  <c:v>1838.5706958100002</c:v>
                </c:pt>
                <c:pt idx="3" formatCode="#,##0">
                  <c:v>1949</c:v>
                </c:pt>
                <c:pt idx="4" formatCode="_(* #,##0_);_(* \(#,##0\);_(* &quot;-&quot;_);_(@_)">
                  <c:v>2329.0987691700007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E6-44CB-8185-0E1F55E03737}"/>
            </c:ext>
          </c:extLst>
        </c:ser>
        <c:ser>
          <c:idx val="1"/>
          <c:order val="1"/>
          <c:tx>
            <c:strRef>
              <c:f>'1.투자'!$D$424</c:f>
              <c:strCache>
                <c:ptCount val="1"/>
                <c:pt idx="0">
                  <c:v> 농식품부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'1.투자'!$E$422:$I$422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'1.투자'!$E$424:$I$424</c:f>
              <c:numCache>
                <c:formatCode>_(* #,##0_);_(* \(#,##0\);_(* "-"_);_(@_)</c:formatCode>
                <c:ptCount val="5"/>
                <c:pt idx="0">
                  <c:v>34</c:v>
                </c:pt>
                <c:pt idx="1">
                  <c:v>33</c:v>
                </c:pt>
                <c:pt idx="2" formatCode="#,##0_ ">
                  <c:v>57.337500000000006</c:v>
                </c:pt>
                <c:pt idx="3" formatCode="General">
                  <c:v>54</c:v>
                </c:pt>
                <c:pt idx="4" formatCode="_(* #,##0_);_(* \(#,##0\);_(* &quot;-&quot;_);_(@_)">
                  <c:v>50.753200000000007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E6-44CB-8185-0E1F55E03737}"/>
            </c:ext>
          </c:extLst>
        </c:ser>
        <c:ser>
          <c:idx val="2"/>
          <c:order val="2"/>
          <c:tx>
            <c:strRef>
              <c:f>'1.투자'!$D$425</c:f>
              <c:strCache>
                <c:ptCount val="1"/>
                <c:pt idx="0">
                  <c:v> 산업부 </c:v>
                </c:pt>
              </c:strCache>
            </c:strRef>
          </c:tx>
          <c:spPr>
            <a:solidFill>
              <a:srgbClr val="3CADB8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'1.투자'!$E$422:$I$422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'1.투자'!$E$425:$I$425</c:f>
              <c:numCache>
                <c:formatCode>_(* #,##0_);_(* \(#,##0\);_(* "-"_);_(@_)</c:formatCode>
                <c:ptCount val="5"/>
                <c:pt idx="0">
                  <c:v>480</c:v>
                </c:pt>
                <c:pt idx="1">
                  <c:v>461</c:v>
                </c:pt>
                <c:pt idx="2" formatCode="#,##0_ ">
                  <c:v>396.1521436000001</c:v>
                </c:pt>
                <c:pt idx="3" formatCode="General">
                  <c:v>319</c:v>
                </c:pt>
                <c:pt idx="4" formatCode="_(* #,##0_);_(* \(#,##0\);_(* &quot;-&quot;_);_(@_)">
                  <c:v>339.00900000000007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E6-44CB-8185-0E1F55E03737}"/>
            </c:ext>
          </c:extLst>
        </c:ser>
        <c:ser>
          <c:idx val="3"/>
          <c:order val="3"/>
          <c:tx>
            <c:strRef>
              <c:f>'1.투자'!$D$426</c:f>
              <c:strCache>
                <c:ptCount val="1"/>
                <c:pt idx="0">
                  <c:v> 복지부 </c:v>
                </c:pt>
              </c:strCache>
            </c:strRef>
          </c:tx>
          <c:spPr>
            <a:solidFill>
              <a:srgbClr val="F4A42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'1.투자'!$E$422:$I$422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'1.투자'!$E$426:$I$426</c:f>
              <c:numCache>
                <c:formatCode>_(* #,##0_);_(* \(#,##0\);_(* "-"_);_(@_)</c:formatCode>
                <c:ptCount val="5"/>
                <c:pt idx="0">
                  <c:v>1300</c:v>
                </c:pt>
                <c:pt idx="1">
                  <c:v>1416</c:v>
                </c:pt>
                <c:pt idx="2" formatCode="#,##0_ ">
                  <c:v>1330.8082599399991</c:v>
                </c:pt>
                <c:pt idx="3" formatCode="#,##0">
                  <c:v>1207</c:v>
                </c:pt>
                <c:pt idx="4" formatCode="_(* #,##0_);_(* \(#,##0\);_(* &quot;-&quot;_);_(@_)">
                  <c:v>1289.9324689299999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E6-44CB-8185-0E1F55E03737}"/>
            </c:ext>
          </c:extLst>
        </c:ser>
        <c:ser>
          <c:idx val="4"/>
          <c:order val="4"/>
          <c:tx>
            <c:strRef>
              <c:f>'1.투자'!$D$427</c:f>
              <c:strCache>
                <c:ptCount val="1"/>
                <c:pt idx="0">
                  <c:v> 교육부 </c:v>
                </c:pt>
              </c:strCache>
            </c:strRef>
          </c:tx>
          <c:spPr>
            <a:solidFill>
              <a:srgbClr val="7E8DC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'1.투자'!$E$422:$I$422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'1.투자'!$E$427:$I$427</c:f>
              <c:numCache>
                <c:formatCode>_(* #,##0_);_(* \(#,##0\);_(* "-"_);_(@_)</c:formatCode>
                <c:ptCount val="5"/>
                <c:pt idx="0">
                  <c:v>26</c:v>
                </c:pt>
                <c:pt idx="1">
                  <c:v>35</c:v>
                </c:pt>
                <c:pt idx="2" formatCode="#,##0_ ">
                  <c:v>51.439905000000003</c:v>
                </c:pt>
                <c:pt idx="3" formatCode="General">
                  <c:v>51</c:v>
                </c:pt>
                <c:pt idx="4" formatCode="_(* #,##0_);_(* \(#,##0\);_(* &quot;-&quot;_);_(@_)">
                  <c:v>152.13582499999993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FE6-44CB-8185-0E1F55E03737}"/>
            </c:ext>
          </c:extLst>
        </c:ser>
        <c:ser>
          <c:idx val="5"/>
          <c:order val="5"/>
          <c:tx>
            <c:strRef>
              <c:f>'1.투자'!$D$428</c:f>
              <c:strCache>
                <c:ptCount val="1"/>
                <c:pt idx="0">
                  <c:v> 기타 </c:v>
                </c:pt>
              </c:strCache>
            </c:strRef>
          </c:tx>
          <c:spPr>
            <a:solidFill>
              <a:srgbClr val="BCBD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'1.투자'!$E$422:$I$422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'1.투자'!$E$428:$I$428</c:f>
              <c:numCache>
                <c:formatCode>_(* #,##0_);_(* \(#,##0\);_(* "-"_);_(@_)</c:formatCode>
                <c:ptCount val="5"/>
                <c:pt idx="0">
                  <c:v>473</c:v>
                </c:pt>
                <c:pt idx="1">
                  <c:v>368</c:v>
                </c:pt>
                <c:pt idx="2" formatCode="#,##0_ ">
                  <c:v>678.19432203000076</c:v>
                </c:pt>
                <c:pt idx="3" formatCode="General">
                  <c:v>718</c:v>
                </c:pt>
                <c:pt idx="4" formatCode="_(* #,##0_);_(* \(#,##0\);_(* &quot;-&quot;_);_(@_)">
                  <c:v>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FE6-44CB-8185-0E1F55E03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02645664"/>
        <c:axId val="-902642400"/>
      </c:barChart>
      <c:lineChart>
        <c:grouping val="standard"/>
        <c:varyColors val="0"/>
        <c:ser>
          <c:idx val="6"/>
          <c:order val="6"/>
          <c:tx>
            <c:strRef>
              <c:f>'1.투자'!$D$429</c:f>
              <c:strCache>
                <c:ptCount val="1"/>
                <c:pt idx="0">
                  <c:v> 합계 </c:v>
                </c:pt>
              </c:strCache>
            </c:strRef>
          </c:tx>
          <c:spPr>
            <a:ln w="28575" cap="rnd">
              <a:solidFill>
                <a:srgbClr val="3CADB8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3CADB8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'1.투자'!$E$422:$I$422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'1.투자'!$E$429:$I$429</c:f>
              <c:numCache>
                <c:formatCode>_(* #,##0_);_(* \(#,##0\);_(* "-"_);_(@_)</c:formatCode>
                <c:ptCount val="5"/>
                <c:pt idx="0">
                  <c:v>3896</c:v>
                </c:pt>
                <c:pt idx="1">
                  <c:v>4436</c:v>
                </c:pt>
                <c:pt idx="2">
                  <c:v>4353</c:v>
                </c:pt>
                <c:pt idx="3">
                  <c:v>4298</c:v>
                </c:pt>
                <c:pt idx="4">
                  <c:v>4817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FE6-44CB-8185-0E1F55E03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2641312"/>
        <c:axId val="-902641856"/>
      </c:lineChart>
      <c:catAx>
        <c:axId val="-902645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902642400"/>
        <c:crossesAt val="0"/>
        <c:auto val="1"/>
        <c:lblAlgn val="ctr"/>
        <c:lblOffset val="100"/>
        <c:noMultiLvlLbl val="0"/>
      </c:catAx>
      <c:valAx>
        <c:axId val="-902642400"/>
        <c:scaling>
          <c:orientation val="minMax"/>
          <c:max val="1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902645664"/>
        <c:crosses val="autoZero"/>
        <c:crossBetween val="between"/>
      </c:valAx>
      <c:valAx>
        <c:axId val="-902641856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902641312"/>
        <c:crosses val="max"/>
        <c:crossBetween val="between"/>
      </c:valAx>
      <c:catAx>
        <c:axId val="-9026413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9026418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'1.투자'!$D$453</c:f>
              <c:strCache>
                <c:ptCount val="1"/>
                <c:pt idx="0">
                  <c:v> 과기정통부 </c:v>
                </c:pt>
              </c:strCache>
            </c:strRef>
          </c:tx>
          <c:spPr>
            <a:solidFill>
              <a:srgbClr val="3DA4D9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'1.투자'!$E$452:$I$452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'1.투자'!$E$453:$I$453</c:f>
              <c:numCache>
                <c:formatCode>_(* #,##0_);_(* \(#,##0\);_(* "-"_);_(@_)</c:formatCode>
                <c:ptCount val="5"/>
                <c:pt idx="0">
                  <c:v>1053</c:v>
                </c:pt>
                <c:pt idx="1">
                  <c:v>1239</c:v>
                </c:pt>
                <c:pt idx="2" formatCode="#,##0_ ">
                  <c:v>1206.2302123400004</c:v>
                </c:pt>
                <c:pt idx="3" formatCode="#,##0_ ">
                  <c:v>1505</c:v>
                </c:pt>
                <c:pt idx="4" formatCode="#,##0_ ">
                  <c:v>1574.1091899999997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E9-4AAA-A29E-2C2F3499C07C}"/>
            </c:ext>
          </c:extLst>
        </c:ser>
        <c:ser>
          <c:idx val="1"/>
          <c:order val="1"/>
          <c:tx>
            <c:strRef>
              <c:f>'1.투자'!$D$454</c:f>
              <c:strCache>
                <c:ptCount val="1"/>
                <c:pt idx="0">
                  <c:v> 농식품부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'1.투자'!$E$452:$I$452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'1.투자'!$E$454:$I$454</c:f>
              <c:numCache>
                <c:formatCode>_(* #,##0_);_(* \(#,##0\);_(* "-"_);_(@_)</c:formatCode>
                <c:ptCount val="5"/>
                <c:pt idx="0">
                  <c:v>4</c:v>
                </c:pt>
                <c:pt idx="1">
                  <c:v>5</c:v>
                </c:pt>
                <c:pt idx="2" formatCode="#,##0_ ">
                  <c:v>9.36</c:v>
                </c:pt>
                <c:pt idx="3" formatCode="#,##0_ ">
                  <c:v>6</c:v>
                </c:pt>
                <c:pt idx="4" formatCode="#,##0_ ">
                  <c:v>8.2932000000000006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E9-4AAA-A29E-2C2F3499C07C}"/>
            </c:ext>
          </c:extLst>
        </c:ser>
        <c:ser>
          <c:idx val="2"/>
          <c:order val="2"/>
          <c:tx>
            <c:strRef>
              <c:f>'1.투자'!$D$455</c:f>
              <c:strCache>
                <c:ptCount val="1"/>
                <c:pt idx="0">
                  <c:v> 산업부 </c:v>
                </c:pt>
              </c:strCache>
            </c:strRef>
          </c:tx>
          <c:spPr>
            <a:solidFill>
              <a:srgbClr val="3CADB8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'1.투자'!$E$452:$I$452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'1.투자'!$E$455:$I$455</c:f>
              <c:numCache>
                <c:formatCode>_(* #,##0_);_(* \(#,##0\);_(* "-"_);_(@_)</c:formatCode>
                <c:ptCount val="5"/>
                <c:pt idx="0">
                  <c:v>1943</c:v>
                </c:pt>
                <c:pt idx="1">
                  <c:v>1348</c:v>
                </c:pt>
                <c:pt idx="2" formatCode="#,##0_ ">
                  <c:v>1270.5489175</c:v>
                </c:pt>
                <c:pt idx="3" formatCode="#,##0_ ">
                  <c:v>1206</c:v>
                </c:pt>
                <c:pt idx="4" formatCode="#,##0_ ">
                  <c:v>1107.2232987900002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E9-4AAA-A29E-2C2F3499C07C}"/>
            </c:ext>
          </c:extLst>
        </c:ser>
        <c:ser>
          <c:idx val="3"/>
          <c:order val="3"/>
          <c:tx>
            <c:strRef>
              <c:f>'1.투자'!$D$456</c:f>
              <c:strCache>
                <c:ptCount val="1"/>
                <c:pt idx="0">
                  <c:v> 복지부 </c:v>
                </c:pt>
              </c:strCache>
            </c:strRef>
          </c:tx>
          <c:spPr>
            <a:solidFill>
              <a:srgbClr val="F4A42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'1.투자'!$E$452:$I$452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'1.투자'!$E$456:$I$456</c:f>
              <c:numCache>
                <c:formatCode>_(* #,##0_);_(* \(#,##0\);_(* "-"_);_(@_)</c:formatCode>
                <c:ptCount val="5"/>
                <c:pt idx="0">
                  <c:v>517</c:v>
                </c:pt>
                <c:pt idx="1">
                  <c:v>486</c:v>
                </c:pt>
                <c:pt idx="2" formatCode="#,##0_ ">
                  <c:v>538.41473817999986</c:v>
                </c:pt>
                <c:pt idx="3" formatCode="#,##0_ ">
                  <c:v>574</c:v>
                </c:pt>
                <c:pt idx="4" formatCode="#,##0_ ">
                  <c:v>630.13953249999963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E9-4AAA-A29E-2C2F3499C07C}"/>
            </c:ext>
          </c:extLst>
        </c:ser>
        <c:ser>
          <c:idx val="4"/>
          <c:order val="4"/>
          <c:tx>
            <c:strRef>
              <c:f>'1.투자'!$D$457</c:f>
              <c:strCache>
                <c:ptCount val="1"/>
                <c:pt idx="0">
                  <c:v> 교육부 </c:v>
                </c:pt>
              </c:strCache>
            </c:strRef>
          </c:tx>
          <c:spPr>
            <a:solidFill>
              <a:srgbClr val="7E8DC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'1.투자'!$E$452:$I$452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'1.투자'!$E$457:$I$457</c:f>
              <c:numCache>
                <c:formatCode>_(* #,##0_);_(* \(#,##0\);_(* "-"_);_(@_)</c:formatCode>
                <c:ptCount val="5"/>
                <c:pt idx="0">
                  <c:v>46</c:v>
                </c:pt>
                <c:pt idx="1">
                  <c:v>24</c:v>
                </c:pt>
                <c:pt idx="2" formatCode="#,##0_ ">
                  <c:v>35.692425</c:v>
                </c:pt>
                <c:pt idx="3" formatCode="#,##0_ ">
                  <c:v>38</c:v>
                </c:pt>
                <c:pt idx="4" formatCode="#,##0_ ">
                  <c:v>76.003025000000036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DE9-4AAA-A29E-2C2F3499C07C}"/>
            </c:ext>
          </c:extLst>
        </c:ser>
        <c:ser>
          <c:idx val="5"/>
          <c:order val="5"/>
          <c:tx>
            <c:strRef>
              <c:f>'1.투자'!$D$458</c:f>
              <c:strCache>
                <c:ptCount val="1"/>
                <c:pt idx="0">
                  <c:v> 기타 </c:v>
                </c:pt>
              </c:strCache>
            </c:strRef>
          </c:tx>
          <c:spPr>
            <a:solidFill>
              <a:srgbClr val="BCBD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'1.투자'!$E$452:$I$452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'1.투자'!$E$458:$I$458</c:f>
              <c:numCache>
                <c:formatCode>_(* #,##0_);_(* \(#,##0\);_(* "-"_);_(@_)</c:formatCode>
                <c:ptCount val="5"/>
                <c:pt idx="0">
                  <c:v>103</c:v>
                </c:pt>
                <c:pt idx="1">
                  <c:v>651</c:v>
                </c:pt>
                <c:pt idx="2" formatCode="#,##0_ ">
                  <c:v>787.57005632999983</c:v>
                </c:pt>
                <c:pt idx="3" formatCode="#,##0_ ">
                  <c:v>759</c:v>
                </c:pt>
                <c:pt idx="4" formatCode="#,##0_ ">
                  <c:v>1799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DE9-4AAA-A29E-2C2F3499C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770969248"/>
        <c:axId val="-770964352"/>
      </c:barChart>
      <c:lineChart>
        <c:grouping val="standard"/>
        <c:varyColors val="0"/>
        <c:ser>
          <c:idx val="6"/>
          <c:order val="6"/>
          <c:tx>
            <c:strRef>
              <c:f>'1.투자'!$D$459</c:f>
              <c:strCache>
                <c:ptCount val="1"/>
                <c:pt idx="0">
                  <c:v> 합계 </c:v>
                </c:pt>
              </c:strCache>
            </c:strRef>
          </c:tx>
          <c:spPr>
            <a:ln w="28575" cap="rnd">
              <a:solidFill>
                <a:srgbClr val="3CADB8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3CADB8"/>
                </a:solidFill>
              </a:ln>
              <a:effectLst/>
            </c:spPr>
          </c:marker>
          <c:dPt>
            <c:idx val="2"/>
            <c:marker>
              <c:symbol val="circle"/>
              <c:size val="5"/>
              <c:spPr>
                <a:solidFill>
                  <a:srgbClr val="002060"/>
                </a:solidFill>
                <a:ln w="9525">
                  <a:solidFill>
                    <a:srgbClr val="3DA4D9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3DA4D9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9DE9-4AAA-A29E-2C2F3499C07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'1.투자'!$E$422:$I$422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'1.투자'!$E$459:$I$459</c:f>
              <c:numCache>
                <c:formatCode>_(* #,##0_);_(* \(#,##0\);_(* "-"_);_(@_)</c:formatCode>
                <c:ptCount val="5"/>
                <c:pt idx="0">
                  <c:v>3666</c:v>
                </c:pt>
                <c:pt idx="1">
                  <c:v>3753</c:v>
                </c:pt>
                <c:pt idx="2">
                  <c:v>3848</c:v>
                </c:pt>
                <c:pt idx="3">
                  <c:v>4088</c:v>
                </c:pt>
                <c:pt idx="4">
                  <c:v>5194.7682462899993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DE9-4AAA-A29E-2C2F3499C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70972512"/>
        <c:axId val="-770978496"/>
      </c:lineChart>
      <c:catAx>
        <c:axId val="-77096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70964352"/>
        <c:crosses val="autoZero"/>
        <c:auto val="1"/>
        <c:lblAlgn val="ctr"/>
        <c:lblOffset val="100"/>
        <c:noMultiLvlLbl val="0"/>
      </c:catAx>
      <c:valAx>
        <c:axId val="-770964352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70969248"/>
        <c:crosses val="autoZero"/>
        <c:crossBetween val="between"/>
      </c:valAx>
      <c:valAx>
        <c:axId val="-770978496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70972512"/>
        <c:crosses val="max"/>
        <c:crossBetween val="between"/>
      </c:valAx>
      <c:catAx>
        <c:axId val="-7709725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7709784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'1.투자'!$D$483</c:f>
              <c:strCache>
                <c:ptCount val="1"/>
                <c:pt idx="0">
                  <c:v> 과기정통부 </c:v>
                </c:pt>
              </c:strCache>
            </c:strRef>
          </c:tx>
          <c:spPr>
            <a:solidFill>
              <a:srgbClr val="3DA4D9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'1.투자'!$E$482:$I$482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'1.투자'!$E$483:$I$483</c:f>
              <c:numCache>
                <c:formatCode>_(* #,##0_);_(* \(#,##0\);_(* "-"_);_(@_)</c:formatCode>
                <c:ptCount val="5"/>
                <c:pt idx="0">
                  <c:v>907</c:v>
                </c:pt>
                <c:pt idx="1">
                  <c:v>1168</c:v>
                </c:pt>
                <c:pt idx="2">
                  <c:v>975.97148000000004</c:v>
                </c:pt>
                <c:pt idx="3">
                  <c:v>1014.4171709999954</c:v>
                </c:pt>
                <c:pt idx="4">
                  <c:v>787.6323849999992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58-4284-99CD-3A740B320AF6}"/>
            </c:ext>
          </c:extLst>
        </c:ser>
        <c:ser>
          <c:idx val="1"/>
          <c:order val="1"/>
          <c:tx>
            <c:strRef>
              <c:f>'1.투자'!$D$484</c:f>
              <c:strCache>
                <c:ptCount val="1"/>
                <c:pt idx="0">
                  <c:v> 농식품부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'1.투자'!$E$482:$I$482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'1.투자'!$E$484:$I$484</c:f>
              <c:numCache>
                <c:formatCode>_(* #,##0_);_(* \(#,##0\);_(* "-"_);_(@_)</c:formatCode>
                <c:ptCount val="5"/>
                <c:pt idx="0">
                  <c:v>1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58-4284-99CD-3A740B320AF6}"/>
            </c:ext>
          </c:extLst>
        </c:ser>
        <c:ser>
          <c:idx val="2"/>
          <c:order val="2"/>
          <c:tx>
            <c:strRef>
              <c:f>'1.투자'!$D$485</c:f>
              <c:strCache>
                <c:ptCount val="1"/>
                <c:pt idx="0">
                  <c:v> 산업부 </c:v>
                </c:pt>
              </c:strCache>
            </c:strRef>
          </c:tx>
          <c:spPr>
            <a:solidFill>
              <a:srgbClr val="3CADB8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'1.투자'!$E$482:$I$482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'1.투자'!$E$485:$I$485</c:f>
              <c:numCache>
                <c:formatCode>_(* #,##0_);_(* \(#,##0\);_(* "-"_);_(@_)</c:formatCode>
                <c:ptCount val="5"/>
                <c:pt idx="0">
                  <c:v>303</c:v>
                </c:pt>
                <c:pt idx="1">
                  <c:v>176</c:v>
                </c:pt>
                <c:pt idx="2">
                  <c:v>158.63499999999999</c:v>
                </c:pt>
                <c:pt idx="3">
                  <c:v>239.29999999999998</c:v>
                </c:pt>
                <c:pt idx="4">
                  <c:v>284.60999999999996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58-4284-99CD-3A740B320AF6}"/>
            </c:ext>
          </c:extLst>
        </c:ser>
        <c:ser>
          <c:idx val="3"/>
          <c:order val="3"/>
          <c:tx>
            <c:strRef>
              <c:f>'1.투자'!$D$486</c:f>
              <c:strCache>
                <c:ptCount val="1"/>
                <c:pt idx="0">
                  <c:v> 복지부 </c:v>
                </c:pt>
              </c:strCache>
            </c:strRef>
          </c:tx>
          <c:spPr>
            <a:solidFill>
              <a:srgbClr val="F4A42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'1.투자'!$E$482:$I$482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'1.투자'!$E$486:$I$486</c:f>
              <c:numCache>
                <c:formatCode>_(* #,##0_);_(* \(#,##0\);_(* "-"_);_(@_)</c:formatCode>
                <c:ptCount val="5"/>
                <c:pt idx="0">
                  <c:v>487</c:v>
                </c:pt>
                <c:pt idx="1">
                  <c:v>497</c:v>
                </c:pt>
                <c:pt idx="2">
                  <c:v>539.12828300000012</c:v>
                </c:pt>
                <c:pt idx="3">
                  <c:v>587.23966909999922</c:v>
                </c:pt>
                <c:pt idx="4">
                  <c:v>749.92528090000064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58-4284-99CD-3A740B320AF6}"/>
            </c:ext>
          </c:extLst>
        </c:ser>
        <c:ser>
          <c:idx val="4"/>
          <c:order val="4"/>
          <c:tx>
            <c:strRef>
              <c:f>'1.투자'!$D$487</c:f>
              <c:strCache>
                <c:ptCount val="1"/>
                <c:pt idx="0">
                  <c:v> 교육부 </c:v>
                </c:pt>
              </c:strCache>
            </c:strRef>
          </c:tx>
          <c:spPr>
            <a:solidFill>
              <a:srgbClr val="7E8DC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'1.투자'!$E$482:$I$482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'1.투자'!$E$487:$I$487</c:f>
              <c:numCache>
                <c:formatCode>_(* #,##0_);_(* \(#,##0\);_(* "-"_);_(@_)</c:formatCode>
                <c:ptCount val="5"/>
                <c:pt idx="0">
                  <c:v>15</c:v>
                </c:pt>
                <c:pt idx="1">
                  <c:v>11</c:v>
                </c:pt>
                <c:pt idx="2">
                  <c:v>13.957284999999999</c:v>
                </c:pt>
                <c:pt idx="3">
                  <c:v>13.491804999999999</c:v>
                </c:pt>
                <c:pt idx="4">
                  <c:v>38.984990000000003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58-4284-99CD-3A740B320AF6}"/>
            </c:ext>
          </c:extLst>
        </c:ser>
        <c:ser>
          <c:idx val="5"/>
          <c:order val="5"/>
          <c:tx>
            <c:strRef>
              <c:f>'1.투자'!$D$488</c:f>
              <c:strCache>
                <c:ptCount val="1"/>
                <c:pt idx="0">
                  <c:v> 기타 </c:v>
                </c:pt>
              </c:strCache>
            </c:strRef>
          </c:tx>
          <c:spPr>
            <a:solidFill>
              <a:srgbClr val="BCBD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'1.투자'!$E$482:$I$482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'1.투자'!$E$488:$I$488</c:f>
              <c:numCache>
                <c:formatCode>_(* #,##0_);_(* \(#,##0\);_(* "-"_);_(@_)</c:formatCode>
                <c:ptCount val="5"/>
                <c:pt idx="0">
                  <c:v>27</c:v>
                </c:pt>
                <c:pt idx="1">
                  <c:v>122</c:v>
                </c:pt>
                <c:pt idx="2">
                  <c:v>199.16150301999997</c:v>
                </c:pt>
                <c:pt idx="3">
                  <c:v>115.01679000000003</c:v>
                </c:pt>
                <c:pt idx="4">
                  <c:v>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58-4284-99CD-3A740B320A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770974688"/>
        <c:axId val="-770979040"/>
      </c:barChart>
      <c:lineChart>
        <c:grouping val="standard"/>
        <c:varyColors val="0"/>
        <c:ser>
          <c:idx val="6"/>
          <c:order val="6"/>
          <c:tx>
            <c:strRef>
              <c:f>'1.투자'!$D$489</c:f>
              <c:strCache>
                <c:ptCount val="1"/>
                <c:pt idx="0">
                  <c:v> 합계 </c:v>
                </c:pt>
              </c:strCache>
            </c:strRef>
          </c:tx>
          <c:spPr>
            <a:ln w="28575" cap="rnd">
              <a:solidFill>
                <a:srgbClr val="3DA4D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3DA4D9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'1.투자'!$E$482:$I$482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'1.투자'!$E$489:$I$489</c:f>
              <c:numCache>
                <c:formatCode>_(* #,##0_);_(* \(#,##0\);_(* "-"_);_(@_)</c:formatCode>
                <c:ptCount val="5"/>
                <c:pt idx="0">
                  <c:v>1741</c:v>
                </c:pt>
                <c:pt idx="1">
                  <c:v>1977</c:v>
                </c:pt>
                <c:pt idx="2">
                  <c:v>1887</c:v>
                </c:pt>
                <c:pt idx="3">
                  <c:v>1969.4654350999949</c:v>
                </c:pt>
                <c:pt idx="4">
                  <c:v>2096.1526558999994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D58-4284-99CD-3A740B320A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70974144"/>
        <c:axId val="-770976320"/>
      </c:lineChart>
      <c:catAx>
        <c:axId val="-770974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70979040"/>
        <c:crosses val="autoZero"/>
        <c:auto val="1"/>
        <c:lblAlgn val="ctr"/>
        <c:lblOffset val="100"/>
        <c:noMultiLvlLbl val="0"/>
      </c:catAx>
      <c:valAx>
        <c:axId val="-770979040"/>
        <c:scaling>
          <c:orientation val="minMax"/>
          <c:max val="1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70974688"/>
        <c:crosses val="autoZero"/>
        <c:crossBetween val="between"/>
      </c:valAx>
      <c:valAx>
        <c:axId val="-770976320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70974144"/>
        <c:crosses val="max"/>
        <c:crossBetween val="between"/>
      </c:valAx>
      <c:catAx>
        <c:axId val="-7709741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7709763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'1.투자'!$D$513</c:f>
              <c:strCache>
                <c:ptCount val="1"/>
                <c:pt idx="0">
                  <c:v> 과기정통부 </c:v>
                </c:pt>
              </c:strCache>
            </c:strRef>
          </c:tx>
          <c:spPr>
            <a:solidFill>
              <a:srgbClr val="3DA4D9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'1.투자'!$E$512:$I$512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 </c:v>
                </c:pt>
                <c:pt idx="4">
                  <c:v> 2020년 </c:v>
                </c:pt>
              </c:strCache>
            </c:strRef>
          </c:cat>
          <c:val>
            <c:numRef>
              <c:f>'1.투자'!$E$513:$I$513</c:f>
              <c:numCache>
                <c:formatCode>_(* #,##0_);_(* \(#,##0\);_(* "-"_);_(@_)</c:formatCode>
                <c:ptCount val="5"/>
                <c:pt idx="0">
                  <c:v>1316</c:v>
                </c:pt>
                <c:pt idx="1">
                  <c:v>1481</c:v>
                </c:pt>
                <c:pt idx="2" formatCode="#,##0_ ">
                  <c:v>1610.6962415200005</c:v>
                </c:pt>
                <c:pt idx="3" formatCode="#,##0_ ">
                  <c:v>1835.2159797400009</c:v>
                </c:pt>
                <c:pt idx="4" formatCode="_(* #,##0_);_(* \(#,##0\);_(* &quot;-&quot;_);_(@_)">
                  <c:v>1903.685118580001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71-4DE4-AD93-56085C874A4E}"/>
            </c:ext>
          </c:extLst>
        </c:ser>
        <c:ser>
          <c:idx val="1"/>
          <c:order val="1"/>
          <c:tx>
            <c:strRef>
              <c:f>'1.투자'!$D$514</c:f>
              <c:strCache>
                <c:ptCount val="1"/>
                <c:pt idx="0">
                  <c:v> 농식품부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'1.투자'!$E$512:$I$512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 </c:v>
                </c:pt>
                <c:pt idx="4">
                  <c:v> 2020년 </c:v>
                </c:pt>
              </c:strCache>
            </c:strRef>
          </c:cat>
          <c:val>
            <c:numRef>
              <c:f>'1.투자'!$E$514:$I$514</c:f>
              <c:numCache>
                <c:formatCode>_(* #,##0_);_(* \(#,##0\);_(* "-"_);_(@_)</c:formatCode>
                <c:ptCount val="5"/>
                <c:pt idx="0">
                  <c:v>15</c:v>
                </c:pt>
                <c:pt idx="1">
                  <c:v>0</c:v>
                </c:pt>
                <c:pt idx="2" formatCode="#,##0_ ">
                  <c:v>2.68</c:v>
                </c:pt>
                <c:pt idx="3" formatCode="#,##0_ ">
                  <c:v>2.68</c:v>
                </c:pt>
                <c:pt idx="4" formatCode="_(* #,##0_);_(* \(#,##0\);_(* &quot;-&quot;_);_(@_)">
                  <c:v>2.6799999999999997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71-4DE4-AD93-56085C874A4E}"/>
            </c:ext>
          </c:extLst>
        </c:ser>
        <c:ser>
          <c:idx val="2"/>
          <c:order val="2"/>
          <c:tx>
            <c:strRef>
              <c:f>'1.투자'!$D$515</c:f>
              <c:strCache>
                <c:ptCount val="1"/>
                <c:pt idx="0">
                  <c:v> 산업부 </c:v>
                </c:pt>
              </c:strCache>
            </c:strRef>
          </c:tx>
          <c:spPr>
            <a:solidFill>
              <a:srgbClr val="3CADB8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'1.투자'!$E$512:$I$512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 </c:v>
                </c:pt>
                <c:pt idx="4">
                  <c:v> 2020년 </c:v>
                </c:pt>
              </c:strCache>
            </c:strRef>
          </c:cat>
          <c:val>
            <c:numRef>
              <c:f>'1.투자'!$E$515:$I$515</c:f>
              <c:numCache>
                <c:formatCode>_(* #,##0_);_(* \(#,##0\);_(* "-"_);_(@_)</c:formatCode>
                <c:ptCount val="5"/>
                <c:pt idx="0">
                  <c:v>73</c:v>
                </c:pt>
                <c:pt idx="1">
                  <c:v>79</c:v>
                </c:pt>
                <c:pt idx="2" formatCode="#,##0_ ">
                  <c:v>63.540000000000006</c:v>
                </c:pt>
                <c:pt idx="3" formatCode="#,##0_ ">
                  <c:v>43.44</c:v>
                </c:pt>
                <c:pt idx="4" formatCode="_(* #,##0_);_(* \(#,##0\);_(* &quot;-&quot;_);_(@_)">
                  <c:v>44.265129999999999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71-4DE4-AD93-56085C874A4E}"/>
            </c:ext>
          </c:extLst>
        </c:ser>
        <c:ser>
          <c:idx val="3"/>
          <c:order val="3"/>
          <c:tx>
            <c:strRef>
              <c:f>'1.투자'!$D$516</c:f>
              <c:strCache>
                <c:ptCount val="1"/>
                <c:pt idx="0">
                  <c:v> 복지부 </c:v>
                </c:pt>
              </c:strCache>
            </c:strRef>
          </c:tx>
          <c:spPr>
            <a:solidFill>
              <a:srgbClr val="F4A42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'1.투자'!$E$512:$I$512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 </c:v>
                </c:pt>
                <c:pt idx="4">
                  <c:v> 2020년 </c:v>
                </c:pt>
              </c:strCache>
            </c:strRef>
          </c:cat>
          <c:val>
            <c:numRef>
              <c:f>'1.투자'!$E$516:$I$516</c:f>
              <c:numCache>
                <c:formatCode>_(* #,##0_);_(* \(#,##0\);_(* "-"_);_(@_)</c:formatCode>
                <c:ptCount val="5"/>
                <c:pt idx="0">
                  <c:v>266</c:v>
                </c:pt>
                <c:pt idx="1">
                  <c:v>226</c:v>
                </c:pt>
                <c:pt idx="2" formatCode="#,##0_ ">
                  <c:v>291.70862999999997</c:v>
                </c:pt>
                <c:pt idx="3" formatCode="#,##0_ ">
                  <c:v>325.31308159999992</c:v>
                </c:pt>
                <c:pt idx="4" formatCode="_(* #,##0_);_(* \(#,##0\);_(* &quot;-&quot;_);_(@_)">
                  <c:v>347.52054770000001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71-4DE4-AD93-56085C874A4E}"/>
            </c:ext>
          </c:extLst>
        </c:ser>
        <c:ser>
          <c:idx val="4"/>
          <c:order val="4"/>
          <c:tx>
            <c:strRef>
              <c:f>'1.투자'!$D$517</c:f>
              <c:strCache>
                <c:ptCount val="1"/>
                <c:pt idx="0">
                  <c:v> 교육부 </c:v>
                </c:pt>
              </c:strCache>
            </c:strRef>
          </c:tx>
          <c:spPr>
            <a:solidFill>
              <a:srgbClr val="7E8DC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'1.투자'!$E$512:$I$512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 </c:v>
                </c:pt>
                <c:pt idx="4">
                  <c:v> 2020년 </c:v>
                </c:pt>
              </c:strCache>
            </c:strRef>
          </c:cat>
          <c:val>
            <c:numRef>
              <c:f>'1.투자'!$E$517:$H$517</c:f>
              <c:numCache>
                <c:formatCode>_(* #,##0_);_(* \(#,##0\);_(* "-"_);_(@_)</c:formatCode>
                <c:ptCount val="4"/>
                <c:pt idx="0">
                  <c:v>99</c:v>
                </c:pt>
                <c:pt idx="1">
                  <c:v>66</c:v>
                </c:pt>
                <c:pt idx="2" formatCode="#,##0_ ">
                  <c:v>87.850670000000051</c:v>
                </c:pt>
                <c:pt idx="3" formatCode="#,##0_ ">
                  <c:v>126.11652500000015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71-4DE4-AD93-56085C874A4E}"/>
            </c:ext>
          </c:extLst>
        </c:ser>
        <c:ser>
          <c:idx val="5"/>
          <c:order val="5"/>
          <c:tx>
            <c:strRef>
              <c:f>'1.투자'!$D$518</c:f>
              <c:strCache>
                <c:ptCount val="1"/>
                <c:pt idx="0">
                  <c:v> 기타 </c:v>
                </c:pt>
              </c:strCache>
            </c:strRef>
          </c:tx>
          <c:spPr>
            <a:solidFill>
              <a:srgbClr val="BCBDC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BCBD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A071-4DE4-AD93-56085C874A4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'1.투자'!$E$512:$I$512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 </c:v>
                </c:pt>
                <c:pt idx="4">
                  <c:v> 2020년 </c:v>
                </c:pt>
              </c:strCache>
            </c:strRef>
          </c:cat>
          <c:val>
            <c:numRef>
              <c:f>'1.투자'!$E$518:$I$518</c:f>
              <c:numCache>
                <c:formatCode>_(* #,##0_);_(* \(#,##0\);_(* "-"_);_(@_)</c:formatCode>
                <c:ptCount val="5"/>
                <c:pt idx="0">
                  <c:v>15</c:v>
                </c:pt>
                <c:pt idx="1">
                  <c:v>34</c:v>
                </c:pt>
                <c:pt idx="2" formatCode="#,##0_ ">
                  <c:v>40.774856040000003</c:v>
                </c:pt>
                <c:pt idx="3" formatCode="#,##0_ ">
                  <c:v>54.09113</c:v>
                </c:pt>
                <c:pt idx="4" formatCode="_(* #,##0_);_(* \(#,##0\);_(* &quot;-&quot;_);_(@_)">
                  <c:v>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71-4DE4-AD93-56085C874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770975776"/>
        <c:axId val="-770973056"/>
      </c:barChart>
      <c:lineChart>
        <c:grouping val="standard"/>
        <c:varyColors val="0"/>
        <c:ser>
          <c:idx val="6"/>
          <c:order val="6"/>
          <c:tx>
            <c:strRef>
              <c:f>'1.투자'!$D$519</c:f>
              <c:strCache>
                <c:ptCount val="1"/>
                <c:pt idx="0">
                  <c:v> 합계 </c:v>
                </c:pt>
              </c:strCache>
            </c:strRef>
          </c:tx>
          <c:spPr>
            <a:ln w="28575" cap="rnd">
              <a:solidFill>
                <a:srgbClr val="3DA4D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3DA4D9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'1.투자'!$E$482:$I$482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'1.투자'!$E$519:$I$519</c:f>
              <c:numCache>
                <c:formatCode>_(* #,##0_);_(* \(#,##0\);_(* "-"_);_(@_)</c:formatCode>
                <c:ptCount val="5"/>
                <c:pt idx="0">
                  <c:v>1784</c:v>
                </c:pt>
                <c:pt idx="1">
                  <c:v>1886</c:v>
                </c:pt>
                <c:pt idx="2">
                  <c:v>2097.2503975600007</c:v>
                </c:pt>
                <c:pt idx="3">
                  <c:v>2386.8567163400012</c:v>
                </c:pt>
                <c:pt idx="4">
                  <c:v>2570.1503356500011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071-4DE4-AD93-56085C874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70971968"/>
        <c:axId val="-770973600"/>
      </c:lineChart>
      <c:catAx>
        <c:axId val="-77097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70973056"/>
        <c:crosses val="autoZero"/>
        <c:auto val="1"/>
        <c:lblAlgn val="ctr"/>
        <c:lblOffset val="100"/>
        <c:noMultiLvlLbl val="0"/>
      </c:catAx>
      <c:valAx>
        <c:axId val="-770973056"/>
        <c:scaling>
          <c:orientation val="minMax"/>
          <c:max val="1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70975776"/>
        <c:crosses val="autoZero"/>
        <c:crossBetween val="between"/>
      </c:valAx>
      <c:valAx>
        <c:axId val="-770973600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70971968"/>
        <c:crosses val="max"/>
        <c:crossBetween val="between"/>
      </c:valAx>
      <c:catAx>
        <c:axId val="-7709719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7709736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'1.투자'!$D$543</c:f>
              <c:strCache>
                <c:ptCount val="1"/>
                <c:pt idx="0">
                  <c:v> 과기정통부 </c:v>
                </c:pt>
              </c:strCache>
            </c:strRef>
          </c:tx>
          <c:spPr>
            <a:solidFill>
              <a:srgbClr val="3DA4D9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'1.투자'!$E$542:$I$542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'1.투자'!$E$543:$I$543</c:f>
              <c:numCache>
                <c:formatCode>_(* #,##0_);_(* \(#,##0\);_(* "-"_);_(@_)</c:formatCode>
                <c:ptCount val="5"/>
                <c:pt idx="0">
                  <c:v>636</c:v>
                </c:pt>
                <c:pt idx="1">
                  <c:v>642</c:v>
                </c:pt>
                <c:pt idx="2" formatCode="#,##0_ ">
                  <c:v>601.04963671999997</c:v>
                </c:pt>
                <c:pt idx="3" formatCode="#,##0_ ">
                  <c:v>686.32531615000164</c:v>
                </c:pt>
                <c:pt idx="4" formatCode="_(* #,##0_);_(* \(#,##0\);_(* &quot;-&quot;_);_(@_)">
                  <c:v>720.41551745000004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9D-4F19-9652-41BEB01A2CD5}"/>
            </c:ext>
          </c:extLst>
        </c:ser>
        <c:ser>
          <c:idx val="1"/>
          <c:order val="1"/>
          <c:tx>
            <c:strRef>
              <c:f>'1.투자'!$D$544</c:f>
              <c:strCache>
                <c:ptCount val="1"/>
                <c:pt idx="0">
                  <c:v> 농식품부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'1.투자'!$E$542:$I$542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'1.투자'!$E$544:$I$544</c:f>
              <c:numCache>
                <c:formatCode>_(* #,##0_);_(* \(#,##0\);_(* "-"_);_(@_)</c:formatCode>
                <c:ptCount val="5"/>
                <c:pt idx="0">
                  <c:v>87</c:v>
                </c:pt>
                <c:pt idx="1">
                  <c:v>72</c:v>
                </c:pt>
                <c:pt idx="2" formatCode="#,##0_ ">
                  <c:v>13.033809999999999</c:v>
                </c:pt>
                <c:pt idx="3" formatCode="#,##0_ ">
                  <c:v>9.8442999999999987</c:v>
                </c:pt>
                <c:pt idx="4" formatCode="_(* #,##0_);_(* \(#,##0\);_(* &quot;-&quot;_);_(@_)">
                  <c:v>2.66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9D-4F19-9652-41BEB01A2CD5}"/>
            </c:ext>
          </c:extLst>
        </c:ser>
        <c:ser>
          <c:idx val="2"/>
          <c:order val="2"/>
          <c:tx>
            <c:strRef>
              <c:f>'1.투자'!$D$545</c:f>
              <c:strCache>
                <c:ptCount val="1"/>
                <c:pt idx="0">
                  <c:v> 산업부 </c:v>
                </c:pt>
              </c:strCache>
            </c:strRef>
          </c:tx>
          <c:spPr>
            <a:solidFill>
              <a:srgbClr val="3CADB8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'1.투자'!$E$542:$I$542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'1.투자'!$E$545:$I$545</c:f>
              <c:numCache>
                <c:formatCode>_(* #,##0_);_(* \(#,##0\);_(* "-"_);_(@_)</c:formatCode>
                <c:ptCount val="5"/>
                <c:pt idx="0">
                  <c:v>47</c:v>
                </c:pt>
                <c:pt idx="1">
                  <c:v>90</c:v>
                </c:pt>
                <c:pt idx="2" formatCode="#,##0_ ">
                  <c:v>91.242750000000001</c:v>
                </c:pt>
                <c:pt idx="3" formatCode="#,##0_ ">
                  <c:v>69.684999999999988</c:v>
                </c:pt>
                <c:pt idx="4" formatCode="_(* #,##0_);_(* \(#,##0\);_(* &quot;-&quot;_);_(@_)">
                  <c:v>94.66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9D-4F19-9652-41BEB01A2CD5}"/>
            </c:ext>
          </c:extLst>
        </c:ser>
        <c:ser>
          <c:idx val="3"/>
          <c:order val="3"/>
          <c:tx>
            <c:strRef>
              <c:f>'1.투자'!$D$546</c:f>
              <c:strCache>
                <c:ptCount val="1"/>
                <c:pt idx="0">
                  <c:v> 복지부 </c:v>
                </c:pt>
              </c:strCache>
            </c:strRef>
          </c:tx>
          <c:spPr>
            <a:solidFill>
              <a:srgbClr val="F4A42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'1.투자'!$E$542:$I$542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'1.투자'!$E$546:$I$546</c:f>
              <c:numCache>
                <c:formatCode>_(* #,##0_);_(* \(#,##0\);_(* "-"_);_(@_)</c:formatCode>
                <c:ptCount val="5"/>
                <c:pt idx="0">
                  <c:v>402</c:v>
                </c:pt>
                <c:pt idx="1">
                  <c:v>347</c:v>
                </c:pt>
                <c:pt idx="2" formatCode="#,##0_ ">
                  <c:v>392.41163173999996</c:v>
                </c:pt>
                <c:pt idx="3" formatCode="#,##0_ ">
                  <c:v>286.15044</c:v>
                </c:pt>
                <c:pt idx="4" formatCode="_(* #,##0_);_(* \(#,##0\);_(* &quot;-&quot;_);_(@_)">
                  <c:v>331.86784000000006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F9D-4F19-9652-41BEB01A2CD5}"/>
            </c:ext>
          </c:extLst>
        </c:ser>
        <c:ser>
          <c:idx val="4"/>
          <c:order val="4"/>
          <c:tx>
            <c:strRef>
              <c:f>'1.투자'!$D$547</c:f>
              <c:strCache>
                <c:ptCount val="1"/>
                <c:pt idx="0">
                  <c:v> 교육부 </c:v>
                </c:pt>
              </c:strCache>
            </c:strRef>
          </c:tx>
          <c:spPr>
            <a:solidFill>
              <a:srgbClr val="7E8DC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'1.투자'!$E$542:$I$542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'1.투자'!$E$547:$H$547</c:f>
              <c:numCache>
                <c:formatCode>_(* #,##0_);_(* \(#,##0\);_(* "-"_);_(@_)</c:formatCode>
                <c:ptCount val="4"/>
                <c:pt idx="0">
                  <c:v>77</c:v>
                </c:pt>
                <c:pt idx="1">
                  <c:v>57</c:v>
                </c:pt>
                <c:pt idx="2" formatCode="#,##0_ ">
                  <c:v>62.444849999999995</c:v>
                </c:pt>
                <c:pt idx="3" formatCode="#,##0_ ">
                  <c:v>64.490065000000044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F9D-4F19-9652-41BEB01A2CD5}"/>
            </c:ext>
          </c:extLst>
        </c:ser>
        <c:ser>
          <c:idx val="5"/>
          <c:order val="5"/>
          <c:tx>
            <c:strRef>
              <c:f>'1.투자'!$D$548</c:f>
              <c:strCache>
                <c:ptCount val="1"/>
                <c:pt idx="0">
                  <c:v> 기타 </c:v>
                </c:pt>
              </c:strCache>
            </c:strRef>
          </c:tx>
          <c:spPr>
            <a:solidFill>
              <a:srgbClr val="BCBD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'1.투자'!$E$542:$I$542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'1.투자'!$E$548:$I$548</c:f>
              <c:numCache>
                <c:formatCode>_(* #,##0_);_(* \(#,##0\);_(* "-"_);_(@_)</c:formatCode>
                <c:ptCount val="5"/>
                <c:pt idx="0">
                  <c:v>33</c:v>
                </c:pt>
                <c:pt idx="1">
                  <c:v>58</c:v>
                </c:pt>
                <c:pt idx="2" formatCode="#,##0_ ">
                  <c:v>35.100580000000001</c:v>
                </c:pt>
                <c:pt idx="3" formatCode="#,##0_ ">
                  <c:v>53.928489999999996</c:v>
                </c:pt>
                <c:pt idx="4" formatCode="_(* #,##0_);_(* \(#,##0\);_(* &quot;-&quot;_);_(@_)">
                  <c:v>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F9D-4F19-9652-41BEB01A2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770975232"/>
        <c:axId val="-770968704"/>
      </c:barChart>
      <c:lineChart>
        <c:grouping val="standard"/>
        <c:varyColors val="0"/>
        <c:ser>
          <c:idx val="6"/>
          <c:order val="6"/>
          <c:tx>
            <c:strRef>
              <c:f>'1.투자'!$D$549</c:f>
              <c:strCache>
                <c:ptCount val="1"/>
                <c:pt idx="0">
                  <c:v> 합계 </c:v>
                </c:pt>
              </c:strCache>
            </c:strRef>
          </c:tx>
          <c:spPr>
            <a:ln w="28575" cap="rnd">
              <a:solidFill>
                <a:srgbClr val="3DA4D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3DA4D9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'1.투자'!$E$542:$I$542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'1.투자'!$E$549:$I$549</c:f>
              <c:numCache>
                <c:formatCode>_(* #,##0_);_(* \(#,##0\);_(* "-"_);_(@_)</c:formatCode>
                <c:ptCount val="5"/>
                <c:pt idx="0">
                  <c:v>1282</c:v>
                </c:pt>
                <c:pt idx="1">
                  <c:v>1265</c:v>
                </c:pt>
                <c:pt idx="2">
                  <c:v>1195.2832584600001</c:v>
                </c:pt>
                <c:pt idx="3">
                  <c:v>1170.4236111500015</c:v>
                </c:pt>
                <c:pt idx="4">
                  <c:v>1334.2422824499999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F9D-4F19-9652-41BEB01A2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70967072"/>
        <c:axId val="-770971424"/>
      </c:lineChart>
      <c:catAx>
        <c:axId val="-770975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70968704"/>
        <c:crosses val="autoZero"/>
        <c:auto val="1"/>
        <c:lblAlgn val="ctr"/>
        <c:lblOffset val="100"/>
        <c:noMultiLvlLbl val="0"/>
      </c:catAx>
      <c:valAx>
        <c:axId val="-770968704"/>
        <c:scaling>
          <c:orientation val="minMax"/>
          <c:max val="1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70975232"/>
        <c:crosses val="autoZero"/>
        <c:crossBetween val="between"/>
      </c:valAx>
      <c:valAx>
        <c:axId val="-770971424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70967072"/>
        <c:crosses val="max"/>
        <c:crossBetween val="between"/>
      </c:valAx>
      <c:catAx>
        <c:axId val="-7709670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770971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'1.투자'!$D$573</c:f>
              <c:strCache>
                <c:ptCount val="1"/>
                <c:pt idx="0">
                  <c:v> 과기정통부 </c:v>
                </c:pt>
              </c:strCache>
            </c:strRef>
          </c:tx>
          <c:spPr>
            <a:solidFill>
              <a:srgbClr val="3DA4D9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'1.투자'!$E$572:$I$572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'1.투자'!$E$573:$I$573</c:f>
              <c:numCache>
                <c:formatCode>_(* #,##0_);_(* \(#,##0\);_(* "-"_);_(@_)</c:formatCode>
                <c:ptCount val="5"/>
                <c:pt idx="0">
                  <c:v>754</c:v>
                </c:pt>
                <c:pt idx="1">
                  <c:v>1078</c:v>
                </c:pt>
                <c:pt idx="2">
                  <c:v>861.3937355999999</c:v>
                </c:pt>
                <c:pt idx="3">
                  <c:v>964.22191395999846</c:v>
                </c:pt>
                <c:pt idx="4" formatCode="0">
                  <c:v>949.30423499999881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50-4EFB-BFFB-2D149EA74F6D}"/>
            </c:ext>
          </c:extLst>
        </c:ser>
        <c:ser>
          <c:idx val="1"/>
          <c:order val="1"/>
          <c:tx>
            <c:strRef>
              <c:f>'1.투자'!$D$574</c:f>
              <c:strCache>
                <c:ptCount val="1"/>
                <c:pt idx="0">
                  <c:v> 농식품부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'1.투자'!$E$572:$I$572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'1.투자'!$E$574:$I$574</c:f>
              <c:numCache>
                <c:formatCode>_(* #,##0_);_(* \(#,##0\);_(* "-"_);_(@_)</c:formatCode>
                <c:ptCount val="5"/>
                <c:pt idx="0">
                  <c:v>274</c:v>
                </c:pt>
                <c:pt idx="1">
                  <c:v>248</c:v>
                </c:pt>
                <c:pt idx="2">
                  <c:v>464.48033000000009</c:v>
                </c:pt>
                <c:pt idx="3">
                  <c:v>486.09973999999971</c:v>
                </c:pt>
                <c:pt idx="4" formatCode="0">
                  <c:v>512.09996999999987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50-4EFB-BFFB-2D149EA74F6D}"/>
            </c:ext>
          </c:extLst>
        </c:ser>
        <c:ser>
          <c:idx val="2"/>
          <c:order val="2"/>
          <c:tx>
            <c:strRef>
              <c:f>'1.투자'!$D$575</c:f>
              <c:strCache>
                <c:ptCount val="1"/>
                <c:pt idx="0">
                  <c:v> 산업부 </c:v>
                </c:pt>
              </c:strCache>
            </c:strRef>
          </c:tx>
          <c:spPr>
            <a:solidFill>
              <a:srgbClr val="3CADB8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'1.투자'!$E$572:$I$572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'1.투자'!$E$575:$I$575</c:f>
              <c:numCache>
                <c:formatCode>_(* #,##0_);_(* \(#,##0\);_(* "-"_);_(@_)</c:formatCode>
                <c:ptCount val="5"/>
                <c:pt idx="0">
                  <c:v>98</c:v>
                </c:pt>
                <c:pt idx="1">
                  <c:v>80</c:v>
                </c:pt>
                <c:pt idx="2">
                  <c:v>65.31</c:v>
                </c:pt>
                <c:pt idx="3">
                  <c:v>48.469999999999992</c:v>
                </c:pt>
                <c:pt idx="4" formatCode="0">
                  <c:v>50.71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50-4EFB-BFFB-2D149EA74F6D}"/>
            </c:ext>
          </c:extLst>
        </c:ser>
        <c:ser>
          <c:idx val="3"/>
          <c:order val="3"/>
          <c:tx>
            <c:strRef>
              <c:f>'1.투자'!$D$576</c:f>
              <c:strCache>
                <c:ptCount val="1"/>
                <c:pt idx="0">
                  <c:v> 복지부 </c:v>
                </c:pt>
              </c:strCache>
            </c:strRef>
          </c:tx>
          <c:spPr>
            <a:solidFill>
              <a:srgbClr val="F4A42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'1.투자'!$E$572:$I$572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'1.투자'!$E$576:$I$576</c:f>
              <c:numCache>
                <c:formatCode>_(* #,##0_);_(* \(#,##0\);_(* "-"_);_(@_)</c:formatCode>
                <c:ptCount val="5"/>
                <c:pt idx="0">
                  <c:v>419</c:v>
                </c:pt>
                <c:pt idx="1">
                  <c:v>414</c:v>
                </c:pt>
                <c:pt idx="2">
                  <c:v>322.36430364</c:v>
                </c:pt>
                <c:pt idx="3">
                  <c:v>341.37581000000011</c:v>
                </c:pt>
                <c:pt idx="4" formatCode="0">
                  <c:v>331.30143999999996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50-4EFB-BFFB-2D149EA74F6D}"/>
            </c:ext>
          </c:extLst>
        </c:ser>
        <c:ser>
          <c:idx val="4"/>
          <c:order val="4"/>
          <c:tx>
            <c:strRef>
              <c:f>'1.투자'!$D$577</c:f>
              <c:strCache>
                <c:ptCount val="1"/>
                <c:pt idx="0">
                  <c:v> 교육부 </c:v>
                </c:pt>
              </c:strCache>
            </c:strRef>
          </c:tx>
          <c:spPr>
            <a:solidFill>
              <a:srgbClr val="7E8DC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'1.투자'!$E$572:$I$572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'1.투자'!$E$577:$I$577</c:f>
              <c:numCache>
                <c:formatCode>_(* #,##0_);_(* \(#,##0\);_(* "-"_);_(@_)</c:formatCode>
                <c:ptCount val="5"/>
                <c:pt idx="0">
                  <c:v>20</c:v>
                </c:pt>
                <c:pt idx="1">
                  <c:v>11</c:v>
                </c:pt>
                <c:pt idx="2">
                  <c:v>7.6066649999999996</c:v>
                </c:pt>
                <c:pt idx="3">
                  <c:v>34.123804999999983</c:v>
                </c:pt>
                <c:pt idx="4" formatCode="0">
                  <c:v>74.718170000000029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050-4EFB-BFFB-2D149EA74F6D}"/>
            </c:ext>
          </c:extLst>
        </c:ser>
        <c:ser>
          <c:idx val="5"/>
          <c:order val="5"/>
          <c:tx>
            <c:strRef>
              <c:f>'1.투자'!$D$578</c:f>
              <c:strCache>
                <c:ptCount val="1"/>
                <c:pt idx="0">
                  <c:v> 기타 </c:v>
                </c:pt>
              </c:strCache>
            </c:strRef>
          </c:tx>
          <c:spPr>
            <a:solidFill>
              <a:srgbClr val="BCBD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'1.투자'!$E$572:$I$572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'1.투자'!$E$578:$I$578</c:f>
              <c:numCache>
                <c:formatCode>_(* #,##0_);_(* \(#,##0\);_(* "-"_);_(@_)</c:formatCode>
                <c:ptCount val="5"/>
                <c:pt idx="0">
                  <c:v>117</c:v>
                </c:pt>
                <c:pt idx="1">
                  <c:v>106</c:v>
                </c:pt>
                <c:pt idx="2">
                  <c:v>130.18999517</c:v>
                </c:pt>
                <c:pt idx="3">
                  <c:v>61.142429869999987</c:v>
                </c:pt>
                <c:pt idx="4" formatCode="0">
                  <c:v>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050-4EFB-BFFB-2D149EA74F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770963808"/>
        <c:axId val="-770969792"/>
      </c:barChart>
      <c:lineChart>
        <c:grouping val="standard"/>
        <c:varyColors val="0"/>
        <c:ser>
          <c:idx val="6"/>
          <c:order val="6"/>
          <c:tx>
            <c:strRef>
              <c:f>'1.투자'!$D$579</c:f>
              <c:strCache>
                <c:ptCount val="1"/>
                <c:pt idx="0">
                  <c:v> 합계 </c:v>
                </c:pt>
              </c:strCache>
            </c:strRef>
          </c:tx>
          <c:spPr>
            <a:ln w="28575" cap="rnd">
              <a:solidFill>
                <a:srgbClr val="3DA4D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3DA4D9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'1.투자'!$E$572:$I$572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'1.투자'!$E$579:$I$579</c:f>
              <c:numCache>
                <c:formatCode>_(* #,##0_);_(* \(#,##0\);_(* "-"_);_(@_)</c:formatCode>
                <c:ptCount val="5"/>
                <c:pt idx="0">
                  <c:v>1682</c:v>
                </c:pt>
                <c:pt idx="1">
                  <c:v>1938</c:v>
                </c:pt>
                <c:pt idx="2">
                  <c:v>1851.3450294099998</c:v>
                </c:pt>
                <c:pt idx="3">
                  <c:v>1935.4336988299981</c:v>
                </c:pt>
                <c:pt idx="4">
                  <c:v>2083.1338149999988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050-4EFB-BFFB-2D149EA74F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70970880"/>
        <c:axId val="-770977952"/>
      </c:lineChart>
      <c:catAx>
        <c:axId val="-770963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70969792"/>
        <c:crosses val="autoZero"/>
        <c:auto val="1"/>
        <c:lblAlgn val="ctr"/>
        <c:lblOffset val="100"/>
        <c:noMultiLvlLbl val="0"/>
      </c:catAx>
      <c:valAx>
        <c:axId val="-770969792"/>
        <c:scaling>
          <c:orientation val="minMax"/>
          <c:max val="1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70963808"/>
        <c:crosses val="autoZero"/>
        <c:crossBetween val="between"/>
      </c:valAx>
      <c:valAx>
        <c:axId val="-770977952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70970880"/>
        <c:crosses val="max"/>
        <c:crossBetween val="between"/>
      </c:valAx>
      <c:catAx>
        <c:axId val="-7709708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7709779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'1.투자'!$D$603</c:f>
              <c:strCache>
                <c:ptCount val="1"/>
                <c:pt idx="0">
                  <c:v> 과기정통부 </c:v>
                </c:pt>
              </c:strCache>
            </c:strRef>
          </c:tx>
          <c:spPr>
            <a:solidFill>
              <a:srgbClr val="3DA4D9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'1.투자'!$E$602:$I$602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'1.투자'!$E$603:$I$603</c:f>
              <c:numCache>
                <c:formatCode>_(* #,##0_);_(* \(#,##0\);_(* "-"_);_(@_)</c:formatCode>
                <c:ptCount val="5"/>
                <c:pt idx="0">
                  <c:v>460</c:v>
                </c:pt>
                <c:pt idx="1">
                  <c:v>589</c:v>
                </c:pt>
                <c:pt idx="2" formatCode="#,##0_ ">
                  <c:v>571.23938622000026</c:v>
                </c:pt>
                <c:pt idx="3" formatCode="#,##0_ ">
                  <c:v>567.60765000000004</c:v>
                </c:pt>
                <c:pt idx="4" formatCode="0">
                  <c:v>525.23633763999987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BE-4E81-9E08-FB9C656A21D5}"/>
            </c:ext>
          </c:extLst>
        </c:ser>
        <c:ser>
          <c:idx val="1"/>
          <c:order val="1"/>
          <c:tx>
            <c:strRef>
              <c:f>'1.투자'!$D$604</c:f>
              <c:strCache>
                <c:ptCount val="1"/>
                <c:pt idx="0">
                  <c:v> 농식품부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'1.투자'!$E$602:$I$602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'1.투자'!$E$604:$I$604</c:f>
              <c:numCache>
                <c:formatCode>_(* #,##0_);_(* \(#,##0\);_(* "-"_);_(@_)</c:formatCode>
                <c:ptCount val="5"/>
                <c:pt idx="0">
                  <c:v>651</c:v>
                </c:pt>
                <c:pt idx="1">
                  <c:v>818</c:v>
                </c:pt>
                <c:pt idx="2" formatCode="#,##0_ ">
                  <c:v>610.58232329999987</c:v>
                </c:pt>
                <c:pt idx="3" formatCode="#,##0_ ">
                  <c:v>455.41391339999979</c:v>
                </c:pt>
                <c:pt idx="4" formatCode="0">
                  <c:v>496.39465800000033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BE-4E81-9E08-FB9C656A21D5}"/>
            </c:ext>
          </c:extLst>
        </c:ser>
        <c:ser>
          <c:idx val="2"/>
          <c:order val="2"/>
          <c:tx>
            <c:strRef>
              <c:f>'1.투자'!$D$605</c:f>
              <c:strCache>
                <c:ptCount val="1"/>
                <c:pt idx="0">
                  <c:v> 산업부 </c:v>
                </c:pt>
              </c:strCache>
            </c:strRef>
          </c:tx>
          <c:spPr>
            <a:solidFill>
              <a:srgbClr val="3CADB8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'1.투자'!$E$602:$I$602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'1.투자'!$E$605:$I$605</c:f>
              <c:numCache>
                <c:formatCode>_(* #,##0_);_(* \(#,##0\);_(* "-"_);_(@_)</c:formatCode>
                <c:ptCount val="5"/>
                <c:pt idx="0">
                  <c:v>118</c:v>
                </c:pt>
                <c:pt idx="1">
                  <c:v>61</c:v>
                </c:pt>
                <c:pt idx="2" formatCode="#,##0_ ">
                  <c:v>30.855000000000004</c:v>
                </c:pt>
                <c:pt idx="3" formatCode="#,##0_ ">
                  <c:v>42.5</c:v>
                </c:pt>
                <c:pt idx="4" formatCode="0">
                  <c:v>38.25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BE-4E81-9E08-FB9C656A21D5}"/>
            </c:ext>
          </c:extLst>
        </c:ser>
        <c:ser>
          <c:idx val="3"/>
          <c:order val="3"/>
          <c:tx>
            <c:strRef>
              <c:f>'1.투자'!$D$606</c:f>
              <c:strCache>
                <c:ptCount val="1"/>
                <c:pt idx="0">
                  <c:v> 복지부 </c:v>
                </c:pt>
              </c:strCache>
            </c:strRef>
          </c:tx>
          <c:spPr>
            <a:solidFill>
              <a:srgbClr val="F4A42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'1.투자'!$E$602:$I$602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'1.투자'!$E$606:$I$606</c:f>
              <c:numCache>
                <c:formatCode>_(* #,##0_);_(* \(#,##0\);_(* "-"_);_(@_)</c:formatCode>
                <c:ptCount val="5"/>
                <c:pt idx="0">
                  <c:v>18</c:v>
                </c:pt>
                <c:pt idx="1">
                  <c:v>38</c:v>
                </c:pt>
                <c:pt idx="2" formatCode="#,##0_ ">
                  <c:v>22.148771799999999</c:v>
                </c:pt>
                <c:pt idx="3" formatCode="#,##0_ ">
                  <c:v>15.8181818</c:v>
                </c:pt>
                <c:pt idx="4" formatCode="0">
                  <c:v>5.9181818000000002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1BE-4E81-9E08-FB9C656A21D5}"/>
            </c:ext>
          </c:extLst>
        </c:ser>
        <c:ser>
          <c:idx val="4"/>
          <c:order val="4"/>
          <c:tx>
            <c:strRef>
              <c:f>'1.투자'!$D$607</c:f>
              <c:strCache>
                <c:ptCount val="1"/>
                <c:pt idx="0">
                  <c:v> 교육부 </c:v>
                </c:pt>
              </c:strCache>
            </c:strRef>
          </c:tx>
          <c:spPr>
            <a:solidFill>
              <a:srgbClr val="7E8DC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'1.투자'!$E$602:$I$602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'1.투자'!$E$607:$I$607</c:f>
              <c:numCache>
                <c:formatCode>_(* #,##0_);_(* \(#,##0\);_(* "-"_);_(@_)</c:formatCode>
                <c:ptCount val="5"/>
                <c:pt idx="0">
                  <c:v>6</c:v>
                </c:pt>
                <c:pt idx="1">
                  <c:v>6</c:v>
                </c:pt>
                <c:pt idx="2" formatCode="#,##0_ ">
                  <c:v>5.5</c:v>
                </c:pt>
                <c:pt idx="3" formatCode="#,##0_ ">
                  <c:v>19.899999999999999</c:v>
                </c:pt>
                <c:pt idx="4" formatCode="0">
                  <c:v>44.155125000000012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BE-4E81-9E08-FB9C656A21D5}"/>
            </c:ext>
          </c:extLst>
        </c:ser>
        <c:ser>
          <c:idx val="5"/>
          <c:order val="5"/>
          <c:tx>
            <c:strRef>
              <c:f>'1.투자'!$D$608</c:f>
              <c:strCache>
                <c:ptCount val="1"/>
                <c:pt idx="0">
                  <c:v> 기타 </c:v>
                </c:pt>
              </c:strCache>
            </c:strRef>
          </c:tx>
          <c:spPr>
            <a:solidFill>
              <a:srgbClr val="BCBD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'1.투자'!$E$602:$I$602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'1.투자'!$E$608:$I$608</c:f>
              <c:numCache>
                <c:formatCode>_(* #,##0_);_(* \(#,##0\);_(* "-"_);_(@_)</c:formatCode>
                <c:ptCount val="5"/>
                <c:pt idx="0">
                  <c:v>372</c:v>
                </c:pt>
                <c:pt idx="1">
                  <c:v>425</c:v>
                </c:pt>
                <c:pt idx="2" formatCode="#,##0_ ">
                  <c:v>528.69173446999991</c:v>
                </c:pt>
                <c:pt idx="3" formatCode="#,##0_ ">
                  <c:v>449.27796244000012</c:v>
                </c:pt>
                <c:pt idx="4" formatCode="0">
                  <c:v>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1BE-4E81-9E08-FB9C656A2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770970336"/>
        <c:axId val="-770968160"/>
      </c:barChart>
      <c:lineChart>
        <c:grouping val="standard"/>
        <c:varyColors val="0"/>
        <c:ser>
          <c:idx val="6"/>
          <c:order val="6"/>
          <c:tx>
            <c:strRef>
              <c:f>'1.투자'!$D$609</c:f>
              <c:strCache>
                <c:ptCount val="1"/>
                <c:pt idx="0">
                  <c:v> 합계 </c:v>
                </c:pt>
              </c:strCache>
            </c:strRef>
          </c:tx>
          <c:spPr>
            <a:ln w="28575" cap="rnd">
              <a:solidFill>
                <a:srgbClr val="3DA4D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3DA4D9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'1.투자'!$E$602:$I$602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'1.투자'!$E$609:$I$609</c:f>
              <c:numCache>
                <c:formatCode>_(* #,##0_);_(* \(#,##0\);_(* "-"_);_(@_)</c:formatCode>
                <c:ptCount val="5"/>
                <c:pt idx="0">
                  <c:v>1624</c:v>
                </c:pt>
                <c:pt idx="1">
                  <c:v>1936</c:v>
                </c:pt>
                <c:pt idx="2">
                  <c:v>1769.0172157900001</c:v>
                </c:pt>
                <c:pt idx="3">
                  <c:v>1550.51770764</c:v>
                </c:pt>
                <c:pt idx="4">
                  <c:v>1554.9543024400002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1BE-4E81-9E08-FB9C656A2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70977408"/>
        <c:axId val="-770967616"/>
      </c:lineChart>
      <c:catAx>
        <c:axId val="-770970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70968160"/>
        <c:crosses val="autoZero"/>
        <c:auto val="1"/>
        <c:lblAlgn val="ctr"/>
        <c:lblOffset val="100"/>
        <c:noMultiLvlLbl val="0"/>
      </c:catAx>
      <c:valAx>
        <c:axId val="-770968160"/>
        <c:scaling>
          <c:orientation val="minMax"/>
          <c:max val="1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70970336"/>
        <c:crosses val="autoZero"/>
        <c:crossBetween val="between"/>
      </c:valAx>
      <c:valAx>
        <c:axId val="-770967616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70977408"/>
        <c:crosses val="max"/>
        <c:crossBetween val="between"/>
      </c:valAx>
      <c:catAx>
        <c:axId val="-7709774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7709676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'1.투자'!$D$247</c:f>
              <c:strCache>
                <c:ptCount val="1"/>
                <c:pt idx="0">
                  <c:v> 정부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'1.투자'!$E$245:$I$245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'1.투자'!$E$247:$I$247</c:f>
              <c:numCache>
                <c:formatCode>_(* #,##0_);_(* \(#,##0\);_(* "-"_);_(@_)</c:formatCode>
                <c:ptCount val="5"/>
                <c:pt idx="0">
                  <c:v>33341</c:v>
                </c:pt>
                <c:pt idx="1">
                  <c:v>34946</c:v>
                </c:pt>
                <c:pt idx="2">
                  <c:v>35494</c:v>
                </c:pt>
                <c:pt idx="3" formatCode="#,##0">
                  <c:v>36717</c:v>
                </c:pt>
                <c:pt idx="4" formatCode="#,##0">
                  <c:v>41253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E7-4CFB-B4E3-5262159AE170}"/>
            </c:ext>
          </c:extLst>
        </c:ser>
        <c:ser>
          <c:idx val="1"/>
          <c:order val="1"/>
          <c:tx>
            <c:strRef>
              <c:f>'1.투자'!$D$249</c:f>
              <c:strCache>
                <c:ptCount val="1"/>
                <c:pt idx="0">
                  <c:v> 민간 </c:v>
                </c:pt>
              </c:strCache>
            </c:strRef>
          </c:tx>
          <c:spPr>
            <a:solidFill>
              <a:srgbClr val="F4A42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'1.투자'!$E$245:$I$245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'1.투자'!$E$249:$I$249</c:f>
              <c:numCache>
                <c:formatCode>_(* #,##0_);_(* \(#,##0\);_(* "-"_);_(@_)</c:formatCode>
                <c:ptCount val="5"/>
                <c:pt idx="0">
                  <c:v>22796</c:v>
                </c:pt>
                <c:pt idx="1">
                  <c:v>27165</c:v>
                </c:pt>
                <c:pt idx="2">
                  <c:v>30907</c:v>
                </c:pt>
                <c:pt idx="3" formatCode="#,##0">
                  <c:v>39545</c:v>
                </c:pt>
                <c:pt idx="4" formatCode="#,##0">
                  <c:v>47909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E7-4CFB-B4E3-5262159AE1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770966528"/>
        <c:axId val="-770965984"/>
      </c:barChart>
      <c:catAx>
        <c:axId val="-77096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70965984"/>
        <c:crosses val="autoZero"/>
        <c:auto val="1"/>
        <c:lblAlgn val="ctr"/>
        <c:lblOffset val="100"/>
        <c:noMultiLvlLbl val="0"/>
      </c:catAx>
      <c:valAx>
        <c:axId val="-770965984"/>
        <c:scaling>
          <c:orientation val="minMax"/>
          <c:max val="6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70966528"/>
        <c:crosses val="autoZero"/>
        <c:crossBetween val="between"/>
        <c:majorUnit val="10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chemeClr val="tx1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'1.투자'!$D$186</c:f>
              <c:strCache>
                <c:ptCount val="1"/>
                <c:pt idx="0">
                  <c:v> IT(정보기술)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('1.투자'!$E$185,'1.투자'!$G$185,'1.투자'!$I$185)</c:f>
              <c:strCache>
                <c:ptCount val="3"/>
                <c:pt idx="0">
                  <c:v> 2018년 연구개발비 </c:v>
                </c:pt>
                <c:pt idx="1">
                  <c:v> 2019년 연구개발비 </c:v>
                </c:pt>
                <c:pt idx="2">
                  <c:v> 2020년 연구개발비 </c:v>
                </c:pt>
              </c:strCache>
            </c:strRef>
          </c:cat>
          <c:val>
            <c:numRef>
              <c:f>('1.투자'!$E$186,'1.투자'!$G$186,'1.투자'!$I$186)</c:f>
              <c:numCache>
                <c:formatCode>#,##0</c:formatCode>
                <c:ptCount val="3"/>
                <c:pt idx="0" formatCode="_(* #,##0_);_(* \(#,##0\);_(* &quot;-&quot;_);_(@_)">
                  <c:v>33451</c:v>
                </c:pt>
                <c:pt idx="1">
                  <c:v>34633</c:v>
                </c:pt>
                <c:pt idx="2">
                  <c:v>43168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C2-43EC-A6FD-F5F16BAE99E0}"/>
            </c:ext>
          </c:extLst>
        </c:ser>
        <c:ser>
          <c:idx val="1"/>
          <c:order val="1"/>
          <c:tx>
            <c:strRef>
              <c:f>'1.투자'!$D$187</c:f>
              <c:strCache>
                <c:ptCount val="1"/>
                <c:pt idx="0">
                  <c:v> BT(바이오기술) </c:v>
                </c:pt>
              </c:strCache>
            </c:strRef>
          </c:tx>
          <c:spPr>
            <a:solidFill>
              <a:srgbClr val="F4A42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('1.투자'!$E$185,'1.투자'!$G$185,'1.투자'!$I$185)</c:f>
              <c:strCache>
                <c:ptCount val="3"/>
                <c:pt idx="0">
                  <c:v> 2018년 연구개발비 </c:v>
                </c:pt>
                <c:pt idx="1">
                  <c:v> 2019년 연구개발비 </c:v>
                </c:pt>
                <c:pt idx="2">
                  <c:v> 2020년 연구개발비 </c:v>
                </c:pt>
              </c:strCache>
            </c:strRef>
          </c:cat>
          <c:val>
            <c:numRef>
              <c:f>('1.투자'!$E$187,'1.투자'!$G$187,'1.투자'!$I$187)</c:f>
              <c:numCache>
                <c:formatCode>#,##0</c:formatCode>
                <c:ptCount val="3"/>
                <c:pt idx="0" formatCode="_(* #,##0_);_(* \(#,##0\);_(* &quot;-&quot;_);_(@_)">
                  <c:v>35494</c:v>
                </c:pt>
                <c:pt idx="1">
                  <c:v>36717</c:v>
                </c:pt>
                <c:pt idx="2">
                  <c:v>41253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C2-43EC-A6FD-F5F16BAE99E0}"/>
            </c:ext>
          </c:extLst>
        </c:ser>
        <c:ser>
          <c:idx val="2"/>
          <c:order val="2"/>
          <c:tx>
            <c:strRef>
              <c:f>'1.투자'!$D$188</c:f>
              <c:strCache>
                <c:ptCount val="1"/>
                <c:pt idx="0">
                  <c:v> NT(나노기술) </c:v>
                </c:pt>
              </c:strCache>
            </c:strRef>
          </c:tx>
          <c:spPr>
            <a:solidFill>
              <a:srgbClr val="F4806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('1.투자'!$E$185,'1.투자'!$G$185,'1.투자'!$I$185)</c:f>
              <c:strCache>
                <c:ptCount val="3"/>
                <c:pt idx="0">
                  <c:v> 2018년 연구개발비 </c:v>
                </c:pt>
                <c:pt idx="1">
                  <c:v> 2019년 연구개발비 </c:v>
                </c:pt>
                <c:pt idx="2">
                  <c:v> 2020년 연구개발비 </c:v>
                </c:pt>
              </c:strCache>
            </c:strRef>
          </c:cat>
          <c:val>
            <c:numRef>
              <c:f>('1.투자'!$E$188,'1.투자'!$G$188,'1.투자'!$I$188)</c:f>
              <c:numCache>
                <c:formatCode>#,##0</c:formatCode>
                <c:ptCount val="3"/>
                <c:pt idx="0" formatCode="_(* #,##0_);_(* \(#,##0\);_(* &quot;-&quot;_);_(@_)">
                  <c:v>8133</c:v>
                </c:pt>
                <c:pt idx="1">
                  <c:v>8364</c:v>
                </c:pt>
                <c:pt idx="2">
                  <c:v>10884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C2-43EC-A6FD-F5F16BAE99E0}"/>
            </c:ext>
          </c:extLst>
        </c:ser>
        <c:ser>
          <c:idx val="3"/>
          <c:order val="3"/>
          <c:tx>
            <c:strRef>
              <c:f>'1.투자'!$D$189</c:f>
              <c:strCache>
                <c:ptCount val="1"/>
                <c:pt idx="0">
                  <c:v> ST(우주항공기술) </c:v>
                </c:pt>
              </c:strCache>
            </c:strRef>
          </c:tx>
          <c:spPr>
            <a:solidFill>
              <a:srgbClr val="F2665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('1.투자'!$E$185,'1.투자'!$G$185,'1.투자'!$I$185)</c:f>
              <c:strCache>
                <c:ptCount val="3"/>
                <c:pt idx="0">
                  <c:v> 2018년 연구개발비 </c:v>
                </c:pt>
                <c:pt idx="1">
                  <c:v> 2019년 연구개발비 </c:v>
                </c:pt>
                <c:pt idx="2">
                  <c:v> 2020년 연구개발비 </c:v>
                </c:pt>
              </c:strCache>
            </c:strRef>
          </c:cat>
          <c:val>
            <c:numRef>
              <c:f>('1.투자'!$E$189,'1.투자'!$G$189,'1.투자'!$I$189)</c:f>
              <c:numCache>
                <c:formatCode>#,##0</c:formatCode>
                <c:ptCount val="3"/>
                <c:pt idx="0" formatCode="_(* #,##0_);_(* \(#,##0\);_(* &quot;-&quot;_);_(@_)">
                  <c:v>14875</c:v>
                </c:pt>
                <c:pt idx="1">
                  <c:v>17622</c:v>
                </c:pt>
                <c:pt idx="2">
                  <c:v>21461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C2-43EC-A6FD-F5F16BAE99E0}"/>
            </c:ext>
          </c:extLst>
        </c:ser>
        <c:ser>
          <c:idx val="4"/>
          <c:order val="4"/>
          <c:tx>
            <c:strRef>
              <c:f>'1.투자'!$D$190</c:f>
              <c:strCache>
                <c:ptCount val="1"/>
                <c:pt idx="0">
                  <c:v> ET(환경기술) </c:v>
                </c:pt>
              </c:strCache>
            </c:strRef>
          </c:tx>
          <c:spPr>
            <a:solidFill>
              <a:srgbClr val="7E8DC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('1.투자'!$E$185,'1.투자'!$G$185,'1.투자'!$I$185)</c:f>
              <c:strCache>
                <c:ptCount val="3"/>
                <c:pt idx="0">
                  <c:v> 2018년 연구개발비 </c:v>
                </c:pt>
                <c:pt idx="1">
                  <c:v> 2019년 연구개발비 </c:v>
                </c:pt>
                <c:pt idx="2">
                  <c:v> 2020년 연구개발비 </c:v>
                </c:pt>
              </c:strCache>
            </c:strRef>
          </c:cat>
          <c:val>
            <c:numRef>
              <c:f>('1.투자'!$E$190,'1.투자'!$G$190,'1.투자'!$I$190)</c:f>
              <c:numCache>
                <c:formatCode>#,##0</c:formatCode>
                <c:ptCount val="3"/>
                <c:pt idx="0" formatCode="_(* #,##0_);_(* \(#,##0\);_(* &quot;-&quot;_);_(@_)">
                  <c:v>22294</c:v>
                </c:pt>
                <c:pt idx="1">
                  <c:v>22747</c:v>
                </c:pt>
                <c:pt idx="2">
                  <c:v>27738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C2-43EC-A6FD-F5F16BAE99E0}"/>
            </c:ext>
          </c:extLst>
        </c:ser>
        <c:ser>
          <c:idx val="5"/>
          <c:order val="5"/>
          <c:tx>
            <c:strRef>
              <c:f>'1.투자'!$D$191</c:f>
              <c:strCache>
                <c:ptCount val="1"/>
                <c:pt idx="0">
                  <c:v> CT(문화기술) </c:v>
                </c:pt>
              </c:strCache>
            </c:strRef>
          </c:tx>
          <c:spPr>
            <a:solidFill>
              <a:srgbClr val="62C7C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('1.투자'!$E$185,'1.투자'!$G$185,'1.투자'!$I$185)</c:f>
              <c:strCache>
                <c:ptCount val="3"/>
                <c:pt idx="0">
                  <c:v> 2018년 연구개발비 </c:v>
                </c:pt>
                <c:pt idx="1">
                  <c:v> 2019년 연구개발비 </c:v>
                </c:pt>
                <c:pt idx="2">
                  <c:v> 2020년 연구개발비 </c:v>
                </c:pt>
              </c:strCache>
            </c:strRef>
          </c:cat>
          <c:val>
            <c:numRef>
              <c:f>('1.투자'!$E$191,'1.투자'!$G$191,'1.투자'!$I$191)</c:f>
              <c:numCache>
                <c:formatCode>#,##0</c:formatCode>
                <c:ptCount val="3"/>
                <c:pt idx="0" formatCode="_(* #,##0_);_(* \(#,##0\);_(* &quot;-&quot;_);_(@_)">
                  <c:v>2423</c:v>
                </c:pt>
                <c:pt idx="1">
                  <c:v>2195</c:v>
                </c:pt>
                <c:pt idx="2">
                  <c:v>2485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FC2-43EC-A6FD-F5F16BAE99E0}"/>
            </c:ext>
          </c:extLst>
        </c:ser>
        <c:ser>
          <c:idx val="7"/>
          <c:order val="7"/>
          <c:tx>
            <c:strRef>
              <c:f>'1.투자'!$D$193</c:f>
              <c:strCache>
                <c:ptCount val="1"/>
                <c:pt idx="0">
                  <c:v> 기 타 </c:v>
                </c:pt>
              </c:strCache>
            </c:strRef>
          </c:tx>
          <c:spPr>
            <a:solidFill>
              <a:srgbClr val="3CADB8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('1.투자'!$E$185,'1.투자'!$G$185,'1.투자'!$I$185)</c:f>
              <c:strCache>
                <c:ptCount val="3"/>
                <c:pt idx="0">
                  <c:v> 2018년 연구개발비 </c:v>
                </c:pt>
                <c:pt idx="1">
                  <c:v> 2019년 연구개발비 </c:v>
                </c:pt>
                <c:pt idx="2">
                  <c:v> 2020년 연구개발비 </c:v>
                </c:pt>
              </c:strCache>
            </c:strRef>
          </c:cat>
          <c:val>
            <c:numRef>
              <c:f>('1.투자'!$E$193,'1.투자'!$G$193,'1.투자'!$I$193)</c:f>
              <c:numCache>
                <c:formatCode>#,##0</c:formatCode>
                <c:ptCount val="3"/>
                <c:pt idx="0" formatCode="_(* #,##0_);_(* \(#,##0\);_(* &quot;-&quot;_);_(@_)">
                  <c:v>67919</c:v>
                </c:pt>
                <c:pt idx="1">
                  <c:v>70320</c:v>
                </c:pt>
                <c:pt idx="2">
                  <c:v>77694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FC2-43EC-A6FD-F5F16BAE9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770965440"/>
        <c:axId val="-770964896"/>
        <c:extLst>
          <c:ext xmlns:c15="http://schemas.microsoft.com/office/drawing/2012/chart" uri="{02D57815-91ED-43cb-92C2-25804820EDAC}">
            <c15:filteredBarSeries>
              <c15:ser>
                <c:idx val="6"/>
                <c:order val="6"/>
                <c:tx>
                  <c:strRef>
                    <c:extLst>
                      <c:ext uri="{02D57815-91ED-43cb-92C2-25804820EDAC}">
                        <c15:formulaRef>
                          <c15:sqref>'1.투자'!$D$192</c15:sqref>
                        </c15:formulaRef>
                      </c:ext>
                    </c:extLst>
                    <c:strCache>
                      <c:ptCount val="1"/>
                      <c:pt idx="0">
                        <c:v> 소 계 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('1.투자'!$E$185,'1.투자'!$G$185,'1.투자'!$I$185)</c15:sqref>
                        </c15:formulaRef>
                      </c:ext>
                    </c:extLst>
                    <c:strCache>
                      <c:ptCount val="3"/>
                      <c:pt idx="0">
                        <c:v> 2018년 연구개발비 </c:v>
                      </c:pt>
                      <c:pt idx="1">
                        <c:v> 2019년 연구개발비 </c:v>
                      </c:pt>
                      <c:pt idx="2">
                        <c:v> 2020년 연구개발비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('1.투자'!$E$192,'1.투자'!$G$192,'1.투자'!$I$192)</c15:sqref>
                        </c15:formulaRef>
                      </c:ext>
                    </c:extLst>
                    <c:numCache>
                      <c:formatCode>#,##0</c:formatCode>
                      <c:ptCount val="3"/>
                      <c:pt idx="0" formatCode="_(* #,##0_);_(* \(#,##0\);_(* &quot;-&quot;_);_(@_)">
                        <c:v>116670</c:v>
                      </c:pt>
                      <c:pt idx="1">
                        <c:v>122277</c:v>
                      </c:pt>
                      <c:pt idx="2">
                        <c:v>146988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7-DFC2-43EC-A6FD-F5F16BAE99E0}"/>
                  </c:ext>
                </c:extLst>
              </c15:ser>
            </c15:filteredBarSeries>
          </c:ext>
        </c:extLst>
      </c:barChart>
      <c:catAx>
        <c:axId val="-770965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70964896"/>
        <c:crosses val="autoZero"/>
        <c:auto val="1"/>
        <c:lblAlgn val="ctr"/>
        <c:lblOffset val="100"/>
        <c:noMultiLvlLbl val="0"/>
      </c:catAx>
      <c:valAx>
        <c:axId val="-77096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70965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chemeClr val="tx1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'1.투자'!$D$103</c:f>
              <c:strCache>
                <c:ptCount val="1"/>
                <c:pt idx="0">
                  <c:v> 연구개발투자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'1.투자'!$E$102:$K$102</c:f>
              <c:strCache>
                <c:ptCount val="7"/>
                <c:pt idx="0">
                  <c:v> 한국(2020) </c:v>
                </c:pt>
                <c:pt idx="1">
                  <c:v> 미국(2019) </c:v>
                </c:pt>
                <c:pt idx="2">
                  <c:v> 일본(2019) </c:v>
                </c:pt>
                <c:pt idx="3">
                  <c:v> 독일(2019) </c:v>
                </c:pt>
                <c:pt idx="4">
                  <c:v> 프랑스(2019) </c:v>
                </c:pt>
                <c:pt idx="5">
                  <c:v> 영국(2019) </c:v>
                </c:pt>
                <c:pt idx="6">
                  <c:v> 중국(2019) </c:v>
                </c:pt>
              </c:strCache>
            </c:strRef>
          </c:cat>
          <c:val>
            <c:numRef>
              <c:f>'1.투자'!$E$103:$K$103</c:f>
              <c:numCache>
                <c:formatCode>_(* #,##0.0_);_(* \(#,##0.0\);_(* "-"_);_(@_)</c:formatCode>
                <c:ptCount val="7"/>
                <c:pt idx="0">
                  <c:v>788.56</c:v>
                </c:pt>
                <c:pt idx="1">
                  <c:v>6574.59</c:v>
                </c:pt>
                <c:pt idx="2">
                  <c:v>1647.09</c:v>
                </c:pt>
                <c:pt idx="3">
                  <c:v>1231.71</c:v>
                </c:pt>
                <c:pt idx="4">
                  <c:v>599.33000000000004</c:v>
                </c:pt>
                <c:pt idx="5">
                  <c:v>497.07</c:v>
                </c:pt>
                <c:pt idx="6">
                  <c:v>3205.32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97-459C-8F77-5EA979D76D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770976864"/>
        <c:axId val="-769126064"/>
      </c:barChart>
      <c:catAx>
        <c:axId val="-770976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9126064"/>
        <c:crosses val="autoZero"/>
        <c:auto val="1"/>
        <c:lblAlgn val="ctr"/>
        <c:lblOffset val="100"/>
        <c:noMultiLvlLbl val="0"/>
      </c:catAx>
      <c:valAx>
        <c:axId val="-76912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_);_(* \(#,##0.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7097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chemeClr val="tx1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362713754095496E-2"/>
          <c:y val="0.12529400218434952"/>
          <c:w val="0.900930187794729"/>
          <c:h val="0.646364327226880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'1.투자'!$D$274</c:f>
              <c:strCache>
                <c:ptCount val="1"/>
                <c:pt idx="0">
                  <c:v> BT 정부 투자 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'1.투자'!$E$273:$I$273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'1.투자'!$E$274:$I$274</c:f>
              <c:numCache>
                <c:formatCode>_(* #,##0_);_(* \(#,##0\);_(* "-"_);_(@_)</c:formatCode>
                <c:ptCount val="5"/>
                <c:pt idx="0">
                  <c:v>33341</c:v>
                </c:pt>
                <c:pt idx="1">
                  <c:v>34946</c:v>
                </c:pt>
                <c:pt idx="2">
                  <c:v>35494</c:v>
                </c:pt>
                <c:pt idx="3">
                  <c:v>36717</c:v>
                </c:pt>
                <c:pt idx="4">
                  <c:v>41253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8A-4A5B-994E-E0CC3C2EE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-770966528"/>
        <c:axId val="-770965984"/>
      </c:barChart>
      <c:lineChart>
        <c:grouping val="standard"/>
        <c:varyColors val="0"/>
        <c:ser>
          <c:idx val="1"/>
          <c:order val="1"/>
          <c:tx>
            <c:strRef>
              <c:f>'1.투자'!$D$276</c:f>
              <c:strCache>
                <c:ptCount val="1"/>
                <c:pt idx="0">
                  <c:v> 전년대비 증가율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'1.투자'!$E$276:$I$276</c:f>
              <c:numCache>
                <c:formatCode>0.0%</c:formatCode>
                <c:ptCount val="5"/>
                <c:pt idx="0">
                  <c:v>0.01</c:v>
                </c:pt>
                <c:pt idx="1">
                  <c:v>4.8000000000000001E-2</c:v>
                </c:pt>
                <c:pt idx="2">
                  <c:v>1.6E-2</c:v>
                </c:pt>
                <c:pt idx="3">
                  <c:v>3.4000000000000002E-2</c:v>
                </c:pt>
                <c:pt idx="4">
                  <c:v>0.124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A8-4630-8946-BCB56F13D6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055312"/>
        <c:axId val="727059472"/>
      </c:lineChart>
      <c:catAx>
        <c:axId val="-77096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70965984"/>
        <c:crosses val="autoZero"/>
        <c:auto val="1"/>
        <c:lblAlgn val="ctr"/>
        <c:lblOffset val="100"/>
        <c:noMultiLvlLbl val="0"/>
      </c:catAx>
      <c:valAx>
        <c:axId val="-770965984"/>
        <c:scaling>
          <c:orientation val="minMax"/>
          <c:max val="5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70966528"/>
        <c:crosses val="autoZero"/>
        <c:crossBetween val="between"/>
        <c:majorUnit val="10000"/>
      </c:valAx>
      <c:valAx>
        <c:axId val="727059472"/>
        <c:scaling>
          <c:orientation val="minMax"/>
          <c:max val="0.15000000000000002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27055312"/>
        <c:crosses val="max"/>
        <c:crossBetween val="between"/>
        <c:majorUnit val="3.0000000000000006E-2"/>
      </c:valAx>
      <c:catAx>
        <c:axId val="727055312"/>
        <c:scaling>
          <c:orientation val="minMax"/>
        </c:scaling>
        <c:delete val="1"/>
        <c:axPos val="b"/>
        <c:majorTickMark val="out"/>
        <c:minorTickMark val="none"/>
        <c:tickLblPos val="nextTo"/>
        <c:crossAx val="7270594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chemeClr val="tx1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업무별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95C55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302-49F5-AAF6-C7BC9622C0E6}"/>
              </c:ext>
            </c:extLst>
          </c:dPt>
          <c:dPt>
            <c:idx val="1"/>
            <c:bubble3D val="0"/>
            <c:spPr>
              <a:solidFill>
                <a:srgbClr val="F4A42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302-49F5-AAF6-C7BC9622C0E6}"/>
              </c:ext>
            </c:extLst>
          </c:dPt>
          <c:dPt>
            <c:idx val="2"/>
            <c:bubble3D val="0"/>
            <c:spPr>
              <a:solidFill>
                <a:srgbClr val="F4806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302-49F5-AAF6-C7BC9622C0E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'2.인력'!$D$76:$D$78</c:f>
              <c:strCache>
                <c:ptCount val="3"/>
                <c:pt idx="0">
                  <c:v> 연구직 </c:v>
                </c:pt>
                <c:pt idx="1">
                  <c:v> 생산직 </c:v>
                </c:pt>
                <c:pt idx="2">
                  <c:v> 기타 </c:v>
                </c:pt>
              </c:strCache>
            </c:strRef>
          </c:cat>
          <c:val>
            <c:numRef>
              <c:f>'2.인력'!$E$76:$E$78</c:f>
              <c:numCache>
                <c:formatCode>#,##0</c:formatCode>
                <c:ptCount val="3"/>
                <c:pt idx="0">
                  <c:v>16873</c:v>
                </c:pt>
                <c:pt idx="1">
                  <c:v>18492</c:v>
                </c:pt>
                <c:pt idx="2">
                  <c:v>18181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302-49F5-AAF6-C7BC9622C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학위별</a:t>
            </a:r>
            <a:endParaRPr lang="en-US" alt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95C55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2E1-490F-B1D8-92FD054DA147}"/>
              </c:ext>
            </c:extLst>
          </c:dPt>
          <c:dPt>
            <c:idx val="1"/>
            <c:bubble3D val="0"/>
            <c:spPr>
              <a:solidFill>
                <a:srgbClr val="F4A42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2E1-490F-B1D8-92FD054DA147}"/>
              </c:ext>
            </c:extLst>
          </c:dPt>
          <c:dPt>
            <c:idx val="2"/>
            <c:bubble3D val="0"/>
            <c:spPr>
              <a:solidFill>
                <a:srgbClr val="F4806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2E1-490F-B1D8-92FD054DA147}"/>
              </c:ext>
            </c:extLst>
          </c:dPt>
          <c:dPt>
            <c:idx val="3"/>
            <c:bubble3D val="0"/>
            <c:spPr>
              <a:solidFill>
                <a:srgbClr val="3DA4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2E1-490F-B1D8-92FD054DA14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'2.인력'!$D$80:$D$83</c:f>
              <c:strCache>
                <c:ptCount val="4"/>
                <c:pt idx="0">
                  <c:v> 박사 </c:v>
                </c:pt>
                <c:pt idx="1">
                  <c:v> 석사 </c:v>
                </c:pt>
                <c:pt idx="2">
                  <c:v> 학사 </c:v>
                </c:pt>
                <c:pt idx="3">
                  <c:v> 기타 </c:v>
                </c:pt>
              </c:strCache>
            </c:strRef>
          </c:cat>
          <c:val>
            <c:numRef>
              <c:f>'2.인력'!$E$80:$E$83</c:f>
              <c:numCache>
                <c:formatCode>#,##0</c:formatCode>
                <c:ptCount val="4"/>
                <c:pt idx="0">
                  <c:v>2964</c:v>
                </c:pt>
                <c:pt idx="1">
                  <c:v>9759</c:v>
                </c:pt>
                <c:pt idx="2">
                  <c:v>26208</c:v>
                </c:pt>
                <c:pt idx="3">
                  <c:v>14615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2E1-490F-B1D8-92FD054DA1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'2.인력'!$E$215</c:f>
              <c:strCache>
                <c:ptCount val="1"/>
                <c:pt idx="0">
                  <c:v> 현원(명)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0"/>
                  <c:y val="0.24351129247607048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3CE-4CC9-8AFE-86EF784C0BC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'2.인력'!$D$216:$D$227</c:f>
              <c:strCache>
                <c:ptCount val="12"/>
                <c:pt idx="0">
                  <c:v>기계</c:v>
                </c:pt>
                <c:pt idx="1">
                  <c:v>디스플레이</c:v>
                </c:pt>
                <c:pt idx="2">
                  <c:v>반도체</c:v>
                </c:pt>
                <c:pt idx="3">
                  <c:v>바이오․헬스</c:v>
                </c:pt>
                <c:pt idx="4">
                  <c:v>섬유</c:v>
                </c:pt>
                <c:pt idx="5">
                  <c:v>자동차</c:v>
                </c:pt>
                <c:pt idx="6">
                  <c:v>전자</c:v>
                </c:pt>
                <c:pt idx="7">
                  <c:v>조선</c:v>
                </c:pt>
                <c:pt idx="8">
                  <c:v>철강</c:v>
                </c:pt>
                <c:pt idx="9">
                  <c:v>화학</c:v>
                </c:pt>
                <c:pt idx="10">
                  <c:v>소프트웨어</c:v>
                </c:pt>
                <c:pt idx="11">
                  <c:v>IT 비즈니스</c:v>
                </c:pt>
              </c:strCache>
            </c:strRef>
          </c:cat>
          <c:val>
            <c:numRef>
              <c:f>'2.인력'!$E$216:$E$227</c:f>
              <c:numCache>
                <c:formatCode>#,##0</c:formatCode>
                <c:ptCount val="12"/>
                <c:pt idx="0">
                  <c:v>150122</c:v>
                </c:pt>
                <c:pt idx="1">
                  <c:v>48795</c:v>
                </c:pt>
                <c:pt idx="2">
                  <c:v>99285</c:v>
                </c:pt>
                <c:pt idx="3">
                  <c:v>34140</c:v>
                </c:pt>
                <c:pt idx="4">
                  <c:v>34000</c:v>
                </c:pt>
                <c:pt idx="5">
                  <c:v>116498</c:v>
                </c:pt>
                <c:pt idx="6">
                  <c:v>202889</c:v>
                </c:pt>
                <c:pt idx="7">
                  <c:v>58622</c:v>
                </c:pt>
                <c:pt idx="8">
                  <c:v>63531</c:v>
                </c:pt>
                <c:pt idx="9">
                  <c:v>120533</c:v>
                </c:pt>
                <c:pt idx="10">
                  <c:v>146714</c:v>
                </c:pt>
                <c:pt idx="11">
                  <c:v>23793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CE-4CC9-8AFE-86EF784C0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-769131504"/>
        <c:axId val="-769130960"/>
      </c:barChart>
      <c:lineChart>
        <c:grouping val="stacked"/>
        <c:varyColors val="0"/>
        <c:ser>
          <c:idx val="1"/>
          <c:order val="1"/>
          <c:tx>
            <c:strRef>
              <c:f>'2.인력'!$F$215</c:f>
              <c:strCache>
                <c:ptCount val="1"/>
                <c:pt idx="0">
                  <c:v> 비율(%) </c:v>
                </c:pt>
              </c:strCache>
            </c:strRef>
          </c:tx>
          <c:spPr>
            <a:ln w="28575" cap="rnd">
              <a:solidFill>
                <a:srgbClr val="F4A42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rgbClr val="F4A42A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'2.인력'!$D$216:$D$227</c:f>
              <c:strCache>
                <c:ptCount val="12"/>
                <c:pt idx="0">
                  <c:v>기계</c:v>
                </c:pt>
                <c:pt idx="1">
                  <c:v>디스플레이</c:v>
                </c:pt>
                <c:pt idx="2">
                  <c:v>반도체</c:v>
                </c:pt>
                <c:pt idx="3">
                  <c:v>바이오․헬스</c:v>
                </c:pt>
                <c:pt idx="4">
                  <c:v>섬유</c:v>
                </c:pt>
                <c:pt idx="5">
                  <c:v>자동차</c:v>
                </c:pt>
                <c:pt idx="6">
                  <c:v>전자</c:v>
                </c:pt>
                <c:pt idx="7">
                  <c:v>조선</c:v>
                </c:pt>
                <c:pt idx="8">
                  <c:v>철강</c:v>
                </c:pt>
                <c:pt idx="9">
                  <c:v>화학</c:v>
                </c:pt>
                <c:pt idx="10">
                  <c:v>소프트웨어</c:v>
                </c:pt>
                <c:pt idx="11">
                  <c:v>IT 비즈니스</c:v>
                </c:pt>
              </c:strCache>
            </c:strRef>
          </c:cat>
          <c:val>
            <c:numRef>
              <c:f>'2.인력'!$F$216:$F$227</c:f>
              <c:numCache>
                <c:formatCode>0.0%</c:formatCode>
                <c:ptCount val="12"/>
                <c:pt idx="0">
                  <c:v>0.13660854601923159</c:v>
                </c:pt>
                <c:pt idx="1">
                  <c:v>4.4402645868083332E-2</c:v>
                </c:pt>
                <c:pt idx="2">
                  <c:v>9.0347713802903032E-2</c:v>
                </c:pt>
                <c:pt idx="3">
                  <c:v>3.1066837379575055E-2</c:v>
                </c:pt>
                <c:pt idx="4">
                  <c:v>3.0939439686747273E-2</c:v>
                </c:pt>
                <c:pt idx="5">
                  <c:v>0.10601126013607894</c:v>
                </c:pt>
                <c:pt idx="6">
                  <c:v>0.18462564642954316</c:v>
                </c:pt>
                <c:pt idx="7">
                  <c:v>5.3345053921073492E-2</c:v>
                </c:pt>
                <c:pt idx="8">
                  <c:v>5.7812163021727675E-2</c:v>
                </c:pt>
                <c:pt idx="9">
                  <c:v>0.10968304364007968</c:v>
                </c:pt>
                <c:pt idx="10">
                  <c:v>0.13350732218239528</c:v>
                </c:pt>
                <c:pt idx="11">
                  <c:v>2.1651237896081702E-2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3CE-4CC9-8AFE-86EF784C0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69124976"/>
        <c:axId val="-769133680"/>
      </c:lineChart>
      <c:catAx>
        <c:axId val="-769131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9130960"/>
        <c:crosses val="autoZero"/>
        <c:auto val="1"/>
        <c:lblAlgn val="ctr"/>
        <c:lblOffset val="100"/>
        <c:noMultiLvlLbl val="0"/>
      </c:catAx>
      <c:valAx>
        <c:axId val="-76913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9131504"/>
        <c:crosses val="autoZero"/>
        <c:crossBetween val="between"/>
      </c:valAx>
      <c:valAx>
        <c:axId val="-769133680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9124976"/>
        <c:crosses val="max"/>
        <c:crossBetween val="between"/>
      </c:valAx>
      <c:catAx>
        <c:axId val="-7691249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7691336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'2.인력'!$E$249</c:f>
              <c:strCache>
                <c:ptCount val="1"/>
                <c:pt idx="0">
                  <c:v> 고졸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'2.인력'!$D$250:$D$261</c:f>
              <c:strCache>
                <c:ptCount val="12"/>
                <c:pt idx="0">
                  <c:v> 기계 </c:v>
                </c:pt>
                <c:pt idx="1">
                  <c:v> 디스플레이 </c:v>
                </c:pt>
                <c:pt idx="2">
                  <c:v> 반도체 </c:v>
                </c:pt>
                <c:pt idx="3">
                  <c:v> 바이오헬스 </c:v>
                </c:pt>
                <c:pt idx="4">
                  <c:v> 섬유 </c:v>
                </c:pt>
                <c:pt idx="5">
                  <c:v> 자동차 </c:v>
                </c:pt>
                <c:pt idx="6">
                  <c:v> 전자 </c:v>
                </c:pt>
                <c:pt idx="7">
                  <c:v> 조선 </c:v>
                </c:pt>
                <c:pt idx="8">
                  <c:v> 철강 </c:v>
                </c:pt>
                <c:pt idx="9">
                  <c:v> 화학 </c:v>
                </c:pt>
                <c:pt idx="10">
                  <c:v>소프트웨어</c:v>
                </c:pt>
                <c:pt idx="11">
                  <c:v>IT 비즈니스</c:v>
                </c:pt>
              </c:strCache>
            </c:strRef>
          </c:cat>
          <c:val>
            <c:numRef>
              <c:f>'2.인력'!$E$250:$E$261</c:f>
              <c:numCache>
                <c:formatCode>#,##0</c:formatCode>
                <c:ptCount val="12"/>
                <c:pt idx="0">
                  <c:v>89776</c:v>
                </c:pt>
                <c:pt idx="1">
                  <c:v>30754</c:v>
                </c:pt>
                <c:pt idx="2">
                  <c:v>53697</c:v>
                </c:pt>
                <c:pt idx="3">
                  <c:v>16310</c:v>
                </c:pt>
                <c:pt idx="4">
                  <c:v>21484</c:v>
                </c:pt>
                <c:pt idx="5">
                  <c:v>77368</c:v>
                </c:pt>
                <c:pt idx="6">
                  <c:v>112171</c:v>
                </c:pt>
                <c:pt idx="7">
                  <c:v>43198</c:v>
                </c:pt>
                <c:pt idx="8">
                  <c:v>39757</c:v>
                </c:pt>
                <c:pt idx="9">
                  <c:v>76602</c:v>
                </c:pt>
                <c:pt idx="10">
                  <c:v>2971</c:v>
                </c:pt>
                <c:pt idx="11" formatCode="General">
                  <c:v>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73-4D61-BCD1-9B6C1C8CA9DE}"/>
            </c:ext>
          </c:extLst>
        </c:ser>
        <c:ser>
          <c:idx val="1"/>
          <c:order val="1"/>
          <c:tx>
            <c:strRef>
              <c:f>'2.인력'!$F$249</c:f>
              <c:strCache>
                <c:ptCount val="1"/>
                <c:pt idx="0">
                  <c:v> 전문대졸 </c:v>
                </c:pt>
              </c:strCache>
            </c:strRef>
          </c:tx>
          <c:spPr>
            <a:solidFill>
              <a:srgbClr val="F4A42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'2.인력'!$D$250:$D$261</c:f>
              <c:strCache>
                <c:ptCount val="12"/>
                <c:pt idx="0">
                  <c:v> 기계 </c:v>
                </c:pt>
                <c:pt idx="1">
                  <c:v> 디스플레이 </c:v>
                </c:pt>
                <c:pt idx="2">
                  <c:v> 반도체 </c:v>
                </c:pt>
                <c:pt idx="3">
                  <c:v> 바이오헬스 </c:v>
                </c:pt>
                <c:pt idx="4">
                  <c:v> 섬유 </c:v>
                </c:pt>
                <c:pt idx="5">
                  <c:v> 자동차 </c:v>
                </c:pt>
                <c:pt idx="6">
                  <c:v> 전자 </c:v>
                </c:pt>
                <c:pt idx="7">
                  <c:v> 조선 </c:v>
                </c:pt>
                <c:pt idx="8">
                  <c:v> 철강 </c:v>
                </c:pt>
                <c:pt idx="9">
                  <c:v> 화학 </c:v>
                </c:pt>
                <c:pt idx="10">
                  <c:v>소프트웨어</c:v>
                </c:pt>
                <c:pt idx="11">
                  <c:v>IT 비즈니스</c:v>
                </c:pt>
              </c:strCache>
            </c:strRef>
          </c:cat>
          <c:val>
            <c:numRef>
              <c:f>'2.인력'!$F$250:$F$261</c:f>
              <c:numCache>
                <c:formatCode>#,##0</c:formatCode>
                <c:ptCount val="12"/>
                <c:pt idx="0">
                  <c:v>26214</c:v>
                </c:pt>
                <c:pt idx="1">
                  <c:v>6407</c:v>
                </c:pt>
                <c:pt idx="2">
                  <c:v>16972</c:v>
                </c:pt>
                <c:pt idx="3">
                  <c:v>5390</c:v>
                </c:pt>
                <c:pt idx="4">
                  <c:v>6139</c:v>
                </c:pt>
                <c:pt idx="5">
                  <c:v>17649</c:v>
                </c:pt>
                <c:pt idx="6">
                  <c:v>34627</c:v>
                </c:pt>
                <c:pt idx="7">
                  <c:v>7084</c:v>
                </c:pt>
                <c:pt idx="8">
                  <c:v>13930</c:v>
                </c:pt>
                <c:pt idx="9">
                  <c:v>18548</c:v>
                </c:pt>
                <c:pt idx="10">
                  <c:v>25402</c:v>
                </c:pt>
                <c:pt idx="11">
                  <c:v>6572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73-4D61-BCD1-9B6C1C8CA9DE}"/>
            </c:ext>
          </c:extLst>
        </c:ser>
        <c:ser>
          <c:idx val="2"/>
          <c:order val="2"/>
          <c:tx>
            <c:strRef>
              <c:f>'2.인력'!$G$249</c:f>
              <c:strCache>
                <c:ptCount val="1"/>
                <c:pt idx="0">
                  <c:v> 대졸 </c:v>
                </c:pt>
              </c:strCache>
            </c:strRef>
          </c:tx>
          <c:spPr>
            <a:solidFill>
              <a:srgbClr val="F4806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'2.인력'!$D$250:$D$261</c:f>
              <c:strCache>
                <c:ptCount val="12"/>
                <c:pt idx="0">
                  <c:v> 기계 </c:v>
                </c:pt>
                <c:pt idx="1">
                  <c:v> 디스플레이 </c:v>
                </c:pt>
                <c:pt idx="2">
                  <c:v> 반도체 </c:v>
                </c:pt>
                <c:pt idx="3">
                  <c:v> 바이오헬스 </c:v>
                </c:pt>
                <c:pt idx="4">
                  <c:v> 섬유 </c:v>
                </c:pt>
                <c:pt idx="5">
                  <c:v> 자동차 </c:v>
                </c:pt>
                <c:pt idx="6">
                  <c:v> 전자 </c:v>
                </c:pt>
                <c:pt idx="7">
                  <c:v> 조선 </c:v>
                </c:pt>
                <c:pt idx="8">
                  <c:v> 철강 </c:v>
                </c:pt>
                <c:pt idx="9">
                  <c:v> 화학 </c:v>
                </c:pt>
                <c:pt idx="10">
                  <c:v>소프트웨어</c:v>
                </c:pt>
                <c:pt idx="11">
                  <c:v>IT 비즈니스</c:v>
                </c:pt>
              </c:strCache>
            </c:strRef>
          </c:cat>
          <c:val>
            <c:numRef>
              <c:f>'2.인력'!$G$250:$G$261</c:f>
              <c:numCache>
                <c:formatCode>#,##0</c:formatCode>
                <c:ptCount val="12"/>
                <c:pt idx="0">
                  <c:v>29299</c:v>
                </c:pt>
                <c:pt idx="1">
                  <c:v>9056</c:v>
                </c:pt>
                <c:pt idx="2">
                  <c:v>20001</c:v>
                </c:pt>
                <c:pt idx="3">
                  <c:v>9893</c:v>
                </c:pt>
                <c:pt idx="4">
                  <c:v>5982</c:v>
                </c:pt>
                <c:pt idx="5">
                  <c:v>18356</c:v>
                </c:pt>
                <c:pt idx="6">
                  <c:v>47244</c:v>
                </c:pt>
                <c:pt idx="7">
                  <c:v>7571</c:v>
                </c:pt>
                <c:pt idx="8">
                  <c:v>9124</c:v>
                </c:pt>
                <c:pt idx="9">
                  <c:v>22651</c:v>
                </c:pt>
                <c:pt idx="10">
                  <c:v>103338</c:v>
                </c:pt>
                <c:pt idx="11">
                  <c:v>14126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73-4D61-BCD1-9B6C1C8CA9DE}"/>
            </c:ext>
          </c:extLst>
        </c:ser>
        <c:ser>
          <c:idx val="3"/>
          <c:order val="3"/>
          <c:tx>
            <c:strRef>
              <c:f>'2.인력'!$H$249</c:f>
              <c:strCache>
                <c:ptCount val="1"/>
                <c:pt idx="0">
                  <c:v> 대학원졸 </c:v>
                </c:pt>
              </c:strCache>
            </c:strRef>
          </c:tx>
          <c:spPr>
            <a:solidFill>
              <a:srgbClr val="3DA4D9"/>
            </a:solidFill>
            <a:ln>
              <a:noFill/>
            </a:ln>
            <a:effectLst/>
          </c:spPr>
          <c:invertIfNegative val="0"/>
          <c:dLbls>
            <c:dLbl>
              <c:idx val="9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73-4D61-BCD1-9B6C1C8CA9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'2.인력'!$D$250:$D$261</c:f>
              <c:strCache>
                <c:ptCount val="12"/>
                <c:pt idx="0">
                  <c:v> 기계 </c:v>
                </c:pt>
                <c:pt idx="1">
                  <c:v> 디스플레이 </c:v>
                </c:pt>
                <c:pt idx="2">
                  <c:v> 반도체 </c:v>
                </c:pt>
                <c:pt idx="3">
                  <c:v> 바이오헬스 </c:v>
                </c:pt>
                <c:pt idx="4">
                  <c:v> 섬유 </c:v>
                </c:pt>
                <c:pt idx="5">
                  <c:v> 자동차 </c:v>
                </c:pt>
                <c:pt idx="6">
                  <c:v> 전자 </c:v>
                </c:pt>
                <c:pt idx="7">
                  <c:v> 조선 </c:v>
                </c:pt>
                <c:pt idx="8">
                  <c:v> 철강 </c:v>
                </c:pt>
                <c:pt idx="9">
                  <c:v> 화학 </c:v>
                </c:pt>
                <c:pt idx="10">
                  <c:v>소프트웨어</c:v>
                </c:pt>
                <c:pt idx="11">
                  <c:v>IT 비즈니스</c:v>
                </c:pt>
              </c:strCache>
            </c:strRef>
          </c:cat>
          <c:val>
            <c:numRef>
              <c:f>'2.인력'!$H$250:$H$261</c:f>
              <c:numCache>
                <c:formatCode>#,##0</c:formatCode>
                <c:ptCount val="12"/>
                <c:pt idx="0">
                  <c:v>4832</c:v>
                </c:pt>
                <c:pt idx="1">
                  <c:v>2578</c:v>
                </c:pt>
                <c:pt idx="2">
                  <c:v>8615</c:v>
                </c:pt>
                <c:pt idx="3">
                  <c:v>2547</c:v>
                </c:pt>
                <c:pt idx="4" formatCode="General">
                  <c:v>395</c:v>
                </c:pt>
                <c:pt idx="5">
                  <c:v>3126</c:v>
                </c:pt>
                <c:pt idx="6">
                  <c:v>8847</c:v>
                </c:pt>
                <c:pt idx="7" formatCode="General">
                  <c:v>768</c:v>
                </c:pt>
                <c:pt idx="8" formatCode="General">
                  <c:v>720</c:v>
                </c:pt>
                <c:pt idx="9">
                  <c:v>2732</c:v>
                </c:pt>
                <c:pt idx="10">
                  <c:v>15003</c:v>
                </c:pt>
                <c:pt idx="11">
                  <c:v>2127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73-4D61-BCD1-9B6C1C8CA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769137488"/>
        <c:axId val="-769134768"/>
      </c:barChart>
      <c:catAx>
        <c:axId val="-769137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9134768"/>
        <c:crosses val="autoZero"/>
        <c:auto val="1"/>
        <c:lblAlgn val="ctr"/>
        <c:lblOffset val="100"/>
        <c:noMultiLvlLbl val="0"/>
      </c:catAx>
      <c:valAx>
        <c:axId val="-7691347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9137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0917008548896944"/>
          <c:y val="0.89839449103231894"/>
          <c:w val="0.20856576095052123"/>
          <c:h val="8.06952990555170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'2.인력'!$E$285</c:f>
              <c:strCache>
                <c:ptCount val="1"/>
                <c:pt idx="0">
                  <c:v> 고졸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'2.인력'!$D$286:$D$289</c15:sqref>
                  </c15:fullRef>
                </c:ext>
              </c:extLst>
              <c:f>'2.인력'!$D$287</c:f>
              <c:strCache>
                <c:ptCount val="1"/>
                <c:pt idx="0">
                  <c:v> 부족인원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'2.인력'!$E$286:$E$289</c15:sqref>
                  </c15:fullRef>
                </c:ext>
              </c:extLst>
              <c:f>'2.인력'!$E$287</c:f>
              <c:numCache>
                <c:formatCode>General</c:formatCode>
                <c:ptCount val="1"/>
                <c:pt idx="0">
                  <c:v>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71-41CE-8785-1FCD1D1B8DEE}"/>
            </c:ext>
          </c:extLst>
        </c:ser>
        <c:ser>
          <c:idx val="1"/>
          <c:order val="1"/>
          <c:tx>
            <c:strRef>
              <c:f>'2.인력'!$F$285</c:f>
              <c:strCache>
                <c:ptCount val="1"/>
                <c:pt idx="0">
                  <c:v> 전문대졸 </c:v>
                </c:pt>
              </c:strCache>
            </c:strRef>
          </c:tx>
          <c:spPr>
            <a:solidFill>
              <a:srgbClr val="F4A42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'2.인력'!$D$286:$D$289</c15:sqref>
                  </c15:fullRef>
                </c:ext>
              </c:extLst>
              <c:f>'2.인력'!$D$287</c:f>
              <c:strCache>
                <c:ptCount val="1"/>
                <c:pt idx="0">
                  <c:v> 부족인원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'2.인력'!$F$286:$F$289</c15:sqref>
                  </c15:fullRef>
                </c:ext>
              </c:extLst>
              <c:f>'2.인력'!$F$287</c:f>
              <c:numCache>
                <c:formatCode>General</c:formatCode>
                <c:ptCount val="1"/>
                <c:pt idx="0">
                  <c:v>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71-41CE-8785-1FCD1D1B8DEE}"/>
            </c:ext>
          </c:extLst>
        </c:ser>
        <c:ser>
          <c:idx val="2"/>
          <c:order val="2"/>
          <c:tx>
            <c:strRef>
              <c:f>'2.인력'!$G$285</c:f>
              <c:strCache>
                <c:ptCount val="1"/>
                <c:pt idx="0">
                  <c:v> 대졸 </c:v>
                </c:pt>
              </c:strCache>
            </c:strRef>
          </c:tx>
          <c:spPr>
            <a:solidFill>
              <a:srgbClr val="F4806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'2.인력'!$D$286:$D$289</c15:sqref>
                  </c15:fullRef>
                </c:ext>
              </c:extLst>
              <c:f>'2.인력'!$D$287</c:f>
              <c:strCache>
                <c:ptCount val="1"/>
                <c:pt idx="0">
                  <c:v> 부족인원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'2.인력'!$G$286:$G$289</c15:sqref>
                  </c15:fullRef>
                </c:ext>
              </c:extLst>
              <c:f>'2.인력'!$G$287</c:f>
              <c:numCache>
                <c:formatCode>General</c:formatCode>
                <c:ptCount val="1"/>
                <c:pt idx="0">
                  <c:v>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71-41CE-8785-1FCD1D1B8DEE}"/>
            </c:ext>
          </c:extLst>
        </c:ser>
        <c:ser>
          <c:idx val="3"/>
          <c:order val="3"/>
          <c:tx>
            <c:strRef>
              <c:f>'2.인력'!$H$285</c:f>
              <c:strCache>
                <c:ptCount val="1"/>
                <c:pt idx="0">
                  <c:v> 대학원졸 </c:v>
                </c:pt>
              </c:strCache>
            </c:strRef>
          </c:tx>
          <c:spPr>
            <a:solidFill>
              <a:srgbClr val="3DA4D9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'2.인력'!$D$286:$D$289</c15:sqref>
                  </c15:fullRef>
                </c:ext>
              </c:extLst>
              <c:f>'2.인력'!$D$287</c:f>
              <c:strCache>
                <c:ptCount val="1"/>
                <c:pt idx="0">
                  <c:v> 부족인원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'2.인력'!$H$286:$H$289</c15:sqref>
                  </c15:fullRef>
                </c:ext>
              </c:extLst>
              <c:f>'2.인력'!$H$287</c:f>
              <c:numCache>
                <c:formatCode>General</c:formatCode>
                <c:ptCount val="1"/>
                <c:pt idx="0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71-41CE-8785-1FCD1D1B8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-769130416"/>
        <c:axId val="-769128240"/>
      </c:barChart>
      <c:catAx>
        <c:axId val="-769130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9128240"/>
        <c:crosses val="autoZero"/>
        <c:auto val="1"/>
        <c:lblAlgn val="ctr"/>
        <c:lblOffset val="100"/>
        <c:noMultiLvlLbl val="0"/>
      </c:catAx>
      <c:valAx>
        <c:axId val="-76912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9130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3709818611400899"/>
          <c:y val="0.17154092038148608"/>
          <c:w val="0.32580374714599492"/>
          <c:h val="0.6173125413484597"/>
        </c:manualLayout>
      </c:layout>
      <c:radarChart>
        <c:radarStyle val="marker"/>
        <c:varyColors val="0"/>
        <c:ser>
          <c:idx val="3"/>
          <c:order val="3"/>
          <c:tx>
            <c:strRef>
              <c:f>'2.인력'!$D$289</c:f>
              <c:strCache>
                <c:ptCount val="1"/>
                <c:pt idx="0">
                  <c:v> 부족률(%) 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rgbClr val="FFC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'2.인력'!$E$285:$H$285</c:f>
              <c:strCache>
                <c:ptCount val="4"/>
                <c:pt idx="0">
                  <c:v> 고졸 </c:v>
                </c:pt>
                <c:pt idx="1">
                  <c:v> 전문대졸 </c:v>
                </c:pt>
                <c:pt idx="2">
                  <c:v> 대졸 </c:v>
                </c:pt>
                <c:pt idx="3">
                  <c:v> 대학원졸 </c:v>
                </c:pt>
              </c:strCache>
            </c:strRef>
          </c:cat>
          <c:val>
            <c:numRef>
              <c:f>'2.인력'!$E$289:$H$289</c:f>
              <c:numCache>
                <c:formatCode>0.0%</c:formatCode>
                <c:ptCount val="4"/>
                <c:pt idx="0">
                  <c:v>3.2047477744807124E-2</c:v>
                </c:pt>
                <c:pt idx="1">
                  <c:v>4.0071237756010687E-2</c:v>
                </c:pt>
                <c:pt idx="2">
                  <c:v>3.2185482293093329E-2</c:v>
                </c:pt>
                <c:pt idx="3">
                  <c:v>1.9E-2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8D-4EE5-B752-42132F801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69123344"/>
        <c:axId val="-769135856"/>
        <c:extLst>
          <c:ext xmlns:c15="http://schemas.microsoft.com/office/drawing/2012/chart" uri="{02D57815-91ED-43cb-92C2-25804820EDAC}">
            <c15:filteredRad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'2.인력'!$D$286</c15:sqref>
                        </c15:formulaRef>
                      </c:ext>
                    </c:extLst>
                    <c:strCache>
                      <c:ptCount val="1"/>
                      <c:pt idx="0">
                        <c:v> 현원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1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0"/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'2.인력'!$E$285:$H$285</c15:sqref>
                        </c15:formulaRef>
                      </c:ext>
                    </c:extLst>
                    <c:strCache>
                      <c:ptCount val="4"/>
                      <c:pt idx="0">
                        <c:v> 고졸 </c:v>
                      </c:pt>
                      <c:pt idx="1">
                        <c:v> 전문대졸 </c:v>
                      </c:pt>
                      <c:pt idx="2">
                        <c:v> 대졸 </c:v>
                      </c:pt>
                      <c:pt idx="3">
                        <c:v> 대학원졸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'2.인력'!$E$286:$H$286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16310</c:v>
                      </c:pt>
                      <c:pt idx="1">
                        <c:v>5390</c:v>
                      </c:pt>
                      <c:pt idx="2">
                        <c:v>9893</c:v>
                      </c:pt>
                      <c:pt idx="3">
                        <c:v>2547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2E8D-4EE5-B752-42132F801CDB}"/>
                  </c:ext>
                </c:extLst>
              </c15:ser>
            </c15:filteredRadarSeries>
            <c15:filteredRad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'2.인력'!$D$287</c15:sqref>
                        </c15:formulaRef>
                      </c:ext>
                    </c:extLst>
                    <c:strCache>
                      <c:ptCount val="1"/>
                      <c:pt idx="0">
                        <c:v> 부족인원 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'2.인력'!$E$285:$H$285</c15:sqref>
                        </c15:formulaRef>
                      </c:ext>
                    </c:extLst>
                    <c:strCache>
                      <c:ptCount val="4"/>
                      <c:pt idx="0">
                        <c:v> 고졸 </c:v>
                      </c:pt>
                      <c:pt idx="1">
                        <c:v> 전문대졸 </c:v>
                      </c:pt>
                      <c:pt idx="2">
                        <c:v> 대졸 </c:v>
                      </c:pt>
                      <c:pt idx="3">
                        <c:v> 대학원졸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'2.인력'!$E$287:$H$287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540</c:v>
                      </c:pt>
                      <c:pt idx="1">
                        <c:v>225</c:v>
                      </c:pt>
                      <c:pt idx="2">
                        <c:v>329</c:v>
                      </c:pt>
                      <c:pt idx="3">
                        <c:v>37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2E8D-4EE5-B752-42132F801CDB}"/>
                  </c:ext>
                </c:extLst>
              </c15:ser>
            </c15:filteredRadarSeries>
            <c15:filteredRad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'2.인력'!$D$288</c15:sqref>
                        </c15:formulaRef>
                      </c:ext>
                    </c:extLst>
                    <c:strCache>
                      <c:ptCount val="1"/>
                      <c:pt idx="0">
                        <c:v> 필요인원 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'2.인력'!$E$285:$H$285</c15:sqref>
                        </c15:formulaRef>
                      </c:ext>
                    </c:extLst>
                    <c:strCache>
                      <c:ptCount val="4"/>
                      <c:pt idx="0">
                        <c:v> 고졸 </c:v>
                      </c:pt>
                      <c:pt idx="1">
                        <c:v> 전문대졸 </c:v>
                      </c:pt>
                      <c:pt idx="2">
                        <c:v> 대졸 </c:v>
                      </c:pt>
                      <c:pt idx="3">
                        <c:v> 대학원졸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'2.인력'!$E$288:$H$288</c15:sqref>
                        </c15:formulaRef>
                      </c:ext>
                    </c:extLst>
                    <c:numCache>
                      <c:formatCode>_(* #,##0_);_(* \(#,##0\);_(* "-"_);_(@_)</c:formatCode>
                      <c:ptCount val="4"/>
                      <c:pt idx="0">
                        <c:v>16850</c:v>
                      </c:pt>
                      <c:pt idx="1">
                        <c:v>5615</c:v>
                      </c:pt>
                      <c:pt idx="2">
                        <c:v>10222</c:v>
                      </c:pt>
                      <c:pt idx="3">
                        <c:v>2584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2E8D-4EE5-B752-42132F801CDB}"/>
                  </c:ext>
                </c:extLst>
              </c15:ser>
            </c15:filteredRadarSeries>
          </c:ext>
        </c:extLst>
      </c:radarChart>
      <c:catAx>
        <c:axId val="-769123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9135856"/>
        <c:crosses val="autoZero"/>
        <c:auto val="1"/>
        <c:lblAlgn val="ctr"/>
        <c:lblOffset val="100"/>
        <c:noMultiLvlLbl val="0"/>
      </c:catAx>
      <c:valAx>
        <c:axId val="-769135856"/>
        <c:scaling>
          <c:orientation val="minMax"/>
          <c:max val="8.0000000000000016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9123344"/>
        <c:crosses val="autoZero"/>
        <c:crossBetween val="between"/>
        <c:majorUnit val="2.0000000000000004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'2.인력'!$E$368</c:f>
              <c:strCache>
                <c:ptCount val="1"/>
                <c:pt idx="0">
                  <c:v> 2018년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'2.인력'!$D$369:$D$377</c:f>
              <c:strCache>
                <c:ptCount val="9"/>
                <c:pt idx="0">
                  <c:v> 레드(의약품) </c:v>
                </c:pt>
                <c:pt idx="1">
                  <c:v> 레드(진단의료기기) </c:v>
                </c:pt>
                <c:pt idx="2">
                  <c:v> 그린(농업) </c:v>
                </c:pt>
                <c:pt idx="3">
                  <c:v> 그린(식품) </c:v>
                </c:pt>
                <c:pt idx="4">
                  <c:v> 화이트(화학) </c:v>
                </c:pt>
                <c:pt idx="5">
                  <c:v> 화이트(환경) </c:v>
                </c:pt>
                <c:pt idx="6">
                  <c:v> 화이트(에너지) </c:v>
                </c:pt>
                <c:pt idx="7">
                  <c:v> 플랫폼(지원서비스) </c:v>
                </c:pt>
                <c:pt idx="8">
                  <c:v> 플랫폼(기타) </c:v>
                </c:pt>
              </c:strCache>
            </c:strRef>
          </c:cat>
          <c:val>
            <c:numRef>
              <c:f>'2.인력'!$E$369:$E$377</c:f>
              <c:numCache>
                <c:formatCode>_(* #,##0.0_);_(* \(#,##0.0\);_(* "-"_);_(@_)</c:formatCode>
                <c:ptCount val="9"/>
                <c:pt idx="0">
                  <c:v>43.3</c:v>
                </c:pt>
                <c:pt idx="1">
                  <c:v>35.9</c:v>
                </c:pt>
                <c:pt idx="2">
                  <c:v>13.7</c:v>
                </c:pt>
                <c:pt idx="3">
                  <c:v>26.1</c:v>
                </c:pt>
                <c:pt idx="4">
                  <c:v>26.3</c:v>
                </c:pt>
                <c:pt idx="5">
                  <c:v>22.2</c:v>
                </c:pt>
                <c:pt idx="6">
                  <c:v>37.4</c:v>
                </c:pt>
                <c:pt idx="7">
                  <c:v>30.2</c:v>
                </c:pt>
                <c:pt idx="8">
                  <c:v>33.9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C7-4CA2-9AF8-FCBD308BB64B}"/>
            </c:ext>
          </c:extLst>
        </c:ser>
        <c:ser>
          <c:idx val="1"/>
          <c:order val="1"/>
          <c:tx>
            <c:strRef>
              <c:f>'2.인력'!$F$368</c:f>
              <c:strCache>
                <c:ptCount val="1"/>
                <c:pt idx="0">
                  <c:v> 2019년 </c:v>
                </c:pt>
              </c:strCache>
            </c:strRef>
          </c:tx>
          <c:spPr>
            <a:solidFill>
              <a:srgbClr val="F4A42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'2.인력'!$D$369:$D$377</c:f>
              <c:strCache>
                <c:ptCount val="9"/>
                <c:pt idx="0">
                  <c:v> 레드(의약품) </c:v>
                </c:pt>
                <c:pt idx="1">
                  <c:v> 레드(진단의료기기) </c:v>
                </c:pt>
                <c:pt idx="2">
                  <c:v> 그린(농업) </c:v>
                </c:pt>
                <c:pt idx="3">
                  <c:v> 그린(식품) </c:v>
                </c:pt>
                <c:pt idx="4">
                  <c:v> 화이트(화학) </c:v>
                </c:pt>
                <c:pt idx="5">
                  <c:v> 화이트(환경) </c:v>
                </c:pt>
                <c:pt idx="6">
                  <c:v> 화이트(에너지) </c:v>
                </c:pt>
                <c:pt idx="7">
                  <c:v> 플랫폼(지원서비스) </c:v>
                </c:pt>
                <c:pt idx="8">
                  <c:v> 플랫폼(기타) </c:v>
                </c:pt>
              </c:strCache>
            </c:strRef>
          </c:cat>
          <c:val>
            <c:numRef>
              <c:f>'2.인력'!$F$369:$F$377</c:f>
              <c:numCache>
                <c:formatCode>_(* #,##0.0_);_(* \(#,##0.0\);_(* "-"_);_(@_)</c:formatCode>
                <c:ptCount val="9"/>
                <c:pt idx="0">
                  <c:v>38.200000000000003</c:v>
                </c:pt>
                <c:pt idx="1">
                  <c:v>33.4</c:v>
                </c:pt>
                <c:pt idx="2">
                  <c:v>14.6</c:v>
                </c:pt>
                <c:pt idx="3">
                  <c:v>26.1</c:v>
                </c:pt>
                <c:pt idx="4">
                  <c:v>25.1</c:v>
                </c:pt>
                <c:pt idx="5">
                  <c:v>22.5</c:v>
                </c:pt>
                <c:pt idx="6">
                  <c:v>32.4</c:v>
                </c:pt>
                <c:pt idx="7">
                  <c:v>33.299999999999997</c:v>
                </c:pt>
                <c:pt idx="8">
                  <c:v>35.299999999999997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C7-4CA2-9AF8-FCBD308BB64B}"/>
            </c:ext>
          </c:extLst>
        </c:ser>
        <c:ser>
          <c:idx val="2"/>
          <c:order val="2"/>
          <c:tx>
            <c:strRef>
              <c:f>'2.인력'!$G$368</c:f>
              <c:strCache>
                <c:ptCount val="1"/>
                <c:pt idx="0">
                  <c:v> 2020년 </c:v>
                </c:pt>
              </c:strCache>
            </c:strRef>
          </c:tx>
          <c:spPr>
            <a:solidFill>
              <a:srgbClr val="F4806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'2.인력'!$D$369:$D$377</c:f>
              <c:strCache>
                <c:ptCount val="9"/>
                <c:pt idx="0">
                  <c:v> 레드(의약품) </c:v>
                </c:pt>
                <c:pt idx="1">
                  <c:v> 레드(진단의료기기) </c:v>
                </c:pt>
                <c:pt idx="2">
                  <c:v> 그린(농업) </c:v>
                </c:pt>
                <c:pt idx="3">
                  <c:v> 그린(식품) </c:v>
                </c:pt>
                <c:pt idx="4">
                  <c:v> 화이트(화학) </c:v>
                </c:pt>
                <c:pt idx="5">
                  <c:v> 화이트(환경) </c:v>
                </c:pt>
                <c:pt idx="6">
                  <c:v> 화이트(에너지) </c:v>
                </c:pt>
                <c:pt idx="7">
                  <c:v> 플랫폼(지원서비스) </c:v>
                </c:pt>
                <c:pt idx="8">
                  <c:v> 플랫폼(기타) </c:v>
                </c:pt>
              </c:strCache>
            </c:strRef>
          </c:cat>
          <c:val>
            <c:numRef>
              <c:f>'2.인력'!$G$369:$G$377</c:f>
              <c:numCache>
                <c:formatCode>_(* #,##0.0_);_(* \(#,##0.0\);_(* "-"_);_(@_)</c:formatCode>
                <c:ptCount val="9"/>
                <c:pt idx="0">
                  <c:v>38.200000000000003</c:v>
                </c:pt>
                <c:pt idx="1">
                  <c:v>33.4</c:v>
                </c:pt>
                <c:pt idx="2">
                  <c:v>14.6</c:v>
                </c:pt>
                <c:pt idx="3">
                  <c:v>26.1</c:v>
                </c:pt>
                <c:pt idx="4">
                  <c:v>25.1</c:v>
                </c:pt>
                <c:pt idx="5">
                  <c:v>22.5</c:v>
                </c:pt>
                <c:pt idx="6">
                  <c:v>32.4</c:v>
                </c:pt>
                <c:pt idx="7">
                  <c:v>33.299999999999997</c:v>
                </c:pt>
                <c:pt idx="8">
                  <c:v>35.299999999999997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9C7-4CA2-9AF8-FCBD308BB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769132592"/>
        <c:axId val="-769127152"/>
      </c:barChart>
      <c:catAx>
        <c:axId val="-769132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9127152"/>
        <c:crosses val="autoZero"/>
        <c:auto val="1"/>
        <c:lblAlgn val="ctr"/>
        <c:lblOffset val="100"/>
        <c:noMultiLvlLbl val="0"/>
      </c:catAx>
      <c:valAx>
        <c:axId val="-76912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_);_(* \(#,##0.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9132592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layout>
        <c:manualLayout>
          <c:xMode val="edge"/>
          <c:yMode val="edge"/>
          <c:x val="0.42697985841286185"/>
          <c:y val="0.89940905107185232"/>
          <c:w val="0.2282694441623474"/>
          <c:h val="7.67313037605243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chemeClr val="tx1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'2.인력'!$G$22</c:f>
              <c:strCache>
                <c:ptCount val="1"/>
                <c:pt idx="0">
                  <c:v> 석사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'2.인력'!$D$23:$D$28</c:f>
              <c:strCache>
                <c:ptCount val="6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  <c:pt idx="5">
                  <c:v> 2021년 </c:v>
                </c:pt>
              </c:strCache>
            </c:strRef>
          </c:cat>
          <c:val>
            <c:numRef>
              <c:f>'2.인력'!$G$23:$G$28</c:f>
              <c:numCache>
                <c:formatCode>_(* #,##0_);_(* \(#,##0\);_(* "-"_);_(@_)</c:formatCode>
                <c:ptCount val="6"/>
                <c:pt idx="0">
                  <c:v>9900</c:v>
                </c:pt>
                <c:pt idx="1">
                  <c:v>10288</c:v>
                </c:pt>
                <c:pt idx="2">
                  <c:v>9930</c:v>
                </c:pt>
                <c:pt idx="3">
                  <c:v>9471</c:v>
                </c:pt>
                <c:pt idx="4" formatCode="###,###,###,##0">
                  <c:v>9402</c:v>
                </c:pt>
                <c:pt idx="5" formatCode="_(* #,##0_);_(* \(#,##0\);_(* &quot;-&quot;_);_(@_)">
                  <c:v>8092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4E-4390-99A7-0F8E1A0EFF11}"/>
            </c:ext>
          </c:extLst>
        </c:ser>
        <c:ser>
          <c:idx val="1"/>
          <c:order val="1"/>
          <c:tx>
            <c:strRef>
              <c:f>'2.인력'!$J$22</c:f>
              <c:strCache>
                <c:ptCount val="1"/>
                <c:pt idx="0">
                  <c:v> 박사 </c:v>
                </c:pt>
              </c:strCache>
            </c:strRef>
          </c:tx>
          <c:spPr>
            <a:solidFill>
              <a:srgbClr val="F4A42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'2.인력'!$D$23:$D$28</c:f>
              <c:strCache>
                <c:ptCount val="6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  <c:pt idx="5">
                  <c:v> 2021년 </c:v>
                </c:pt>
              </c:strCache>
            </c:strRef>
          </c:cat>
          <c:val>
            <c:numRef>
              <c:f>'2.인력'!$J$23:$J$28</c:f>
              <c:numCache>
                <c:formatCode>_(* #,##0_);_(* \(#,##0\);_(* "-"_);_(@_)</c:formatCode>
                <c:ptCount val="6"/>
                <c:pt idx="0">
                  <c:v>3216</c:v>
                </c:pt>
                <c:pt idx="1">
                  <c:v>3327</c:v>
                </c:pt>
                <c:pt idx="2">
                  <c:v>3199</c:v>
                </c:pt>
                <c:pt idx="3" formatCode="###,###,###,##0">
                  <c:v>3283</c:v>
                </c:pt>
                <c:pt idx="4" formatCode="###,###,###,##0">
                  <c:v>3305</c:v>
                </c:pt>
                <c:pt idx="5" formatCode="_(* #,##0_);_(* \(#,##0\);_(* &quot;-&quot;_);_(@_)">
                  <c:v>3513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4E-4390-99A7-0F8E1A0EF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769126608"/>
        <c:axId val="-769134224"/>
      </c:barChart>
      <c:catAx>
        <c:axId val="-769126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9134224"/>
        <c:crosses val="autoZero"/>
        <c:auto val="1"/>
        <c:lblAlgn val="ctr"/>
        <c:lblOffset val="100"/>
        <c:noMultiLvlLbl val="0"/>
      </c:catAx>
      <c:valAx>
        <c:axId val="-76913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9126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chemeClr val="tx1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0486347935748334E-2"/>
          <c:y val="0.11468577279317242"/>
          <c:w val="0.93891274451425799"/>
          <c:h val="0.745779830872110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'2.인력'!$D$53</c:f>
              <c:strCache>
                <c:ptCount val="1"/>
                <c:pt idx="0">
                  <c:v> 종사자 현황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'2.인력'!$E$52:$I$52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'2.인력'!$E$53:$I$53</c:f>
              <c:numCache>
                <c:formatCode>_(* #,##0_);_(* \(#,##0\);_(* "-"_);_(@_)</c:formatCode>
                <c:ptCount val="5"/>
                <c:pt idx="0">
                  <c:v>41559</c:v>
                </c:pt>
                <c:pt idx="1">
                  <c:v>44895</c:v>
                </c:pt>
                <c:pt idx="2">
                  <c:v>46488</c:v>
                </c:pt>
                <c:pt idx="3">
                  <c:v>48683</c:v>
                </c:pt>
                <c:pt idx="4">
                  <c:v>53546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93-436A-831B-11EBA4B5C1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769135312"/>
        <c:axId val="-769129872"/>
      </c:barChart>
      <c:catAx>
        <c:axId val="-769135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9129872"/>
        <c:crosses val="autoZero"/>
        <c:auto val="1"/>
        <c:lblAlgn val="ctr"/>
        <c:lblOffset val="100"/>
        <c:noMultiLvlLbl val="0"/>
      </c:catAx>
      <c:valAx>
        <c:axId val="-769129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9135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chemeClr val="tx1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'2.인력'!$E$107</c:f>
              <c:strCache>
                <c:ptCount val="1"/>
                <c:pt idx="0">
                  <c:v> 업체수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'2.인력'!$D$110:$D$117</c:f>
              <c:strCache>
                <c:ptCount val="8"/>
                <c:pt idx="0">
                  <c:v> 바이오의약산업 </c:v>
                </c:pt>
                <c:pt idx="1">
                  <c:v> 바이오화학·에너지산업 </c:v>
                </c:pt>
                <c:pt idx="2">
                  <c:v> 바이오식품산업 </c:v>
                </c:pt>
                <c:pt idx="3">
                  <c:v> 바이오환경산업 </c:v>
                </c:pt>
                <c:pt idx="4">
                  <c:v> 바이오의료기기산업 </c:v>
                </c:pt>
                <c:pt idx="5">
                  <c:v> 바이오장비 및 기기산업 </c:v>
                </c:pt>
                <c:pt idx="6">
                  <c:v> 바이오자원산업 </c:v>
                </c:pt>
                <c:pt idx="7">
                  <c:v> 바이오서비스산업 </c:v>
                </c:pt>
              </c:strCache>
            </c:strRef>
          </c:cat>
          <c:val>
            <c:numRef>
              <c:f>'2.인력'!$E$110:$E$117</c:f>
              <c:numCache>
                <c:formatCode>_(* #,##0_);_(* \(#,##0\);_(* "-"_);_(@_)</c:formatCode>
                <c:ptCount val="8"/>
                <c:pt idx="0">
                  <c:v>326</c:v>
                </c:pt>
                <c:pt idx="1">
                  <c:v>191</c:v>
                </c:pt>
                <c:pt idx="2">
                  <c:v>170</c:v>
                </c:pt>
                <c:pt idx="3">
                  <c:v>64</c:v>
                </c:pt>
                <c:pt idx="4">
                  <c:v>96</c:v>
                </c:pt>
                <c:pt idx="5">
                  <c:v>62</c:v>
                </c:pt>
                <c:pt idx="6">
                  <c:v>15</c:v>
                </c:pt>
                <c:pt idx="7">
                  <c:v>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1-4B91-A832-A7FAB1663B4D}"/>
            </c:ext>
          </c:extLst>
        </c:ser>
        <c:ser>
          <c:idx val="1"/>
          <c:order val="1"/>
          <c:tx>
            <c:strRef>
              <c:f>'2.인력'!$F$107</c:f>
              <c:strCache>
                <c:ptCount val="1"/>
                <c:pt idx="0">
                  <c:v> 연구인력 </c:v>
                </c:pt>
              </c:strCache>
            </c:strRef>
          </c:tx>
          <c:spPr>
            <a:solidFill>
              <a:srgbClr val="F4A42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'2.인력'!$D$110:$D$117</c:f>
              <c:strCache>
                <c:ptCount val="8"/>
                <c:pt idx="0">
                  <c:v> 바이오의약산업 </c:v>
                </c:pt>
                <c:pt idx="1">
                  <c:v> 바이오화학·에너지산업 </c:v>
                </c:pt>
                <c:pt idx="2">
                  <c:v> 바이오식품산업 </c:v>
                </c:pt>
                <c:pt idx="3">
                  <c:v> 바이오환경산업 </c:v>
                </c:pt>
                <c:pt idx="4">
                  <c:v> 바이오의료기기산업 </c:v>
                </c:pt>
                <c:pt idx="5">
                  <c:v> 바이오장비 및 기기산업 </c:v>
                </c:pt>
                <c:pt idx="6">
                  <c:v> 바이오자원산업 </c:v>
                </c:pt>
                <c:pt idx="7">
                  <c:v> 바이오서비스산업 </c:v>
                </c:pt>
              </c:strCache>
            </c:strRef>
          </c:cat>
          <c:val>
            <c:numRef>
              <c:f>'2.인력'!$F$110:$F$117</c:f>
              <c:numCache>
                <c:formatCode>_(* #,##0_);_(* \(#,##0\);_(* "-"_);_(@_)</c:formatCode>
                <c:ptCount val="8"/>
                <c:pt idx="0">
                  <c:v>7451</c:v>
                </c:pt>
                <c:pt idx="1">
                  <c:v>2119</c:v>
                </c:pt>
                <c:pt idx="2">
                  <c:v>1592</c:v>
                </c:pt>
                <c:pt idx="3">
                  <c:v>372</c:v>
                </c:pt>
                <c:pt idx="4">
                  <c:v>1648</c:v>
                </c:pt>
                <c:pt idx="5">
                  <c:v>507</c:v>
                </c:pt>
                <c:pt idx="6">
                  <c:v>283</c:v>
                </c:pt>
                <c:pt idx="7">
                  <c:v>2901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61-4B91-A832-A7FAB1663B4D}"/>
            </c:ext>
          </c:extLst>
        </c:ser>
        <c:ser>
          <c:idx val="2"/>
          <c:order val="2"/>
          <c:tx>
            <c:strRef>
              <c:f>'2.인력'!$G$107</c:f>
              <c:strCache>
                <c:ptCount val="1"/>
                <c:pt idx="0">
                  <c:v> 생산인력 </c:v>
                </c:pt>
              </c:strCache>
            </c:strRef>
          </c:tx>
          <c:spPr>
            <a:solidFill>
              <a:srgbClr val="F4806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'2.인력'!$D$110:$D$117</c:f>
              <c:strCache>
                <c:ptCount val="8"/>
                <c:pt idx="0">
                  <c:v> 바이오의약산업 </c:v>
                </c:pt>
                <c:pt idx="1">
                  <c:v> 바이오화학·에너지산업 </c:v>
                </c:pt>
                <c:pt idx="2">
                  <c:v> 바이오식품산업 </c:v>
                </c:pt>
                <c:pt idx="3">
                  <c:v> 바이오환경산업 </c:v>
                </c:pt>
                <c:pt idx="4">
                  <c:v> 바이오의료기기산업 </c:v>
                </c:pt>
                <c:pt idx="5">
                  <c:v> 바이오장비 및 기기산업 </c:v>
                </c:pt>
                <c:pt idx="6">
                  <c:v> 바이오자원산업 </c:v>
                </c:pt>
                <c:pt idx="7">
                  <c:v> 바이오서비스산업 </c:v>
                </c:pt>
              </c:strCache>
            </c:strRef>
          </c:cat>
          <c:val>
            <c:numRef>
              <c:f>'2.인력'!$G$110:$G$117</c:f>
              <c:numCache>
                <c:formatCode>_(* #,##0_);_(* \(#,##0\);_(* "-"_);_(@_)</c:formatCode>
                <c:ptCount val="8"/>
                <c:pt idx="0">
                  <c:v>6802</c:v>
                </c:pt>
                <c:pt idx="1">
                  <c:v>2471</c:v>
                </c:pt>
                <c:pt idx="2">
                  <c:v>3432</c:v>
                </c:pt>
                <c:pt idx="3">
                  <c:v>392</c:v>
                </c:pt>
                <c:pt idx="4">
                  <c:v>2240</c:v>
                </c:pt>
                <c:pt idx="5">
                  <c:v>744</c:v>
                </c:pt>
                <c:pt idx="6">
                  <c:v>305</c:v>
                </c:pt>
                <c:pt idx="7">
                  <c:v>2106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61-4B91-A832-A7FAB1663B4D}"/>
            </c:ext>
          </c:extLst>
        </c:ser>
        <c:ser>
          <c:idx val="3"/>
          <c:order val="3"/>
          <c:tx>
            <c:strRef>
              <c:f>'2.인력'!$H$107</c:f>
              <c:strCache>
                <c:ptCount val="1"/>
                <c:pt idx="0">
                  <c:v> 기타인력 </c:v>
                </c:pt>
              </c:strCache>
            </c:strRef>
          </c:tx>
          <c:spPr>
            <a:solidFill>
              <a:srgbClr val="F2665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'2.인력'!$D$110:$D$117</c:f>
              <c:strCache>
                <c:ptCount val="8"/>
                <c:pt idx="0">
                  <c:v> 바이오의약산업 </c:v>
                </c:pt>
                <c:pt idx="1">
                  <c:v> 바이오화학·에너지산업 </c:v>
                </c:pt>
                <c:pt idx="2">
                  <c:v> 바이오식품산업 </c:v>
                </c:pt>
                <c:pt idx="3">
                  <c:v> 바이오환경산업 </c:v>
                </c:pt>
                <c:pt idx="4">
                  <c:v> 바이오의료기기산업 </c:v>
                </c:pt>
                <c:pt idx="5">
                  <c:v> 바이오장비 및 기기산업 </c:v>
                </c:pt>
                <c:pt idx="6">
                  <c:v> 바이오자원산업 </c:v>
                </c:pt>
                <c:pt idx="7">
                  <c:v> 바이오서비스산업 </c:v>
                </c:pt>
              </c:strCache>
            </c:strRef>
          </c:cat>
          <c:val>
            <c:numRef>
              <c:f>'2.인력'!$H$110:$H$117</c:f>
              <c:numCache>
                <c:formatCode>_(* #,##0_);_(* \(#,##0\);_(* "-"_);_(@_)</c:formatCode>
                <c:ptCount val="8"/>
                <c:pt idx="0">
                  <c:v>7579</c:v>
                </c:pt>
                <c:pt idx="1">
                  <c:v>2294</c:v>
                </c:pt>
                <c:pt idx="2">
                  <c:v>2215</c:v>
                </c:pt>
                <c:pt idx="3">
                  <c:v>270</c:v>
                </c:pt>
                <c:pt idx="4">
                  <c:v>2332</c:v>
                </c:pt>
                <c:pt idx="5">
                  <c:v>1144</c:v>
                </c:pt>
                <c:pt idx="6">
                  <c:v>490</c:v>
                </c:pt>
                <c:pt idx="7">
                  <c:v>1857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61-4B91-A832-A7FAB1663B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769133136"/>
        <c:axId val="-769127696"/>
      </c:barChart>
      <c:catAx>
        <c:axId val="-769133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9127696"/>
        <c:crosses val="autoZero"/>
        <c:auto val="1"/>
        <c:lblAlgn val="ctr"/>
        <c:lblOffset val="100"/>
        <c:noMultiLvlLbl val="0"/>
      </c:catAx>
      <c:valAx>
        <c:axId val="-76912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9133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chemeClr val="tx1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'2.인력'!$E$140</c:f>
              <c:strCache>
                <c:ptCount val="1"/>
                <c:pt idx="0">
                  <c:v> 박사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'2.인력'!$D$143:$D$150</c:f>
              <c:strCache>
                <c:ptCount val="8"/>
                <c:pt idx="0">
                  <c:v> 바이오의약산업 </c:v>
                </c:pt>
                <c:pt idx="1">
                  <c:v> 바이오화학·에너지산업 </c:v>
                </c:pt>
                <c:pt idx="2">
                  <c:v> 바이오식품산업 </c:v>
                </c:pt>
                <c:pt idx="3">
                  <c:v> 바이오환경산업 </c:v>
                </c:pt>
                <c:pt idx="4">
                  <c:v> 바이오의료기기산업 </c:v>
                </c:pt>
                <c:pt idx="5">
                  <c:v> 바이오장비 및 기기산업 </c:v>
                </c:pt>
                <c:pt idx="6">
                  <c:v> 바이오자원산업 </c:v>
                </c:pt>
                <c:pt idx="7">
                  <c:v> 바이오서비스산업 </c:v>
                </c:pt>
              </c:strCache>
            </c:strRef>
          </c:cat>
          <c:val>
            <c:numRef>
              <c:f>'2.인력'!$E$143:$E$150</c:f>
              <c:numCache>
                <c:formatCode>_(* #,##0_);_(* \(#,##0\);_(* "-"_);_(@_)</c:formatCode>
                <c:ptCount val="8"/>
                <c:pt idx="0">
                  <c:v>1488</c:v>
                </c:pt>
                <c:pt idx="1">
                  <c:v>324</c:v>
                </c:pt>
                <c:pt idx="2">
                  <c:v>309</c:v>
                </c:pt>
                <c:pt idx="3">
                  <c:v>35</c:v>
                </c:pt>
                <c:pt idx="4">
                  <c:v>302</c:v>
                </c:pt>
                <c:pt idx="5">
                  <c:v>65</c:v>
                </c:pt>
                <c:pt idx="6">
                  <c:v>54</c:v>
                </c:pt>
                <c:pt idx="7">
                  <c:v>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BB-4AF5-996B-0BDD9CD7BDEA}"/>
            </c:ext>
          </c:extLst>
        </c:ser>
        <c:ser>
          <c:idx val="1"/>
          <c:order val="1"/>
          <c:tx>
            <c:strRef>
              <c:f>'2.인력'!$F$140</c:f>
              <c:strCache>
                <c:ptCount val="1"/>
                <c:pt idx="0">
                  <c:v> 석사 </c:v>
                </c:pt>
              </c:strCache>
            </c:strRef>
          </c:tx>
          <c:spPr>
            <a:solidFill>
              <a:srgbClr val="F4A42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'2.인력'!$D$143:$D$150</c:f>
              <c:strCache>
                <c:ptCount val="8"/>
                <c:pt idx="0">
                  <c:v> 바이오의약산업 </c:v>
                </c:pt>
                <c:pt idx="1">
                  <c:v> 바이오화학·에너지산업 </c:v>
                </c:pt>
                <c:pt idx="2">
                  <c:v> 바이오식품산업 </c:v>
                </c:pt>
                <c:pt idx="3">
                  <c:v> 바이오환경산업 </c:v>
                </c:pt>
                <c:pt idx="4">
                  <c:v> 바이오의료기기산업 </c:v>
                </c:pt>
                <c:pt idx="5">
                  <c:v> 바이오장비 및 기기산업 </c:v>
                </c:pt>
                <c:pt idx="6">
                  <c:v> 바이오자원산업 </c:v>
                </c:pt>
                <c:pt idx="7">
                  <c:v> 바이오서비스산업 </c:v>
                </c:pt>
              </c:strCache>
            </c:strRef>
          </c:cat>
          <c:val>
            <c:numRef>
              <c:f>'2.인력'!$F$143:$F$150</c:f>
              <c:numCache>
                <c:formatCode>_(* #,##0_);_(* \(#,##0\);_(* "-"_);_(@_)</c:formatCode>
                <c:ptCount val="8"/>
                <c:pt idx="0">
                  <c:v>4709</c:v>
                </c:pt>
                <c:pt idx="1">
                  <c:v>1184</c:v>
                </c:pt>
                <c:pt idx="2">
                  <c:v>887</c:v>
                </c:pt>
                <c:pt idx="3">
                  <c:v>138</c:v>
                </c:pt>
                <c:pt idx="4">
                  <c:v>1061</c:v>
                </c:pt>
                <c:pt idx="5">
                  <c:v>213</c:v>
                </c:pt>
                <c:pt idx="6">
                  <c:v>155</c:v>
                </c:pt>
                <c:pt idx="7">
                  <c:v>1412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BB-4AF5-996B-0BDD9CD7BDEA}"/>
            </c:ext>
          </c:extLst>
        </c:ser>
        <c:ser>
          <c:idx val="2"/>
          <c:order val="2"/>
          <c:tx>
            <c:strRef>
              <c:f>'2.인력'!$G$140</c:f>
              <c:strCache>
                <c:ptCount val="1"/>
                <c:pt idx="0">
                  <c:v> 학사 </c:v>
                </c:pt>
              </c:strCache>
            </c:strRef>
          </c:tx>
          <c:spPr>
            <a:solidFill>
              <a:srgbClr val="F4806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'2.인력'!$D$143:$D$150</c:f>
              <c:strCache>
                <c:ptCount val="8"/>
                <c:pt idx="0">
                  <c:v> 바이오의약산업 </c:v>
                </c:pt>
                <c:pt idx="1">
                  <c:v> 바이오화학·에너지산업 </c:v>
                </c:pt>
                <c:pt idx="2">
                  <c:v> 바이오식품산업 </c:v>
                </c:pt>
                <c:pt idx="3">
                  <c:v> 바이오환경산업 </c:v>
                </c:pt>
                <c:pt idx="4">
                  <c:v> 바이오의료기기산업 </c:v>
                </c:pt>
                <c:pt idx="5">
                  <c:v> 바이오장비 및 기기산업 </c:v>
                </c:pt>
                <c:pt idx="6">
                  <c:v> 바이오자원산업 </c:v>
                </c:pt>
                <c:pt idx="7">
                  <c:v> 바이오서비스산업 </c:v>
                </c:pt>
              </c:strCache>
            </c:strRef>
          </c:cat>
          <c:val>
            <c:numRef>
              <c:f>'2.인력'!$G$143:$G$150</c:f>
              <c:numCache>
                <c:formatCode>_(* #,##0_);_(* \(#,##0\);_(* "-"_);_(@_)</c:formatCode>
                <c:ptCount val="8"/>
                <c:pt idx="0">
                  <c:v>10710</c:v>
                </c:pt>
                <c:pt idx="1">
                  <c:v>3223</c:v>
                </c:pt>
                <c:pt idx="2">
                  <c:v>3155</c:v>
                </c:pt>
                <c:pt idx="3">
                  <c:v>617</c:v>
                </c:pt>
                <c:pt idx="4">
                  <c:v>2961</c:v>
                </c:pt>
                <c:pt idx="5">
                  <c:v>1341</c:v>
                </c:pt>
                <c:pt idx="6">
                  <c:v>501</c:v>
                </c:pt>
                <c:pt idx="7">
                  <c:v>3700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BB-4AF5-996B-0BDD9CD7BDEA}"/>
            </c:ext>
          </c:extLst>
        </c:ser>
        <c:ser>
          <c:idx val="3"/>
          <c:order val="3"/>
          <c:tx>
            <c:strRef>
              <c:f>'2.인력'!$H$140</c:f>
              <c:strCache>
                <c:ptCount val="1"/>
                <c:pt idx="0">
                  <c:v> 기타 </c:v>
                </c:pt>
              </c:strCache>
            </c:strRef>
          </c:tx>
          <c:spPr>
            <a:solidFill>
              <a:srgbClr val="F2665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'2.인력'!$D$143:$D$150</c:f>
              <c:strCache>
                <c:ptCount val="8"/>
                <c:pt idx="0">
                  <c:v> 바이오의약산업 </c:v>
                </c:pt>
                <c:pt idx="1">
                  <c:v> 바이오화학·에너지산업 </c:v>
                </c:pt>
                <c:pt idx="2">
                  <c:v> 바이오식품산업 </c:v>
                </c:pt>
                <c:pt idx="3">
                  <c:v> 바이오환경산업 </c:v>
                </c:pt>
                <c:pt idx="4">
                  <c:v> 바이오의료기기산업 </c:v>
                </c:pt>
                <c:pt idx="5">
                  <c:v> 바이오장비 및 기기산업 </c:v>
                </c:pt>
                <c:pt idx="6">
                  <c:v> 바이오자원산업 </c:v>
                </c:pt>
                <c:pt idx="7">
                  <c:v> 바이오서비스산업 </c:v>
                </c:pt>
              </c:strCache>
            </c:strRef>
          </c:cat>
          <c:val>
            <c:numRef>
              <c:f>'2.인력'!$H$143:$H$150</c:f>
              <c:numCache>
                <c:formatCode>_(* #,##0_);_(* \(#,##0\);_(* "-"_);_(@_)</c:formatCode>
                <c:ptCount val="8"/>
                <c:pt idx="0">
                  <c:v>4925</c:v>
                </c:pt>
                <c:pt idx="1">
                  <c:v>2153</c:v>
                </c:pt>
                <c:pt idx="2">
                  <c:v>2888</c:v>
                </c:pt>
                <c:pt idx="3">
                  <c:v>244</c:v>
                </c:pt>
                <c:pt idx="4">
                  <c:v>1896</c:v>
                </c:pt>
                <c:pt idx="5">
                  <c:v>776</c:v>
                </c:pt>
                <c:pt idx="6">
                  <c:v>368</c:v>
                </c:pt>
                <c:pt idx="7">
                  <c:v>1365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4BB-4AF5-996B-0BDD9CD7B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769129328"/>
        <c:axId val="-769132048"/>
      </c:barChart>
      <c:catAx>
        <c:axId val="-769129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9132048"/>
        <c:crosses val="autoZero"/>
        <c:auto val="1"/>
        <c:lblAlgn val="ctr"/>
        <c:lblOffset val="100"/>
        <c:noMultiLvlLbl val="0"/>
      </c:catAx>
      <c:valAx>
        <c:axId val="-769132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9129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chemeClr val="tx1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'2.인력'!$E$173</c:f>
              <c:strCache>
                <c:ptCount val="1"/>
                <c:pt idx="0">
                  <c:v> 박사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cat>
            <c:strRef>
              <c:f>'2.인력'!$D$176:$D$192</c:f>
              <c:strCache>
                <c:ptCount val="17"/>
                <c:pt idx="0">
                  <c:v> 서울 </c:v>
                </c:pt>
                <c:pt idx="1">
                  <c:v> 부산 </c:v>
                </c:pt>
                <c:pt idx="2">
                  <c:v> 인천 </c:v>
                </c:pt>
                <c:pt idx="3">
                  <c:v> 대구 </c:v>
                </c:pt>
                <c:pt idx="4">
                  <c:v> 광주 </c:v>
                </c:pt>
                <c:pt idx="5">
                  <c:v> 대전 </c:v>
                </c:pt>
                <c:pt idx="6">
                  <c:v> 울산 </c:v>
                </c:pt>
                <c:pt idx="7">
                  <c:v> 세종 </c:v>
                </c:pt>
                <c:pt idx="8">
                  <c:v> 경기 </c:v>
                </c:pt>
                <c:pt idx="9">
                  <c:v> 강원 </c:v>
                </c:pt>
                <c:pt idx="10">
                  <c:v> 충북 </c:v>
                </c:pt>
                <c:pt idx="11">
                  <c:v> 충남 </c:v>
                </c:pt>
                <c:pt idx="12">
                  <c:v> 전북 </c:v>
                </c:pt>
                <c:pt idx="13">
                  <c:v> 전남 </c:v>
                </c:pt>
                <c:pt idx="14">
                  <c:v> 경북 </c:v>
                </c:pt>
                <c:pt idx="15">
                  <c:v> 경남 </c:v>
                </c:pt>
                <c:pt idx="16">
                  <c:v> 제주 </c:v>
                </c:pt>
              </c:strCache>
            </c:strRef>
          </c:cat>
          <c:val>
            <c:numRef>
              <c:f>'2.인력'!$E$176:$E$192</c:f>
              <c:numCache>
                <c:formatCode>_(* #,##0_);_(* \(#,##0\);_(* "-"_);_(@_)</c:formatCode>
                <c:ptCount val="17"/>
                <c:pt idx="0">
                  <c:v>575</c:v>
                </c:pt>
                <c:pt idx="1">
                  <c:v>12</c:v>
                </c:pt>
                <c:pt idx="2">
                  <c:v>325</c:v>
                </c:pt>
                <c:pt idx="3">
                  <c:v>14</c:v>
                </c:pt>
                <c:pt idx="4">
                  <c:v>9</c:v>
                </c:pt>
                <c:pt idx="5">
                  <c:v>215</c:v>
                </c:pt>
                <c:pt idx="6">
                  <c:v>27</c:v>
                </c:pt>
                <c:pt idx="7">
                  <c:v>9</c:v>
                </c:pt>
                <c:pt idx="8">
                  <c:v>1065</c:v>
                </c:pt>
                <c:pt idx="9">
                  <c:v>155</c:v>
                </c:pt>
                <c:pt idx="10">
                  <c:v>352</c:v>
                </c:pt>
                <c:pt idx="11">
                  <c:v>94</c:v>
                </c:pt>
                <c:pt idx="12">
                  <c:v>37</c:v>
                </c:pt>
                <c:pt idx="13">
                  <c:v>25</c:v>
                </c:pt>
                <c:pt idx="14">
                  <c:v>17</c:v>
                </c:pt>
                <c:pt idx="15">
                  <c:v>24</c:v>
                </c:pt>
                <c:pt idx="16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9F-4E14-B9BC-EB42EF148891}"/>
            </c:ext>
          </c:extLst>
        </c:ser>
        <c:ser>
          <c:idx val="1"/>
          <c:order val="1"/>
          <c:tx>
            <c:strRef>
              <c:f>'2.인력'!$F$173</c:f>
              <c:strCache>
                <c:ptCount val="1"/>
                <c:pt idx="0">
                  <c:v> 석사 </c:v>
                </c:pt>
              </c:strCache>
            </c:strRef>
          </c:tx>
          <c:spPr>
            <a:solidFill>
              <a:srgbClr val="F4A42A"/>
            </a:solidFill>
            <a:ln>
              <a:noFill/>
            </a:ln>
            <a:effectLst/>
          </c:spPr>
          <c:invertIfNegative val="0"/>
          <c:cat>
            <c:strRef>
              <c:f>'2.인력'!$D$176:$D$192</c:f>
              <c:strCache>
                <c:ptCount val="17"/>
                <c:pt idx="0">
                  <c:v> 서울 </c:v>
                </c:pt>
                <c:pt idx="1">
                  <c:v> 부산 </c:v>
                </c:pt>
                <c:pt idx="2">
                  <c:v> 인천 </c:v>
                </c:pt>
                <c:pt idx="3">
                  <c:v> 대구 </c:v>
                </c:pt>
                <c:pt idx="4">
                  <c:v> 광주 </c:v>
                </c:pt>
                <c:pt idx="5">
                  <c:v> 대전 </c:v>
                </c:pt>
                <c:pt idx="6">
                  <c:v> 울산 </c:v>
                </c:pt>
                <c:pt idx="7">
                  <c:v> 세종 </c:v>
                </c:pt>
                <c:pt idx="8">
                  <c:v> 경기 </c:v>
                </c:pt>
                <c:pt idx="9">
                  <c:v> 강원 </c:v>
                </c:pt>
                <c:pt idx="10">
                  <c:v> 충북 </c:v>
                </c:pt>
                <c:pt idx="11">
                  <c:v> 충남 </c:v>
                </c:pt>
                <c:pt idx="12">
                  <c:v> 전북 </c:v>
                </c:pt>
                <c:pt idx="13">
                  <c:v> 전남 </c:v>
                </c:pt>
                <c:pt idx="14">
                  <c:v> 경북 </c:v>
                </c:pt>
                <c:pt idx="15">
                  <c:v> 경남 </c:v>
                </c:pt>
                <c:pt idx="16">
                  <c:v> 제주 </c:v>
                </c:pt>
              </c:strCache>
            </c:strRef>
          </c:cat>
          <c:val>
            <c:numRef>
              <c:f>'2.인력'!$F$176:$F$192</c:f>
              <c:numCache>
                <c:formatCode>_(* #,##0_);_(* \(#,##0\);_(* "-"_);_(@_)</c:formatCode>
                <c:ptCount val="17"/>
                <c:pt idx="0">
                  <c:v>1819</c:v>
                </c:pt>
                <c:pt idx="1">
                  <c:v>37</c:v>
                </c:pt>
                <c:pt idx="2">
                  <c:v>1133</c:v>
                </c:pt>
                <c:pt idx="3">
                  <c:v>49</c:v>
                </c:pt>
                <c:pt idx="4">
                  <c:v>22</c:v>
                </c:pt>
                <c:pt idx="5">
                  <c:v>517</c:v>
                </c:pt>
                <c:pt idx="6">
                  <c:v>147</c:v>
                </c:pt>
                <c:pt idx="7">
                  <c:v>82</c:v>
                </c:pt>
                <c:pt idx="8">
                  <c:v>3328</c:v>
                </c:pt>
                <c:pt idx="9">
                  <c:v>461</c:v>
                </c:pt>
                <c:pt idx="10">
                  <c:v>1513</c:v>
                </c:pt>
                <c:pt idx="11">
                  <c:v>312</c:v>
                </c:pt>
                <c:pt idx="12">
                  <c:v>122</c:v>
                </c:pt>
                <c:pt idx="13">
                  <c:v>92</c:v>
                </c:pt>
                <c:pt idx="14">
                  <c:v>37</c:v>
                </c:pt>
                <c:pt idx="15">
                  <c:v>64</c:v>
                </c:pt>
                <c:pt idx="16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9F-4E14-B9BC-EB42EF148891}"/>
            </c:ext>
          </c:extLst>
        </c:ser>
        <c:ser>
          <c:idx val="2"/>
          <c:order val="2"/>
          <c:tx>
            <c:strRef>
              <c:f>'2.인력'!$G$173</c:f>
              <c:strCache>
                <c:ptCount val="1"/>
                <c:pt idx="0">
                  <c:v> 학사 </c:v>
                </c:pt>
              </c:strCache>
            </c:strRef>
          </c:tx>
          <c:spPr>
            <a:solidFill>
              <a:srgbClr val="F48065"/>
            </a:solidFill>
            <a:ln>
              <a:noFill/>
            </a:ln>
            <a:effectLst/>
          </c:spPr>
          <c:invertIfNegative val="0"/>
          <c:cat>
            <c:strRef>
              <c:f>'2.인력'!$D$176:$D$192</c:f>
              <c:strCache>
                <c:ptCount val="17"/>
                <c:pt idx="0">
                  <c:v> 서울 </c:v>
                </c:pt>
                <c:pt idx="1">
                  <c:v> 부산 </c:v>
                </c:pt>
                <c:pt idx="2">
                  <c:v> 인천 </c:v>
                </c:pt>
                <c:pt idx="3">
                  <c:v> 대구 </c:v>
                </c:pt>
                <c:pt idx="4">
                  <c:v> 광주 </c:v>
                </c:pt>
                <c:pt idx="5">
                  <c:v> 대전 </c:v>
                </c:pt>
                <c:pt idx="6">
                  <c:v> 울산 </c:v>
                </c:pt>
                <c:pt idx="7">
                  <c:v> 세종 </c:v>
                </c:pt>
                <c:pt idx="8">
                  <c:v> 경기 </c:v>
                </c:pt>
                <c:pt idx="9">
                  <c:v> 강원 </c:v>
                </c:pt>
                <c:pt idx="10">
                  <c:v> 충북 </c:v>
                </c:pt>
                <c:pt idx="11">
                  <c:v> 충남 </c:v>
                </c:pt>
                <c:pt idx="12">
                  <c:v> 전북 </c:v>
                </c:pt>
                <c:pt idx="13">
                  <c:v> 전남 </c:v>
                </c:pt>
                <c:pt idx="14">
                  <c:v> 경북 </c:v>
                </c:pt>
                <c:pt idx="15">
                  <c:v> 경남 </c:v>
                </c:pt>
                <c:pt idx="16">
                  <c:v> 제주 </c:v>
                </c:pt>
              </c:strCache>
            </c:strRef>
          </c:cat>
          <c:val>
            <c:numRef>
              <c:f>'2.인력'!$G$176:$G$192</c:f>
              <c:numCache>
                <c:formatCode>_(* #,##0_);_(* \(#,##0\);_(* "-"_);_(@_)</c:formatCode>
                <c:ptCount val="17"/>
                <c:pt idx="0">
                  <c:v>4795</c:v>
                </c:pt>
                <c:pt idx="1">
                  <c:v>152</c:v>
                </c:pt>
                <c:pt idx="2">
                  <c:v>2975</c:v>
                </c:pt>
                <c:pt idx="3">
                  <c:v>735</c:v>
                </c:pt>
                <c:pt idx="4">
                  <c:v>36</c:v>
                </c:pt>
                <c:pt idx="5">
                  <c:v>1324</c:v>
                </c:pt>
                <c:pt idx="6">
                  <c:v>675</c:v>
                </c:pt>
                <c:pt idx="7">
                  <c:v>188</c:v>
                </c:pt>
                <c:pt idx="8">
                  <c:v>7431</c:v>
                </c:pt>
                <c:pt idx="9">
                  <c:v>1169</c:v>
                </c:pt>
                <c:pt idx="10">
                  <c:v>4222</c:v>
                </c:pt>
                <c:pt idx="11">
                  <c:v>834</c:v>
                </c:pt>
                <c:pt idx="12">
                  <c:v>570</c:v>
                </c:pt>
                <c:pt idx="13">
                  <c:v>472</c:v>
                </c:pt>
                <c:pt idx="14">
                  <c:v>196</c:v>
                </c:pt>
                <c:pt idx="15">
                  <c:v>324</c:v>
                </c:pt>
                <c:pt idx="16">
                  <c:v>110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9F-4E14-B9BC-EB42EF148891}"/>
            </c:ext>
          </c:extLst>
        </c:ser>
        <c:ser>
          <c:idx val="3"/>
          <c:order val="3"/>
          <c:tx>
            <c:strRef>
              <c:f>'2.인력'!$H$173</c:f>
              <c:strCache>
                <c:ptCount val="1"/>
                <c:pt idx="0">
                  <c:v> 기타 </c:v>
                </c:pt>
              </c:strCache>
            </c:strRef>
          </c:tx>
          <c:spPr>
            <a:solidFill>
              <a:srgbClr val="F26651"/>
            </a:solidFill>
            <a:ln>
              <a:noFill/>
            </a:ln>
            <a:effectLst/>
          </c:spPr>
          <c:invertIfNegative val="0"/>
          <c:cat>
            <c:strRef>
              <c:f>'2.인력'!$D$176:$D$192</c:f>
              <c:strCache>
                <c:ptCount val="17"/>
                <c:pt idx="0">
                  <c:v> 서울 </c:v>
                </c:pt>
                <c:pt idx="1">
                  <c:v> 부산 </c:v>
                </c:pt>
                <c:pt idx="2">
                  <c:v> 인천 </c:v>
                </c:pt>
                <c:pt idx="3">
                  <c:v> 대구 </c:v>
                </c:pt>
                <c:pt idx="4">
                  <c:v> 광주 </c:v>
                </c:pt>
                <c:pt idx="5">
                  <c:v> 대전 </c:v>
                </c:pt>
                <c:pt idx="6">
                  <c:v> 울산 </c:v>
                </c:pt>
                <c:pt idx="7">
                  <c:v> 세종 </c:v>
                </c:pt>
                <c:pt idx="8">
                  <c:v> 경기 </c:v>
                </c:pt>
                <c:pt idx="9">
                  <c:v> 강원 </c:v>
                </c:pt>
                <c:pt idx="10">
                  <c:v> 충북 </c:v>
                </c:pt>
                <c:pt idx="11">
                  <c:v> 충남 </c:v>
                </c:pt>
                <c:pt idx="12">
                  <c:v> 전북 </c:v>
                </c:pt>
                <c:pt idx="13">
                  <c:v> 전남 </c:v>
                </c:pt>
                <c:pt idx="14">
                  <c:v> 경북 </c:v>
                </c:pt>
                <c:pt idx="15">
                  <c:v> 경남 </c:v>
                </c:pt>
                <c:pt idx="16">
                  <c:v> 제주 </c:v>
                </c:pt>
              </c:strCache>
            </c:strRef>
          </c:cat>
          <c:val>
            <c:numRef>
              <c:f>'2.인력'!$H$176:$H$192</c:f>
              <c:numCache>
                <c:formatCode>_(* #,##0_);_(* \(#,##0\);_(* "-"_);_(@_)</c:formatCode>
                <c:ptCount val="17"/>
                <c:pt idx="0">
                  <c:v>1205</c:v>
                </c:pt>
                <c:pt idx="1">
                  <c:v>57</c:v>
                </c:pt>
                <c:pt idx="2">
                  <c:v>1465</c:v>
                </c:pt>
                <c:pt idx="3">
                  <c:v>664</c:v>
                </c:pt>
                <c:pt idx="4">
                  <c:v>4</c:v>
                </c:pt>
                <c:pt idx="5">
                  <c:v>405</c:v>
                </c:pt>
                <c:pt idx="6">
                  <c:v>337</c:v>
                </c:pt>
                <c:pt idx="7">
                  <c:v>98</c:v>
                </c:pt>
                <c:pt idx="8">
                  <c:v>4369</c:v>
                </c:pt>
                <c:pt idx="9">
                  <c:v>1096</c:v>
                </c:pt>
                <c:pt idx="10">
                  <c:v>2904</c:v>
                </c:pt>
                <c:pt idx="11">
                  <c:v>788</c:v>
                </c:pt>
                <c:pt idx="12">
                  <c:v>608</c:v>
                </c:pt>
                <c:pt idx="13">
                  <c:v>225</c:v>
                </c:pt>
                <c:pt idx="14">
                  <c:v>136</c:v>
                </c:pt>
                <c:pt idx="15">
                  <c:v>157</c:v>
                </c:pt>
                <c:pt idx="16">
                  <c:v>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99F-4E14-B9BC-EB42EF148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769128784"/>
        <c:axId val="-769123888"/>
      </c:barChart>
      <c:catAx>
        <c:axId val="-769128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9123888"/>
        <c:crosses val="autoZero"/>
        <c:auto val="1"/>
        <c:lblAlgn val="ctr"/>
        <c:lblOffset val="100"/>
        <c:noMultiLvlLbl val="0"/>
      </c:catAx>
      <c:valAx>
        <c:axId val="-76912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9128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chemeClr val="tx1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'2.인력'!$E$322</c:f>
              <c:strCache>
                <c:ptCount val="1"/>
                <c:pt idx="0">
                  <c:v> 2018년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'2.인력'!$D$323:$D$331</c:f>
              <c:strCache>
                <c:ptCount val="9"/>
                <c:pt idx="0">
                  <c:v> 레드(의약품) </c:v>
                </c:pt>
                <c:pt idx="1">
                  <c:v> 레드(진단의료기기) </c:v>
                </c:pt>
                <c:pt idx="2">
                  <c:v> 그린(농업) </c:v>
                </c:pt>
                <c:pt idx="3">
                  <c:v> 그린(식품) </c:v>
                </c:pt>
                <c:pt idx="4">
                  <c:v> 화이트(화학) </c:v>
                </c:pt>
                <c:pt idx="5">
                  <c:v> 화이트(환경) </c:v>
                </c:pt>
                <c:pt idx="6">
                  <c:v> 화이트(에너지) </c:v>
                </c:pt>
                <c:pt idx="7">
                  <c:v> 플랫폼(지원서비스) </c:v>
                </c:pt>
                <c:pt idx="8">
                  <c:v> 플랫폼(기타) </c:v>
                </c:pt>
              </c:strCache>
            </c:strRef>
          </c:cat>
          <c:val>
            <c:numRef>
              <c:f>'2.인력'!$E$323:$E$331</c:f>
              <c:numCache>
                <c:formatCode>_(* #,##0.0_);_(* \(#,##0.0\);_(* "-"_);_(@_)</c:formatCode>
                <c:ptCount val="9"/>
                <c:pt idx="0">
                  <c:v>43</c:v>
                </c:pt>
                <c:pt idx="1">
                  <c:v>32.9</c:v>
                </c:pt>
                <c:pt idx="2">
                  <c:v>14.6</c:v>
                </c:pt>
                <c:pt idx="3">
                  <c:v>26.6</c:v>
                </c:pt>
                <c:pt idx="4">
                  <c:v>26.2</c:v>
                </c:pt>
                <c:pt idx="5">
                  <c:v>22.6</c:v>
                </c:pt>
                <c:pt idx="6">
                  <c:v>27.1</c:v>
                </c:pt>
                <c:pt idx="7">
                  <c:v>29.1</c:v>
                </c:pt>
                <c:pt idx="8">
                  <c:v>32.1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ED-4C27-963D-1A6FB6C51812}"/>
            </c:ext>
          </c:extLst>
        </c:ser>
        <c:ser>
          <c:idx val="1"/>
          <c:order val="1"/>
          <c:tx>
            <c:strRef>
              <c:f>'2.인력'!$F$322</c:f>
              <c:strCache>
                <c:ptCount val="1"/>
                <c:pt idx="0">
                  <c:v> 2019년 </c:v>
                </c:pt>
              </c:strCache>
            </c:strRef>
          </c:tx>
          <c:spPr>
            <a:solidFill>
              <a:srgbClr val="F4A42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'2.인력'!$D$323:$D$331</c:f>
              <c:strCache>
                <c:ptCount val="9"/>
                <c:pt idx="0">
                  <c:v> 레드(의약품) </c:v>
                </c:pt>
                <c:pt idx="1">
                  <c:v> 레드(진단의료기기) </c:v>
                </c:pt>
                <c:pt idx="2">
                  <c:v> 그린(농업) </c:v>
                </c:pt>
                <c:pt idx="3">
                  <c:v> 그린(식품) </c:v>
                </c:pt>
                <c:pt idx="4">
                  <c:v> 화이트(화학) </c:v>
                </c:pt>
                <c:pt idx="5">
                  <c:v> 화이트(환경) </c:v>
                </c:pt>
                <c:pt idx="6">
                  <c:v> 화이트(에너지) </c:v>
                </c:pt>
                <c:pt idx="7">
                  <c:v> 플랫폼(지원서비스) </c:v>
                </c:pt>
                <c:pt idx="8">
                  <c:v> 플랫폼(기타) </c:v>
                </c:pt>
              </c:strCache>
            </c:strRef>
          </c:cat>
          <c:val>
            <c:numRef>
              <c:f>'2.인력'!$F$323:$F$331</c:f>
              <c:numCache>
                <c:formatCode>_(* #,##0.0_);_(* \(#,##0.0\);_(* "-"_);_(@_)</c:formatCode>
                <c:ptCount val="9"/>
                <c:pt idx="0">
                  <c:v>39</c:v>
                </c:pt>
                <c:pt idx="1">
                  <c:v>31.4</c:v>
                </c:pt>
                <c:pt idx="2">
                  <c:v>15.4</c:v>
                </c:pt>
                <c:pt idx="3">
                  <c:v>27</c:v>
                </c:pt>
                <c:pt idx="4">
                  <c:v>25.2</c:v>
                </c:pt>
                <c:pt idx="5">
                  <c:v>21.9</c:v>
                </c:pt>
                <c:pt idx="6">
                  <c:v>23.7</c:v>
                </c:pt>
                <c:pt idx="7">
                  <c:v>34.299999999999997</c:v>
                </c:pt>
                <c:pt idx="8">
                  <c:v>32.299999999999997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ED-4C27-963D-1A6FB6C51812}"/>
            </c:ext>
          </c:extLst>
        </c:ser>
        <c:ser>
          <c:idx val="2"/>
          <c:order val="2"/>
          <c:tx>
            <c:strRef>
              <c:f>'2.인력'!$G$322</c:f>
              <c:strCache>
                <c:ptCount val="1"/>
                <c:pt idx="0">
                  <c:v> 2020년 </c:v>
                </c:pt>
              </c:strCache>
            </c:strRef>
          </c:tx>
          <c:spPr>
            <a:solidFill>
              <a:srgbClr val="F4806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'2.인력'!$D$323:$D$331</c:f>
              <c:strCache>
                <c:ptCount val="9"/>
                <c:pt idx="0">
                  <c:v> 레드(의약품) </c:v>
                </c:pt>
                <c:pt idx="1">
                  <c:v> 레드(진단의료기기) </c:v>
                </c:pt>
                <c:pt idx="2">
                  <c:v> 그린(농업) </c:v>
                </c:pt>
                <c:pt idx="3">
                  <c:v> 그린(식품) </c:v>
                </c:pt>
                <c:pt idx="4">
                  <c:v> 화이트(화학) </c:v>
                </c:pt>
                <c:pt idx="5">
                  <c:v> 화이트(환경) </c:v>
                </c:pt>
                <c:pt idx="6">
                  <c:v> 화이트(에너지) </c:v>
                </c:pt>
                <c:pt idx="7">
                  <c:v> 플랫폼(지원서비스) </c:v>
                </c:pt>
                <c:pt idx="8">
                  <c:v> 플랫폼(기타) </c:v>
                </c:pt>
              </c:strCache>
            </c:strRef>
          </c:cat>
          <c:val>
            <c:numRef>
              <c:f>'2.인력'!$G$323:$G$331</c:f>
              <c:numCache>
                <c:formatCode>_(* #,##0.0_);_(* \(#,##0.0\);_(* "-"_);_(@_)</c:formatCode>
                <c:ptCount val="9"/>
                <c:pt idx="0">
                  <c:v>39</c:v>
                </c:pt>
                <c:pt idx="1">
                  <c:v>31.4</c:v>
                </c:pt>
                <c:pt idx="2">
                  <c:v>15.4</c:v>
                </c:pt>
                <c:pt idx="3">
                  <c:v>27</c:v>
                </c:pt>
                <c:pt idx="4">
                  <c:v>25.2</c:v>
                </c:pt>
                <c:pt idx="5">
                  <c:v>21.9</c:v>
                </c:pt>
                <c:pt idx="6">
                  <c:v>23.7</c:v>
                </c:pt>
                <c:pt idx="7">
                  <c:v>34.299999999999997</c:v>
                </c:pt>
                <c:pt idx="8">
                  <c:v>32.299999999999997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ED-4C27-963D-1A6FB6C518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32897071"/>
        <c:axId val="1432900815"/>
      </c:barChart>
      <c:catAx>
        <c:axId val="1432897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32900815"/>
        <c:crosses val="autoZero"/>
        <c:auto val="1"/>
        <c:lblAlgn val="ctr"/>
        <c:lblOffset val="100"/>
        <c:noMultiLvlLbl val="0"/>
      </c:catAx>
      <c:valAx>
        <c:axId val="1432900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_);_(* \(#,##0.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32897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3385317616595209"/>
          <c:y val="0.89409667541557303"/>
          <c:w val="0.20454982437875549"/>
          <c:h val="7.81255468066491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'3.기술수준'!$D$9</c:f>
              <c:strCache>
                <c:ptCount val="1"/>
                <c:pt idx="0">
                  <c:v> 국내 바이오 관련 SCIE 논문(편)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'3.기술수준'!$E$8:$N$8</c:f>
              <c:strCache>
                <c:ptCount val="10"/>
                <c:pt idx="0">
                  <c:v> 2012년 </c:v>
                </c:pt>
                <c:pt idx="1">
                  <c:v> 2013년 </c:v>
                </c:pt>
                <c:pt idx="2">
                  <c:v> 2014년 </c:v>
                </c:pt>
                <c:pt idx="3">
                  <c:v> 2015년 </c:v>
                </c:pt>
                <c:pt idx="4">
                  <c:v> 2016년 </c:v>
                </c:pt>
                <c:pt idx="5">
                  <c:v> 2017년 </c:v>
                </c:pt>
                <c:pt idx="6">
                  <c:v> 2018년 </c:v>
                </c:pt>
                <c:pt idx="7">
                  <c:v> 2019년 </c:v>
                </c:pt>
                <c:pt idx="8">
                  <c:v> 2020년 </c:v>
                </c:pt>
                <c:pt idx="9">
                  <c:v> 2021년 </c:v>
                </c:pt>
              </c:strCache>
            </c:strRef>
          </c:cat>
          <c:val>
            <c:numRef>
              <c:f>'3.기술수준'!$E$9:$N$9</c:f>
              <c:numCache>
                <c:formatCode>_(* #,##0_);_(* \(#,##0\);_(* "-"_);_(@_)</c:formatCode>
                <c:ptCount val="10"/>
                <c:pt idx="0">
                  <c:v>8082</c:v>
                </c:pt>
                <c:pt idx="1">
                  <c:v>8849</c:v>
                </c:pt>
                <c:pt idx="2">
                  <c:v>9354</c:v>
                </c:pt>
                <c:pt idx="3">
                  <c:v>9697</c:v>
                </c:pt>
                <c:pt idx="4">
                  <c:v>9629</c:v>
                </c:pt>
                <c:pt idx="5">
                  <c:v>9850</c:v>
                </c:pt>
                <c:pt idx="6">
                  <c:v>9655</c:v>
                </c:pt>
                <c:pt idx="7">
                  <c:v>10360</c:v>
                </c:pt>
                <c:pt idx="8">
                  <c:v>11465</c:v>
                </c:pt>
                <c:pt idx="9">
                  <c:v>11739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F9-4747-B4B9-0A50CEFB3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-769125520"/>
        <c:axId val="-769138032"/>
      </c:barChart>
      <c:lineChart>
        <c:grouping val="standard"/>
        <c:varyColors val="0"/>
        <c:ser>
          <c:idx val="1"/>
          <c:order val="1"/>
          <c:tx>
            <c:strRef>
              <c:f>'3.기술수준'!$D$10</c:f>
              <c:strCache>
                <c:ptCount val="1"/>
                <c:pt idx="0">
                  <c:v> 순위(위) </c:v>
                </c:pt>
              </c:strCache>
            </c:strRef>
          </c:tx>
          <c:spPr>
            <a:ln w="28575" cap="rnd">
              <a:solidFill>
                <a:srgbClr val="F4A42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rgbClr val="F4A42A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'3.기술수준'!$E$8:$N$8</c:f>
              <c:strCache>
                <c:ptCount val="10"/>
                <c:pt idx="0">
                  <c:v> 2012년 </c:v>
                </c:pt>
                <c:pt idx="1">
                  <c:v> 2013년 </c:v>
                </c:pt>
                <c:pt idx="2">
                  <c:v> 2014년 </c:v>
                </c:pt>
                <c:pt idx="3">
                  <c:v> 2015년 </c:v>
                </c:pt>
                <c:pt idx="4">
                  <c:v> 2016년 </c:v>
                </c:pt>
                <c:pt idx="5">
                  <c:v> 2017년 </c:v>
                </c:pt>
                <c:pt idx="6">
                  <c:v> 2018년 </c:v>
                </c:pt>
                <c:pt idx="7">
                  <c:v> 2019년 </c:v>
                </c:pt>
                <c:pt idx="8">
                  <c:v> 2020년 </c:v>
                </c:pt>
                <c:pt idx="9">
                  <c:v> 2021년 </c:v>
                </c:pt>
              </c:strCache>
            </c:strRef>
          </c:cat>
          <c:val>
            <c:numRef>
              <c:f>'3.기술수준'!$E$10:$N$10</c:f>
              <c:numCache>
                <c:formatCode>_(* #,##0_);_(* \(#,##0\);_(* "-"_);_(@_)</c:formatCode>
                <c:ptCount val="10"/>
                <c:pt idx="0">
                  <c:v>10</c:v>
                </c:pt>
                <c:pt idx="1">
                  <c:v>10</c:v>
                </c:pt>
                <c:pt idx="2">
                  <c:v>12</c:v>
                </c:pt>
                <c:pt idx="3">
                  <c:v>11</c:v>
                </c:pt>
                <c:pt idx="4">
                  <c:v>13</c:v>
                </c:pt>
                <c:pt idx="5">
                  <c:v>10</c:v>
                </c:pt>
                <c:pt idx="6">
                  <c:v>12</c:v>
                </c:pt>
                <c:pt idx="7">
                  <c:v>13</c:v>
                </c:pt>
                <c:pt idx="8">
                  <c:v>13</c:v>
                </c:pt>
                <c:pt idx="9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F9-4747-B4B9-0A50CEFB3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69136400"/>
        <c:axId val="-769136944"/>
      </c:lineChart>
      <c:catAx>
        <c:axId val="-769125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9138032"/>
        <c:crosses val="autoZero"/>
        <c:auto val="1"/>
        <c:lblAlgn val="ctr"/>
        <c:lblOffset val="100"/>
        <c:noMultiLvlLbl val="0"/>
      </c:catAx>
      <c:valAx>
        <c:axId val="-769138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9125520"/>
        <c:crosses val="autoZero"/>
        <c:crossBetween val="between"/>
      </c:valAx>
      <c:valAx>
        <c:axId val="-769136944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9136400"/>
        <c:crosses val="max"/>
        <c:crossBetween val="between"/>
      </c:valAx>
      <c:catAx>
        <c:axId val="-7691364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7691369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'3.기술수준'!$D$37</c:f>
              <c:strCache>
                <c:ptCount val="1"/>
                <c:pt idx="0">
                  <c:v> CELL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'3.기술수준'!$E$34:$N$34</c:f>
              <c:strCache>
                <c:ptCount val="10"/>
                <c:pt idx="0">
                  <c:v> 2012년 </c:v>
                </c:pt>
                <c:pt idx="1">
                  <c:v> 2013년 </c:v>
                </c:pt>
                <c:pt idx="2">
                  <c:v> 2014년 </c:v>
                </c:pt>
                <c:pt idx="3">
                  <c:v> 2015년 </c:v>
                </c:pt>
                <c:pt idx="4">
                  <c:v> 2016년 </c:v>
                </c:pt>
                <c:pt idx="5">
                  <c:v> 2017년 </c:v>
                </c:pt>
                <c:pt idx="6">
                  <c:v> 2018년 </c:v>
                </c:pt>
                <c:pt idx="7">
                  <c:v> 2019년 </c:v>
                </c:pt>
                <c:pt idx="8">
                  <c:v> 2020년 </c:v>
                </c:pt>
                <c:pt idx="9">
                  <c:v> 2021년 </c:v>
                </c:pt>
              </c:strCache>
            </c:strRef>
          </c:cat>
          <c:val>
            <c:numRef>
              <c:f>'3.기술수준'!$E$37:$N$37</c:f>
              <c:numCache>
                <c:formatCode>_(* #,##0_);_(* \(#,##0\);_(* "-"_);_(@_)</c:formatCode>
                <c:ptCount val="10"/>
                <c:pt idx="0">
                  <c:v>8</c:v>
                </c:pt>
                <c:pt idx="1">
                  <c:v>12</c:v>
                </c:pt>
                <c:pt idx="2">
                  <c:v>12</c:v>
                </c:pt>
                <c:pt idx="3">
                  <c:v>8</c:v>
                </c:pt>
                <c:pt idx="4">
                  <c:v>4</c:v>
                </c:pt>
                <c:pt idx="5">
                  <c:v>2</c:v>
                </c:pt>
                <c:pt idx="6">
                  <c:v>12</c:v>
                </c:pt>
                <c:pt idx="7">
                  <c:v>10</c:v>
                </c:pt>
                <c:pt idx="8">
                  <c:v>13</c:v>
                </c:pt>
                <c:pt idx="9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23-45DB-87E4-9545B6CD6ED8}"/>
            </c:ext>
          </c:extLst>
        </c:ser>
        <c:ser>
          <c:idx val="1"/>
          <c:order val="1"/>
          <c:tx>
            <c:strRef>
              <c:f>'3.기술수준'!$D$36</c:f>
              <c:strCache>
                <c:ptCount val="1"/>
                <c:pt idx="0">
                  <c:v> SCIENCE </c:v>
                </c:pt>
              </c:strCache>
            </c:strRef>
          </c:tx>
          <c:spPr>
            <a:solidFill>
              <a:srgbClr val="F4A42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'3.기술수준'!$E$34:$N$34</c:f>
              <c:strCache>
                <c:ptCount val="10"/>
                <c:pt idx="0">
                  <c:v> 2012년 </c:v>
                </c:pt>
                <c:pt idx="1">
                  <c:v> 2013년 </c:v>
                </c:pt>
                <c:pt idx="2">
                  <c:v> 2014년 </c:v>
                </c:pt>
                <c:pt idx="3">
                  <c:v> 2015년 </c:v>
                </c:pt>
                <c:pt idx="4">
                  <c:v> 2016년 </c:v>
                </c:pt>
                <c:pt idx="5">
                  <c:v> 2017년 </c:v>
                </c:pt>
                <c:pt idx="6">
                  <c:v> 2018년 </c:v>
                </c:pt>
                <c:pt idx="7">
                  <c:v> 2019년 </c:v>
                </c:pt>
                <c:pt idx="8">
                  <c:v> 2020년 </c:v>
                </c:pt>
                <c:pt idx="9">
                  <c:v> 2021년 </c:v>
                </c:pt>
              </c:strCache>
            </c:strRef>
          </c:cat>
          <c:val>
            <c:numRef>
              <c:f>'3.기술수준'!$E$36:$N$36</c:f>
              <c:numCache>
                <c:formatCode>_(* #,##0_);_(* \(#,##0\);_(* "-"_);_(@_)</c:formatCode>
                <c:ptCount val="10"/>
                <c:pt idx="0">
                  <c:v>3</c:v>
                </c:pt>
                <c:pt idx="1">
                  <c:v>11</c:v>
                </c:pt>
                <c:pt idx="2">
                  <c:v>11</c:v>
                </c:pt>
                <c:pt idx="3">
                  <c:v>10</c:v>
                </c:pt>
                <c:pt idx="4">
                  <c:v>12</c:v>
                </c:pt>
                <c:pt idx="5">
                  <c:v>11</c:v>
                </c:pt>
                <c:pt idx="6">
                  <c:v>13</c:v>
                </c:pt>
                <c:pt idx="7">
                  <c:v>8</c:v>
                </c:pt>
                <c:pt idx="8">
                  <c:v>10</c:v>
                </c:pt>
                <c:pt idx="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23-45DB-87E4-9545B6CD6ED8}"/>
            </c:ext>
          </c:extLst>
        </c:ser>
        <c:ser>
          <c:idx val="2"/>
          <c:order val="2"/>
          <c:tx>
            <c:strRef>
              <c:f>'3.기술수준'!$D$35</c:f>
              <c:strCache>
                <c:ptCount val="1"/>
                <c:pt idx="0">
                  <c:v> NATURE </c:v>
                </c:pt>
              </c:strCache>
            </c:strRef>
          </c:tx>
          <c:spPr>
            <a:solidFill>
              <a:srgbClr val="F4806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'3.기술수준'!$E$34:$N$34</c:f>
              <c:strCache>
                <c:ptCount val="10"/>
                <c:pt idx="0">
                  <c:v> 2012년 </c:v>
                </c:pt>
                <c:pt idx="1">
                  <c:v> 2013년 </c:v>
                </c:pt>
                <c:pt idx="2">
                  <c:v> 2014년 </c:v>
                </c:pt>
                <c:pt idx="3">
                  <c:v> 2015년 </c:v>
                </c:pt>
                <c:pt idx="4">
                  <c:v> 2016년 </c:v>
                </c:pt>
                <c:pt idx="5">
                  <c:v> 2017년 </c:v>
                </c:pt>
                <c:pt idx="6">
                  <c:v> 2018년 </c:v>
                </c:pt>
                <c:pt idx="7">
                  <c:v> 2019년 </c:v>
                </c:pt>
                <c:pt idx="8">
                  <c:v> 2020년 </c:v>
                </c:pt>
                <c:pt idx="9">
                  <c:v> 2021년 </c:v>
                </c:pt>
              </c:strCache>
            </c:strRef>
          </c:cat>
          <c:val>
            <c:numRef>
              <c:f>'3.기술수준'!$E$35:$N$35</c:f>
              <c:numCache>
                <c:formatCode>_(* #,##0_);_(* \(#,##0\);_(* "-"_);_(@_)</c:formatCode>
                <c:ptCount val="10"/>
                <c:pt idx="0">
                  <c:v>11</c:v>
                </c:pt>
                <c:pt idx="1">
                  <c:v>12</c:v>
                </c:pt>
                <c:pt idx="2">
                  <c:v>17</c:v>
                </c:pt>
                <c:pt idx="3">
                  <c:v>10</c:v>
                </c:pt>
                <c:pt idx="4">
                  <c:v>15</c:v>
                </c:pt>
                <c:pt idx="5">
                  <c:v>18</c:v>
                </c:pt>
                <c:pt idx="6">
                  <c:v>13</c:v>
                </c:pt>
                <c:pt idx="7">
                  <c:v>14</c:v>
                </c:pt>
                <c:pt idx="8">
                  <c:v>22</c:v>
                </c:pt>
                <c:pt idx="9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23-45DB-87E4-9545B6CD6E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765926672"/>
        <c:axId val="-765929392"/>
      </c:barChart>
      <c:lineChart>
        <c:grouping val="standard"/>
        <c:varyColors val="0"/>
        <c:ser>
          <c:idx val="3"/>
          <c:order val="3"/>
          <c:tx>
            <c:strRef>
              <c:f>'3.기술수준'!$D$41</c:f>
              <c:strCache>
                <c:ptCount val="1"/>
                <c:pt idx="0">
                  <c:v> 합계 </c:v>
                </c:pt>
              </c:strCache>
            </c:strRef>
          </c:tx>
          <c:spPr>
            <a:ln w="28575" cap="rnd">
              <a:solidFill>
                <a:srgbClr val="3CADB8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3CADB8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'3.기술수준'!$E$41:$N$41</c:f>
              <c:numCache>
                <c:formatCode>_(* #,##0_);_(* \(#,##0\);_(* "-"_);_(@_)</c:formatCode>
                <c:ptCount val="10"/>
                <c:pt idx="0">
                  <c:v>22</c:v>
                </c:pt>
                <c:pt idx="1">
                  <c:v>35</c:v>
                </c:pt>
                <c:pt idx="2">
                  <c:v>40</c:v>
                </c:pt>
                <c:pt idx="3">
                  <c:v>28</c:v>
                </c:pt>
                <c:pt idx="4">
                  <c:v>31</c:v>
                </c:pt>
                <c:pt idx="5">
                  <c:v>31</c:v>
                </c:pt>
                <c:pt idx="6">
                  <c:v>38</c:v>
                </c:pt>
                <c:pt idx="7">
                  <c:v>32</c:v>
                </c:pt>
                <c:pt idx="8">
                  <c:v>45</c:v>
                </c:pt>
                <c:pt idx="9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23-45DB-87E4-9545B6CD6E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65938096"/>
        <c:axId val="-765931024"/>
      </c:lineChart>
      <c:catAx>
        <c:axId val="-765926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5929392"/>
        <c:crosses val="autoZero"/>
        <c:auto val="1"/>
        <c:lblAlgn val="ctr"/>
        <c:lblOffset val="100"/>
        <c:noMultiLvlLbl val="0"/>
      </c:catAx>
      <c:valAx>
        <c:axId val="-765929392"/>
        <c:scaling>
          <c:orientation val="minMax"/>
          <c:max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5926672"/>
        <c:crosses val="autoZero"/>
        <c:crossBetween val="between"/>
        <c:majorUnit val="10"/>
      </c:valAx>
      <c:valAx>
        <c:axId val="-765931024"/>
        <c:scaling>
          <c:orientation val="minMax"/>
          <c:max val="60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5938096"/>
        <c:crosses val="max"/>
        <c:crossBetween val="between"/>
      </c:valAx>
      <c:catAx>
        <c:axId val="-765938096"/>
        <c:scaling>
          <c:orientation val="minMax"/>
        </c:scaling>
        <c:delete val="1"/>
        <c:axPos val="b"/>
        <c:majorTickMark val="out"/>
        <c:minorTickMark val="none"/>
        <c:tickLblPos val="nextTo"/>
        <c:crossAx val="-7659310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286819964416965E-2"/>
          <c:y val="0.12317795275590551"/>
          <c:w val="0.94901149403256035"/>
          <c:h val="0.6199377077865267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'3.기술수준'!$D$65</c:f>
              <c:strCache>
                <c:ptCount val="1"/>
                <c:pt idx="0">
                  <c:v> 내국인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'3.기술수준'!$E$64:$O$64</c:f>
              <c:strCache>
                <c:ptCount val="11"/>
                <c:pt idx="0">
                  <c:v>  2011년 </c:v>
                </c:pt>
                <c:pt idx="1">
                  <c:v>  2012년 </c:v>
                </c:pt>
                <c:pt idx="2">
                  <c:v>  2013년 </c:v>
                </c:pt>
                <c:pt idx="3">
                  <c:v>  2014년 </c:v>
                </c:pt>
                <c:pt idx="4">
                  <c:v>  2015년 </c:v>
                </c:pt>
                <c:pt idx="5">
                  <c:v>  2016년 </c:v>
                </c:pt>
                <c:pt idx="6">
                  <c:v>  2017년 </c:v>
                </c:pt>
                <c:pt idx="7">
                  <c:v>  2018년 </c:v>
                </c:pt>
                <c:pt idx="8">
                  <c:v>  2019년 </c:v>
                </c:pt>
                <c:pt idx="9">
                  <c:v>  2020년 </c:v>
                </c:pt>
                <c:pt idx="10">
                  <c:v>  2021년 </c:v>
                </c:pt>
              </c:strCache>
            </c:strRef>
          </c:cat>
          <c:val>
            <c:numRef>
              <c:f>'3.기술수준'!$E$65:$O$65</c:f>
              <c:numCache>
                <c:formatCode>_(* #,##0_);_(* \(#,##0\);_(* "-"_);_(@_)</c:formatCode>
                <c:ptCount val="11"/>
                <c:pt idx="0">
                  <c:v>2897</c:v>
                </c:pt>
                <c:pt idx="1">
                  <c:v>3199</c:v>
                </c:pt>
                <c:pt idx="2">
                  <c:v>3278</c:v>
                </c:pt>
                <c:pt idx="3">
                  <c:v>3353</c:v>
                </c:pt>
                <c:pt idx="4">
                  <c:v>3294</c:v>
                </c:pt>
                <c:pt idx="5">
                  <c:v>3536</c:v>
                </c:pt>
                <c:pt idx="6">
                  <c:v>3777</c:v>
                </c:pt>
                <c:pt idx="7">
                  <c:v>3674</c:v>
                </c:pt>
                <c:pt idx="8">
                  <c:v>3841</c:v>
                </c:pt>
                <c:pt idx="9">
                  <c:v>4243</c:v>
                </c:pt>
                <c:pt idx="10">
                  <c:v>1459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3E-4C70-A123-B8FE47F3EC5E}"/>
            </c:ext>
          </c:extLst>
        </c:ser>
        <c:ser>
          <c:idx val="1"/>
          <c:order val="1"/>
          <c:tx>
            <c:strRef>
              <c:f>'3.기술수준'!$D$66</c:f>
              <c:strCache>
                <c:ptCount val="1"/>
                <c:pt idx="0">
                  <c:v> 외국인 </c:v>
                </c:pt>
              </c:strCache>
            </c:strRef>
          </c:tx>
          <c:spPr>
            <a:solidFill>
              <a:srgbClr val="F4A42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'3.기술수준'!$E$64:$O$64</c:f>
              <c:strCache>
                <c:ptCount val="11"/>
                <c:pt idx="0">
                  <c:v>  2011년 </c:v>
                </c:pt>
                <c:pt idx="1">
                  <c:v>  2012년 </c:v>
                </c:pt>
                <c:pt idx="2">
                  <c:v>  2013년 </c:v>
                </c:pt>
                <c:pt idx="3">
                  <c:v>  2014년 </c:v>
                </c:pt>
                <c:pt idx="4">
                  <c:v>  2015년 </c:v>
                </c:pt>
                <c:pt idx="5">
                  <c:v>  2016년 </c:v>
                </c:pt>
                <c:pt idx="6">
                  <c:v>  2017년 </c:v>
                </c:pt>
                <c:pt idx="7">
                  <c:v>  2018년 </c:v>
                </c:pt>
                <c:pt idx="8">
                  <c:v>  2019년 </c:v>
                </c:pt>
                <c:pt idx="9">
                  <c:v>  2020년 </c:v>
                </c:pt>
                <c:pt idx="10">
                  <c:v>  2021년 </c:v>
                </c:pt>
              </c:strCache>
            </c:strRef>
          </c:cat>
          <c:val>
            <c:numRef>
              <c:f>'3.기술수준'!$E$66:$O$66</c:f>
              <c:numCache>
                <c:formatCode>_(* #,##0_);_(* \(#,##0\);_(* "-"_);_(@_)</c:formatCode>
                <c:ptCount val="11"/>
                <c:pt idx="0">
                  <c:v>1852</c:v>
                </c:pt>
                <c:pt idx="1">
                  <c:v>1929</c:v>
                </c:pt>
                <c:pt idx="2">
                  <c:v>1892</c:v>
                </c:pt>
                <c:pt idx="3">
                  <c:v>2022</c:v>
                </c:pt>
                <c:pt idx="4">
                  <c:v>1899</c:v>
                </c:pt>
                <c:pt idx="5">
                  <c:v>2067</c:v>
                </c:pt>
                <c:pt idx="6">
                  <c:v>2254</c:v>
                </c:pt>
                <c:pt idx="7">
                  <c:v>2409</c:v>
                </c:pt>
                <c:pt idx="8">
                  <c:v>2795</c:v>
                </c:pt>
                <c:pt idx="9">
                  <c:v>2459</c:v>
                </c:pt>
                <c:pt idx="10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3E-4C70-A123-B8FE47F3EC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-765926128"/>
        <c:axId val="-765924496"/>
      </c:barChart>
      <c:catAx>
        <c:axId val="-765926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5924496"/>
        <c:crosses val="autoZero"/>
        <c:auto val="1"/>
        <c:lblAlgn val="ctr"/>
        <c:lblOffset val="100"/>
        <c:noMultiLvlLbl val="0"/>
      </c:catAx>
      <c:valAx>
        <c:axId val="-765924496"/>
        <c:scaling>
          <c:orientation val="minMax"/>
          <c:max val="4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592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chemeClr val="tx1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'3.기술수준'!$D$121</c:f>
              <c:strCache>
                <c:ptCount val="1"/>
                <c:pt idx="0">
                  <c:v> 등록수(건)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'3.기술수준'!$E$120:$O$120</c:f>
              <c:strCache>
                <c:ptCount val="11"/>
                <c:pt idx="0">
                  <c:v> 2011년 </c:v>
                </c:pt>
                <c:pt idx="1">
                  <c:v> 2012년 </c:v>
                </c:pt>
                <c:pt idx="2">
                  <c:v> 2013년 </c:v>
                </c:pt>
                <c:pt idx="3">
                  <c:v> 2014년 </c:v>
                </c:pt>
                <c:pt idx="4">
                  <c:v> 2015년 </c:v>
                </c:pt>
                <c:pt idx="5">
                  <c:v> 2016년 </c:v>
                </c:pt>
                <c:pt idx="6">
                  <c:v> 2017년 </c:v>
                </c:pt>
                <c:pt idx="7">
                  <c:v> 2018년 </c:v>
                </c:pt>
                <c:pt idx="8">
                  <c:v> 2019년 </c:v>
                </c:pt>
                <c:pt idx="9">
                  <c:v> 2020년 </c:v>
                </c:pt>
                <c:pt idx="10">
                  <c:v> 2021년 </c:v>
                </c:pt>
              </c:strCache>
            </c:strRef>
          </c:cat>
          <c:val>
            <c:numRef>
              <c:f>'3.기술수준'!$E$121:$O$121</c:f>
              <c:numCache>
                <c:formatCode>_(* #,##0_);_(* \(#,##0\);_(* "-"_);_(@_)</c:formatCode>
                <c:ptCount val="11"/>
                <c:pt idx="0">
                  <c:v>157</c:v>
                </c:pt>
                <c:pt idx="1">
                  <c:v>166</c:v>
                </c:pt>
                <c:pt idx="2">
                  <c:v>218</c:v>
                </c:pt>
                <c:pt idx="3">
                  <c:v>248</c:v>
                </c:pt>
                <c:pt idx="4">
                  <c:v>255</c:v>
                </c:pt>
                <c:pt idx="5">
                  <c:v>266</c:v>
                </c:pt>
                <c:pt idx="6">
                  <c:v>301</c:v>
                </c:pt>
                <c:pt idx="7">
                  <c:v>354</c:v>
                </c:pt>
                <c:pt idx="8">
                  <c:v>377</c:v>
                </c:pt>
                <c:pt idx="9">
                  <c:v>388</c:v>
                </c:pt>
                <c:pt idx="10">
                  <c:v>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71-40EE-879A-740B9FA29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765939728"/>
        <c:axId val="-765925584"/>
      </c:barChart>
      <c:lineChart>
        <c:grouping val="standard"/>
        <c:varyColors val="0"/>
        <c:ser>
          <c:idx val="1"/>
          <c:order val="1"/>
          <c:tx>
            <c:strRef>
              <c:f>'3.기술수준'!$D$122</c:f>
              <c:strCache>
                <c:ptCount val="1"/>
                <c:pt idx="0">
                  <c:v> 순위(위) </c:v>
                </c:pt>
              </c:strCache>
            </c:strRef>
          </c:tx>
          <c:spPr>
            <a:ln w="28575" cap="rnd">
              <a:solidFill>
                <a:srgbClr val="F4A42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'3.기술수준'!$E$120:$O$120</c:f>
              <c:strCache>
                <c:ptCount val="11"/>
                <c:pt idx="0">
                  <c:v> 2011년 </c:v>
                </c:pt>
                <c:pt idx="1">
                  <c:v> 2012년 </c:v>
                </c:pt>
                <c:pt idx="2">
                  <c:v> 2013년 </c:v>
                </c:pt>
                <c:pt idx="3">
                  <c:v> 2014년 </c:v>
                </c:pt>
                <c:pt idx="4">
                  <c:v> 2015년 </c:v>
                </c:pt>
                <c:pt idx="5">
                  <c:v> 2016년 </c:v>
                </c:pt>
                <c:pt idx="6">
                  <c:v> 2017년 </c:v>
                </c:pt>
                <c:pt idx="7">
                  <c:v> 2018년 </c:v>
                </c:pt>
                <c:pt idx="8">
                  <c:v> 2019년 </c:v>
                </c:pt>
                <c:pt idx="9">
                  <c:v> 2020년 </c:v>
                </c:pt>
                <c:pt idx="10">
                  <c:v> 2021년 </c:v>
                </c:pt>
              </c:strCache>
            </c:strRef>
          </c:cat>
          <c:val>
            <c:numRef>
              <c:f>'3.기술수준'!$E$122:$O$122</c:f>
              <c:numCache>
                <c:formatCode>_(* #,##0_);_(* \(#,##0\);_(* "-"_);_(@_)</c:formatCode>
                <c:ptCount val="11"/>
                <c:pt idx="0">
                  <c:v>10</c:v>
                </c:pt>
                <c:pt idx="1">
                  <c:v>10</c:v>
                </c:pt>
                <c:pt idx="2">
                  <c:v>8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6</c:v>
                </c:pt>
                <c:pt idx="8">
                  <c:v>5</c:v>
                </c:pt>
                <c:pt idx="9">
                  <c:v>6</c:v>
                </c:pt>
                <c:pt idx="10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71-40EE-879A-740B9FA29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65925040"/>
        <c:axId val="-765937552"/>
      </c:lineChart>
      <c:catAx>
        <c:axId val="-765939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5925584"/>
        <c:crosses val="autoZero"/>
        <c:auto val="1"/>
        <c:lblAlgn val="ctr"/>
        <c:lblOffset val="100"/>
        <c:noMultiLvlLbl val="0"/>
      </c:catAx>
      <c:valAx>
        <c:axId val="-765925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5939728"/>
        <c:crosses val="autoZero"/>
        <c:crossBetween val="between"/>
      </c:valAx>
      <c:valAx>
        <c:axId val="-765937552"/>
        <c:scaling>
          <c:orientation val="maxMin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5925040"/>
        <c:crosses val="max"/>
        <c:crossBetween val="between"/>
      </c:valAx>
      <c:catAx>
        <c:axId val="-765925040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-7659375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chemeClr val="tx1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'4.산업'!$D$50</c:f>
              <c:strCache>
                <c:ptCount val="1"/>
                <c:pt idx="0">
                  <c:v> 전체 신규투자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'4.산업'!$E$49:$I$49</c:f>
              <c:strCache>
                <c:ptCount val="5"/>
                <c:pt idx="0">
                  <c:v> 2017년 </c:v>
                </c:pt>
                <c:pt idx="1">
                  <c:v> 2018년 </c:v>
                </c:pt>
                <c:pt idx="2">
                  <c:v> 2019년 </c:v>
                </c:pt>
                <c:pt idx="3">
                  <c:v> 2020년 </c:v>
                </c:pt>
                <c:pt idx="4">
                  <c:v> 2021년 </c:v>
                </c:pt>
              </c:strCache>
            </c:strRef>
          </c:cat>
          <c:val>
            <c:numRef>
              <c:f>'4.산업'!$E$50:$I$50</c:f>
              <c:numCache>
                <c:formatCode>_(* #,##0_);_(* \(#,##0\);_(* "-"_);_(@_)</c:formatCode>
                <c:ptCount val="5"/>
                <c:pt idx="0">
                  <c:v>23803</c:v>
                </c:pt>
                <c:pt idx="1">
                  <c:v>34249</c:v>
                </c:pt>
                <c:pt idx="2">
                  <c:v>42777</c:v>
                </c:pt>
                <c:pt idx="3" formatCode="#,##0">
                  <c:v>43045</c:v>
                </c:pt>
                <c:pt idx="4">
                  <c:v>76802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91-45FD-8039-3335793D4C93}"/>
            </c:ext>
          </c:extLst>
        </c:ser>
        <c:ser>
          <c:idx val="1"/>
          <c:order val="1"/>
          <c:tx>
            <c:strRef>
              <c:f>'4.산업'!$D$51</c:f>
              <c:strCache>
                <c:ptCount val="1"/>
                <c:pt idx="0">
                  <c:v> 바이오/의료 신규투자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'4.산업'!$E$49:$I$49</c:f>
              <c:strCache>
                <c:ptCount val="5"/>
                <c:pt idx="0">
                  <c:v> 2017년 </c:v>
                </c:pt>
                <c:pt idx="1">
                  <c:v> 2018년 </c:v>
                </c:pt>
                <c:pt idx="2">
                  <c:v> 2019년 </c:v>
                </c:pt>
                <c:pt idx="3">
                  <c:v> 2020년 </c:v>
                </c:pt>
                <c:pt idx="4">
                  <c:v> 2021년 </c:v>
                </c:pt>
              </c:strCache>
            </c:strRef>
          </c:cat>
          <c:val>
            <c:numRef>
              <c:f>'4.산업'!$E$51:$I$51</c:f>
              <c:numCache>
                <c:formatCode>_(* #,##0_);_(* \(#,##0\);_(* "-"_);_(@_)</c:formatCode>
                <c:ptCount val="5"/>
                <c:pt idx="0">
                  <c:v>3788</c:v>
                </c:pt>
                <c:pt idx="1">
                  <c:v>8417</c:v>
                </c:pt>
                <c:pt idx="2">
                  <c:v>11033</c:v>
                </c:pt>
                <c:pt idx="3">
                  <c:v>11970</c:v>
                </c:pt>
                <c:pt idx="4">
                  <c:v>16770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91-45FD-8039-3335793D4C93}"/>
            </c:ext>
          </c:extLst>
        </c:ser>
        <c:ser>
          <c:idx val="2"/>
          <c:order val="2"/>
          <c:tx>
            <c:strRef>
              <c:f>'4.산업'!$D$52</c:f>
              <c:strCache>
                <c:ptCount val="1"/>
                <c:pt idx="0">
                  <c:v> 바이오/의료 업종 점유율(%) 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'4.산업'!$E$49:$I$49</c:f>
              <c:strCache>
                <c:ptCount val="5"/>
                <c:pt idx="0">
                  <c:v> 2017년 </c:v>
                </c:pt>
                <c:pt idx="1">
                  <c:v> 2018년 </c:v>
                </c:pt>
                <c:pt idx="2">
                  <c:v> 2019년 </c:v>
                </c:pt>
                <c:pt idx="3">
                  <c:v> 2020년 </c:v>
                </c:pt>
                <c:pt idx="4">
                  <c:v> 2021년 </c:v>
                </c:pt>
              </c:strCache>
            </c:strRef>
          </c:cat>
          <c:val>
            <c:numRef>
              <c:f>'4.산업'!$E$52:$I$52</c:f>
              <c:numCache>
                <c:formatCode>_(* #,##0.0_);_(* \(#,##0.0\);_(* "-"_);_(@_)</c:formatCode>
                <c:ptCount val="5"/>
                <c:pt idx="0">
                  <c:v>16</c:v>
                </c:pt>
                <c:pt idx="1">
                  <c:v>24.6</c:v>
                </c:pt>
                <c:pt idx="2">
                  <c:v>25.8</c:v>
                </c:pt>
                <c:pt idx="3">
                  <c:v>27.8</c:v>
                </c:pt>
                <c:pt idx="4">
                  <c:v>21.8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27-4F3F-8508-5ECB22F04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6023968"/>
        <c:axId val="406043520"/>
      </c:barChart>
      <c:catAx>
        <c:axId val="406023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6043520"/>
        <c:crosses val="autoZero"/>
        <c:auto val="1"/>
        <c:lblAlgn val="ctr"/>
        <c:lblOffset val="100"/>
        <c:noMultiLvlLbl val="0"/>
      </c:catAx>
      <c:valAx>
        <c:axId val="406043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6023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ea"/>
              <a:ea typeface="+mj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'4.산업'!$D$71</c:f>
              <c:strCache>
                <c:ptCount val="1"/>
                <c:pt idx="0">
                  <c:v> 전체 기술특례상장기업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'4.산업'!$E$70:$I$70</c:f>
              <c:strCache>
                <c:ptCount val="5"/>
                <c:pt idx="0">
                  <c:v> 2017년 </c:v>
                </c:pt>
                <c:pt idx="1">
                  <c:v> 2018년 </c:v>
                </c:pt>
                <c:pt idx="2">
                  <c:v> 2019년 </c:v>
                </c:pt>
                <c:pt idx="3">
                  <c:v> 2020년 </c:v>
                </c:pt>
                <c:pt idx="4">
                  <c:v> 2021년  </c:v>
                </c:pt>
              </c:strCache>
            </c:strRef>
          </c:cat>
          <c:val>
            <c:numRef>
              <c:f>'4.산업'!$E$71:$I$71</c:f>
              <c:numCache>
                <c:formatCode>General</c:formatCode>
                <c:ptCount val="5"/>
                <c:pt idx="0">
                  <c:v>8</c:v>
                </c:pt>
                <c:pt idx="1">
                  <c:v>22</c:v>
                </c:pt>
                <c:pt idx="2">
                  <c:v>24</c:v>
                </c:pt>
                <c:pt idx="3">
                  <c:v>26</c:v>
                </c:pt>
                <c:pt idx="4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75-487F-AB58-06FDD261B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53016047"/>
        <c:axId val="2052993999"/>
      </c:barChart>
      <c:lineChart>
        <c:grouping val="standard"/>
        <c:varyColors val="0"/>
        <c:ser>
          <c:idx val="1"/>
          <c:order val="1"/>
          <c:tx>
            <c:strRef>
              <c:f>'4.산업'!$D$72</c:f>
              <c:strCache>
                <c:ptCount val="1"/>
                <c:pt idx="0">
                  <c:v> 바이오 기술특례상장기업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'4.산업'!$E$70:$I$70</c:f>
              <c:strCache>
                <c:ptCount val="5"/>
                <c:pt idx="0">
                  <c:v> 2017년 </c:v>
                </c:pt>
                <c:pt idx="1">
                  <c:v> 2018년 </c:v>
                </c:pt>
                <c:pt idx="2">
                  <c:v> 2019년 </c:v>
                </c:pt>
                <c:pt idx="3">
                  <c:v> 2020년 </c:v>
                </c:pt>
                <c:pt idx="4">
                  <c:v> 2021년  </c:v>
                </c:pt>
              </c:strCache>
            </c:strRef>
          </c:cat>
          <c:val>
            <c:numRef>
              <c:f>'4.산업'!$E$72:$I$72</c:f>
              <c:numCache>
                <c:formatCode>General</c:formatCode>
                <c:ptCount val="5"/>
                <c:pt idx="0">
                  <c:v>5</c:v>
                </c:pt>
                <c:pt idx="1">
                  <c:v>18</c:v>
                </c:pt>
                <c:pt idx="2">
                  <c:v>17</c:v>
                </c:pt>
                <c:pt idx="3">
                  <c:v>15</c:v>
                </c:pt>
                <c:pt idx="4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75-487F-AB58-06FDD261B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3016047"/>
        <c:axId val="2052993999"/>
      </c:lineChart>
      <c:catAx>
        <c:axId val="2053016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52993999"/>
        <c:crosses val="autoZero"/>
        <c:auto val="1"/>
        <c:lblAlgn val="ctr"/>
        <c:lblOffset val="100"/>
        <c:noMultiLvlLbl val="0"/>
      </c:catAx>
      <c:valAx>
        <c:axId val="2052993999"/>
        <c:scaling>
          <c:orientation val="minMax"/>
          <c:max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53016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'5. 의약품'!$E$434</c:f>
              <c:strCache>
                <c:ptCount val="1"/>
                <c:pt idx="0">
                  <c:v> NMEs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'5. 의약품'!$D$435:$D$456</c:f>
              <c:strCache>
                <c:ptCount val="22"/>
                <c:pt idx="0">
                  <c:v> 2000년 </c:v>
                </c:pt>
                <c:pt idx="1">
                  <c:v> 2001년 </c:v>
                </c:pt>
                <c:pt idx="2">
                  <c:v> 2002년 </c:v>
                </c:pt>
                <c:pt idx="3">
                  <c:v> 2003년 </c:v>
                </c:pt>
                <c:pt idx="4">
                  <c:v> 2004년 </c:v>
                </c:pt>
                <c:pt idx="5">
                  <c:v> 2005년 </c:v>
                </c:pt>
                <c:pt idx="6">
                  <c:v> 2006년 </c:v>
                </c:pt>
                <c:pt idx="7">
                  <c:v> 2007년 </c:v>
                </c:pt>
                <c:pt idx="8">
                  <c:v> 2008년 </c:v>
                </c:pt>
                <c:pt idx="9">
                  <c:v> 2009년 </c:v>
                </c:pt>
                <c:pt idx="10">
                  <c:v> 2010년 </c:v>
                </c:pt>
                <c:pt idx="11">
                  <c:v> 2011년 </c:v>
                </c:pt>
                <c:pt idx="12">
                  <c:v> 2012년 </c:v>
                </c:pt>
                <c:pt idx="13">
                  <c:v> 2013년 </c:v>
                </c:pt>
                <c:pt idx="14">
                  <c:v> 2014년 </c:v>
                </c:pt>
                <c:pt idx="15">
                  <c:v> 2015년 </c:v>
                </c:pt>
                <c:pt idx="16">
                  <c:v> 2016년 </c:v>
                </c:pt>
                <c:pt idx="17">
                  <c:v> 2017년 </c:v>
                </c:pt>
                <c:pt idx="18">
                  <c:v> 2018년 </c:v>
                </c:pt>
                <c:pt idx="19">
                  <c:v> 2019년 </c:v>
                </c:pt>
                <c:pt idx="20">
                  <c:v> 2020년 </c:v>
                </c:pt>
                <c:pt idx="21">
                  <c:v> 2021년  </c:v>
                </c:pt>
              </c:strCache>
            </c:strRef>
          </c:cat>
          <c:val>
            <c:numRef>
              <c:f>'5. 의약품'!$E$435:$E$456</c:f>
              <c:numCache>
                <c:formatCode>_(* #,##0_);_(* \(#,##0\);_(* "-"_);_(@_)</c:formatCode>
                <c:ptCount val="22"/>
                <c:pt idx="0">
                  <c:v>25</c:v>
                </c:pt>
                <c:pt idx="1">
                  <c:v>19</c:v>
                </c:pt>
                <c:pt idx="2">
                  <c:v>11</c:v>
                </c:pt>
                <c:pt idx="3">
                  <c:v>15</c:v>
                </c:pt>
                <c:pt idx="4">
                  <c:v>31</c:v>
                </c:pt>
                <c:pt idx="5">
                  <c:v>18</c:v>
                </c:pt>
                <c:pt idx="6">
                  <c:v>18</c:v>
                </c:pt>
                <c:pt idx="7">
                  <c:v>16</c:v>
                </c:pt>
                <c:pt idx="8">
                  <c:v>21</c:v>
                </c:pt>
                <c:pt idx="9">
                  <c:v>20</c:v>
                </c:pt>
                <c:pt idx="10">
                  <c:v>15</c:v>
                </c:pt>
                <c:pt idx="11">
                  <c:v>24</c:v>
                </c:pt>
                <c:pt idx="12">
                  <c:v>33</c:v>
                </c:pt>
                <c:pt idx="13">
                  <c:v>25</c:v>
                </c:pt>
                <c:pt idx="14">
                  <c:v>30</c:v>
                </c:pt>
                <c:pt idx="15">
                  <c:v>33</c:v>
                </c:pt>
                <c:pt idx="16">
                  <c:v>15</c:v>
                </c:pt>
                <c:pt idx="17">
                  <c:v>34</c:v>
                </c:pt>
                <c:pt idx="18">
                  <c:v>42</c:v>
                </c:pt>
                <c:pt idx="19">
                  <c:v>38</c:v>
                </c:pt>
                <c:pt idx="20">
                  <c:v>40</c:v>
                </c:pt>
                <c:pt idx="21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F2-46DF-8E37-5E626ECA8BDF}"/>
            </c:ext>
          </c:extLst>
        </c:ser>
        <c:ser>
          <c:idx val="1"/>
          <c:order val="1"/>
          <c:tx>
            <c:strRef>
              <c:f>'5. 의약품'!$F$434</c:f>
              <c:strCache>
                <c:ptCount val="1"/>
                <c:pt idx="0">
                  <c:v> BLAs </c:v>
                </c:pt>
              </c:strCache>
            </c:strRef>
          </c:tx>
          <c:spPr>
            <a:solidFill>
              <a:srgbClr val="F4A42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'5. 의약품'!$D$435:$D$456</c:f>
              <c:strCache>
                <c:ptCount val="22"/>
                <c:pt idx="0">
                  <c:v> 2000년 </c:v>
                </c:pt>
                <c:pt idx="1">
                  <c:v> 2001년 </c:v>
                </c:pt>
                <c:pt idx="2">
                  <c:v> 2002년 </c:v>
                </c:pt>
                <c:pt idx="3">
                  <c:v> 2003년 </c:v>
                </c:pt>
                <c:pt idx="4">
                  <c:v> 2004년 </c:v>
                </c:pt>
                <c:pt idx="5">
                  <c:v> 2005년 </c:v>
                </c:pt>
                <c:pt idx="6">
                  <c:v> 2006년 </c:v>
                </c:pt>
                <c:pt idx="7">
                  <c:v> 2007년 </c:v>
                </c:pt>
                <c:pt idx="8">
                  <c:v> 2008년 </c:v>
                </c:pt>
                <c:pt idx="9">
                  <c:v> 2009년 </c:v>
                </c:pt>
                <c:pt idx="10">
                  <c:v> 2010년 </c:v>
                </c:pt>
                <c:pt idx="11">
                  <c:v> 2011년 </c:v>
                </c:pt>
                <c:pt idx="12">
                  <c:v> 2012년 </c:v>
                </c:pt>
                <c:pt idx="13">
                  <c:v> 2013년 </c:v>
                </c:pt>
                <c:pt idx="14">
                  <c:v> 2014년 </c:v>
                </c:pt>
                <c:pt idx="15">
                  <c:v> 2015년 </c:v>
                </c:pt>
                <c:pt idx="16">
                  <c:v> 2016년 </c:v>
                </c:pt>
                <c:pt idx="17">
                  <c:v> 2017년 </c:v>
                </c:pt>
                <c:pt idx="18">
                  <c:v> 2018년 </c:v>
                </c:pt>
                <c:pt idx="19">
                  <c:v> 2019년 </c:v>
                </c:pt>
                <c:pt idx="20">
                  <c:v> 2020년 </c:v>
                </c:pt>
                <c:pt idx="21">
                  <c:v> 2021년  </c:v>
                </c:pt>
              </c:strCache>
            </c:strRef>
          </c:cat>
          <c:val>
            <c:numRef>
              <c:f>'5. 의약품'!$F$435:$F$456</c:f>
              <c:numCache>
                <c:formatCode>_(* #,##0_);_(* \(#,##0\);_(* "-"_);_(@_)</c:formatCode>
                <c:ptCount val="22"/>
                <c:pt idx="0">
                  <c:v>2</c:v>
                </c:pt>
                <c:pt idx="1">
                  <c:v>5</c:v>
                </c:pt>
                <c:pt idx="2">
                  <c:v>6</c:v>
                </c:pt>
                <c:pt idx="3">
                  <c:v>6</c:v>
                </c:pt>
                <c:pt idx="4">
                  <c:v>5</c:v>
                </c:pt>
                <c:pt idx="5">
                  <c:v>2</c:v>
                </c:pt>
                <c:pt idx="6">
                  <c:v>4</c:v>
                </c:pt>
                <c:pt idx="7">
                  <c:v>2</c:v>
                </c:pt>
                <c:pt idx="8">
                  <c:v>3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2</c:v>
                </c:pt>
                <c:pt idx="14">
                  <c:v>11</c:v>
                </c:pt>
                <c:pt idx="15">
                  <c:v>12</c:v>
                </c:pt>
                <c:pt idx="16">
                  <c:v>7</c:v>
                </c:pt>
                <c:pt idx="17">
                  <c:v>12</c:v>
                </c:pt>
                <c:pt idx="18">
                  <c:v>17</c:v>
                </c:pt>
                <c:pt idx="19">
                  <c:v>10</c:v>
                </c:pt>
                <c:pt idx="20">
                  <c:v>13</c:v>
                </c:pt>
                <c:pt idx="21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F2-46DF-8E37-5E626ECA8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765602432"/>
        <c:axId val="-765601888"/>
      </c:barChart>
      <c:catAx>
        <c:axId val="-765602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5601888"/>
        <c:crosses val="autoZero"/>
        <c:auto val="1"/>
        <c:lblAlgn val="ctr"/>
        <c:lblOffset val="100"/>
        <c:noMultiLvlLbl val="0"/>
      </c:catAx>
      <c:valAx>
        <c:axId val="-76560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5602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'5. 의약품'!$D$7</c:f>
              <c:strCache>
                <c:ptCount val="1"/>
                <c:pt idx="0">
                  <c:v> 규모(십억달러)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'5. 의약품'!$E$6:$I$6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'5. 의약품'!$E$7:$I$7</c:f>
              <c:numCache>
                <c:formatCode>_(* #,##0_);_(* \(#,##0\);_(* "-"_);_(@_)</c:formatCode>
                <c:ptCount val="5"/>
                <c:pt idx="0">
                  <c:v>1141</c:v>
                </c:pt>
                <c:pt idx="1">
                  <c:v>1178</c:v>
                </c:pt>
                <c:pt idx="2">
                  <c:v>1216</c:v>
                </c:pt>
                <c:pt idx="3" formatCode="#,##0_);\(#,##0\)">
                  <c:v>1272</c:v>
                </c:pt>
                <c:pt idx="4" formatCode="#,##0_);\(#,##0\)">
                  <c:v>1305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C6-4088-AD58-ACC78769A6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765601344"/>
        <c:axId val="-765598624"/>
      </c:barChart>
      <c:lineChart>
        <c:grouping val="standard"/>
        <c:varyColors val="0"/>
        <c:ser>
          <c:idx val="1"/>
          <c:order val="1"/>
          <c:tx>
            <c:strRef>
              <c:f>'5. 의약품'!$D$8</c:f>
              <c:strCache>
                <c:ptCount val="1"/>
                <c:pt idx="0">
                  <c:v> 성장률(%) </c:v>
                </c:pt>
              </c:strCache>
            </c:strRef>
          </c:tx>
          <c:spPr>
            <a:ln w="28575" cap="rnd">
              <a:solidFill>
                <a:srgbClr val="F4A42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3"/>
              <c:layout>
                <c:manualLayout>
                  <c:x val="-2.306149539757571E-2"/>
                  <c:y val="-0.1380478169983429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3C6-4B3F-887E-A64E3E0A61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'5. 의약품'!$E$6:$I$6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'5. 의약품'!$E$8:$I$8</c:f>
              <c:numCache>
                <c:formatCode>0.00%</c:formatCode>
                <c:ptCount val="5"/>
                <c:pt idx="0">
                  <c:v>5.0999999999999997E-2</c:v>
                </c:pt>
                <c:pt idx="1">
                  <c:v>3.2000000000000001E-2</c:v>
                </c:pt>
                <c:pt idx="2">
                  <c:v>3.2000000000000001E-2</c:v>
                </c:pt>
                <c:pt idx="3">
                  <c:v>4.5999999999999999E-2</c:v>
                </c:pt>
                <c:pt idx="4">
                  <c:v>2.5999999999999999E-2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C6-4088-AD58-ACC78769A6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65600800"/>
        <c:axId val="-765599712"/>
      </c:lineChart>
      <c:catAx>
        <c:axId val="-765601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5598624"/>
        <c:crosses val="autoZero"/>
        <c:auto val="1"/>
        <c:lblAlgn val="ctr"/>
        <c:lblOffset val="100"/>
        <c:noMultiLvlLbl val="0"/>
      </c:catAx>
      <c:valAx>
        <c:axId val="-76559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5601344"/>
        <c:crosses val="autoZero"/>
        <c:crossBetween val="between"/>
      </c:valAx>
      <c:valAx>
        <c:axId val="-765599712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5600800"/>
        <c:crosses val="max"/>
        <c:crossBetween val="between"/>
      </c:valAx>
      <c:catAx>
        <c:axId val="-765600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7655997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chemeClr val="tx1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'5. 의약품'!$D$63</c:f>
              <c:strCache>
                <c:ptCount val="1"/>
                <c:pt idx="0">
                  <c:v> 생산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'5. 의약품'!$E$62:$I$62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'5. 의약품'!$E$63:$I$63</c:f>
              <c:numCache>
                <c:formatCode>#,##0_ </c:formatCode>
                <c:ptCount val="5"/>
                <c:pt idx="0">
                  <c:v>188061</c:v>
                </c:pt>
                <c:pt idx="1">
                  <c:v>203580</c:v>
                </c:pt>
                <c:pt idx="2">
                  <c:v>211054</c:v>
                </c:pt>
                <c:pt idx="3">
                  <c:v>223132</c:v>
                </c:pt>
                <c:pt idx="4" formatCode="#,##0">
                  <c:v>245662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CE-4BC8-891E-ADC6C4D1A97F}"/>
            </c:ext>
          </c:extLst>
        </c:ser>
        <c:ser>
          <c:idx val="1"/>
          <c:order val="1"/>
          <c:tx>
            <c:strRef>
              <c:f>'5. 의약품'!$D$64</c:f>
              <c:strCache>
                <c:ptCount val="1"/>
                <c:pt idx="0">
                  <c:v> 수출 </c:v>
                </c:pt>
              </c:strCache>
            </c:strRef>
          </c:tx>
          <c:spPr>
            <a:solidFill>
              <a:srgbClr val="F4A42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'5. 의약품'!$E$62:$I$62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'5. 의약품'!$E$64:$I$64</c:f>
              <c:numCache>
                <c:formatCode>#,##0_ </c:formatCode>
                <c:ptCount val="5"/>
                <c:pt idx="0">
                  <c:v>36209</c:v>
                </c:pt>
                <c:pt idx="1">
                  <c:v>46025</c:v>
                </c:pt>
                <c:pt idx="2">
                  <c:v>51431</c:v>
                </c:pt>
                <c:pt idx="3">
                  <c:v>60581</c:v>
                </c:pt>
                <c:pt idx="4" formatCode="#,##0">
                  <c:v>99648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CE-4BC8-891E-ADC6C4D1A97F}"/>
            </c:ext>
          </c:extLst>
        </c:ser>
        <c:ser>
          <c:idx val="2"/>
          <c:order val="2"/>
          <c:tx>
            <c:strRef>
              <c:f>'5. 의약품'!$D$65</c:f>
              <c:strCache>
                <c:ptCount val="1"/>
                <c:pt idx="0">
                  <c:v> 수입 </c:v>
                </c:pt>
              </c:strCache>
            </c:strRef>
          </c:tx>
          <c:spPr>
            <a:solidFill>
              <a:srgbClr val="F4806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'5. 의약품'!$E$62:$I$62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'5. 의약품'!$E$65:$I$65</c:f>
              <c:numCache>
                <c:formatCode>#,##0_ </c:formatCode>
                <c:ptCount val="5"/>
                <c:pt idx="0">
                  <c:v>65404</c:v>
                </c:pt>
                <c:pt idx="1">
                  <c:v>63077</c:v>
                </c:pt>
                <c:pt idx="2">
                  <c:v>71552</c:v>
                </c:pt>
                <c:pt idx="3">
                  <c:v>80549</c:v>
                </c:pt>
                <c:pt idx="4" formatCode="#,##0">
                  <c:v>85708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2CE-4BC8-891E-ADC6C4D1A97F}"/>
            </c:ext>
          </c:extLst>
        </c:ser>
        <c:ser>
          <c:idx val="3"/>
          <c:order val="3"/>
          <c:tx>
            <c:strRef>
              <c:f>'5. 의약품'!$D$66</c:f>
              <c:strCache>
                <c:ptCount val="1"/>
                <c:pt idx="0">
                  <c:v> 무역수지 </c:v>
                </c:pt>
              </c:strCache>
            </c:strRef>
          </c:tx>
          <c:spPr>
            <a:solidFill>
              <a:srgbClr val="F2665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'5. 의약품'!$E$62:$I$62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'5. 의약품'!$E$66:$I$66</c:f>
              <c:numCache>
                <c:formatCode>#,##0_ </c:formatCode>
                <c:ptCount val="5"/>
                <c:pt idx="0">
                  <c:v>-29195</c:v>
                </c:pt>
                <c:pt idx="1">
                  <c:v>-17052</c:v>
                </c:pt>
                <c:pt idx="2">
                  <c:v>-20121</c:v>
                </c:pt>
                <c:pt idx="3">
                  <c:v>-19968</c:v>
                </c:pt>
                <c:pt idx="4" formatCode="#,##0">
                  <c:v>13940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2CE-4BC8-891E-ADC6C4D1A97F}"/>
            </c:ext>
          </c:extLst>
        </c:ser>
        <c:ser>
          <c:idx val="4"/>
          <c:order val="4"/>
          <c:tx>
            <c:strRef>
              <c:f>'5. 의약품'!$D$67</c:f>
              <c:strCache>
                <c:ptCount val="1"/>
                <c:pt idx="0">
                  <c:v> 시장규모 </c:v>
                </c:pt>
              </c:strCache>
            </c:strRef>
          </c:tx>
          <c:spPr>
            <a:solidFill>
              <a:srgbClr val="7E8DC7"/>
            </a:solidFill>
            <a:ln>
              <a:noFill/>
            </a:ln>
            <a:effectLst/>
          </c:spPr>
          <c:invertIfNegative val="0"/>
          <c:dLbls>
            <c:dLbl>
              <c:idx val="4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2CE-4BC8-891E-ADC6C4D1A9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'5. 의약품'!$E$62:$I$62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'5. 의약품'!$E$67:$I$67</c:f>
              <c:numCache>
                <c:formatCode>#,##0_ </c:formatCode>
                <c:ptCount val="5"/>
                <c:pt idx="0">
                  <c:v>217256</c:v>
                </c:pt>
                <c:pt idx="1">
                  <c:v>220632</c:v>
                </c:pt>
                <c:pt idx="2">
                  <c:v>231175</c:v>
                </c:pt>
                <c:pt idx="3">
                  <c:v>243100</c:v>
                </c:pt>
                <c:pt idx="4" formatCode="#,##0">
                  <c:v>231722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2CE-4BC8-891E-ADC6C4D1A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765599168"/>
        <c:axId val="-763256432"/>
      </c:barChart>
      <c:catAx>
        <c:axId val="-765599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3256432"/>
        <c:crosses val="autoZero"/>
        <c:auto val="1"/>
        <c:lblAlgn val="ctr"/>
        <c:lblOffset val="100"/>
        <c:noMultiLvlLbl val="0"/>
      </c:catAx>
      <c:valAx>
        <c:axId val="-76325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5599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chemeClr val="tx1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'5. 의약품'!$D$93</c:f>
              <c:strCache>
                <c:ptCount val="1"/>
                <c:pt idx="0">
                  <c:v> 생산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'5. 의약품'!$E$92:$I$92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'5. 의약품'!$E$93:$I$93</c:f>
              <c:numCache>
                <c:formatCode>#,##0_ </c:formatCode>
                <c:ptCount val="5"/>
                <c:pt idx="0">
                  <c:v>20079</c:v>
                </c:pt>
                <c:pt idx="1">
                  <c:v>26015</c:v>
                </c:pt>
                <c:pt idx="2">
                  <c:v>26113</c:v>
                </c:pt>
                <c:pt idx="3">
                  <c:v>25377</c:v>
                </c:pt>
                <c:pt idx="4" formatCode="#,##0">
                  <c:v>39300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4D-465F-9733-94D26DC5456C}"/>
            </c:ext>
          </c:extLst>
        </c:ser>
        <c:ser>
          <c:idx val="1"/>
          <c:order val="1"/>
          <c:tx>
            <c:strRef>
              <c:f>'5. 의약품'!$D$94</c:f>
              <c:strCache>
                <c:ptCount val="1"/>
                <c:pt idx="0">
                  <c:v> 수출 </c:v>
                </c:pt>
              </c:strCache>
            </c:strRef>
          </c:tx>
          <c:spPr>
            <a:solidFill>
              <a:srgbClr val="F4A42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'5. 의약품'!$E$92:$I$92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'5. 의약품'!$E$94:$I$94</c:f>
              <c:numCache>
                <c:formatCode>#,##0_ </c:formatCode>
                <c:ptCount val="5"/>
                <c:pt idx="0">
                  <c:v>12346</c:v>
                </c:pt>
                <c:pt idx="1">
                  <c:v>15471</c:v>
                </c:pt>
                <c:pt idx="2">
                  <c:v>17161</c:v>
                </c:pt>
                <c:pt idx="3">
                  <c:v>14963</c:v>
                </c:pt>
                <c:pt idx="4" formatCode="#,##0">
                  <c:v>23825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4D-465F-9733-94D26DC5456C}"/>
            </c:ext>
          </c:extLst>
        </c:ser>
        <c:ser>
          <c:idx val="2"/>
          <c:order val="2"/>
          <c:tx>
            <c:strRef>
              <c:f>'5. 의약품'!$D$95</c:f>
              <c:strCache>
                <c:ptCount val="1"/>
                <c:pt idx="0">
                  <c:v> 수입 </c:v>
                </c:pt>
              </c:strCache>
            </c:strRef>
          </c:tx>
          <c:spPr>
            <a:solidFill>
              <a:srgbClr val="F4806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'5. 의약품'!$E$92:$I$92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'5. 의약품'!$E$95:$I$95</c:f>
              <c:numCache>
                <c:formatCode>#,##0_ </c:formatCode>
                <c:ptCount val="5"/>
                <c:pt idx="0">
                  <c:v>10576</c:v>
                </c:pt>
                <c:pt idx="1">
                  <c:v>11784</c:v>
                </c:pt>
                <c:pt idx="2">
                  <c:v>13356</c:v>
                </c:pt>
                <c:pt idx="3">
                  <c:v>15588</c:v>
                </c:pt>
                <c:pt idx="4" formatCode="#,##0">
                  <c:v>17555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4D-465F-9733-94D26DC5456C}"/>
            </c:ext>
          </c:extLst>
        </c:ser>
        <c:ser>
          <c:idx val="3"/>
          <c:order val="3"/>
          <c:tx>
            <c:strRef>
              <c:f>'5. 의약품'!$D$96</c:f>
              <c:strCache>
                <c:ptCount val="1"/>
                <c:pt idx="0">
                  <c:v> 무역수지 </c:v>
                </c:pt>
              </c:strCache>
            </c:strRef>
          </c:tx>
          <c:spPr>
            <a:solidFill>
              <a:srgbClr val="F2665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'5. 의약품'!$E$92:$I$92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'5. 의약품'!$E$96:$I$96</c:f>
              <c:numCache>
                <c:formatCode>#,##0_ </c:formatCode>
                <c:ptCount val="5"/>
                <c:pt idx="0">
                  <c:v>1770</c:v>
                </c:pt>
                <c:pt idx="1">
                  <c:v>3687</c:v>
                </c:pt>
                <c:pt idx="2">
                  <c:v>3804</c:v>
                </c:pt>
                <c:pt idx="3">
                  <c:v>-624</c:v>
                </c:pt>
                <c:pt idx="4" formatCode="#,##0">
                  <c:v>6271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4D-465F-9733-94D26DC5456C}"/>
            </c:ext>
          </c:extLst>
        </c:ser>
        <c:ser>
          <c:idx val="4"/>
          <c:order val="4"/>
          <c:tx>
            <c:strRef>
              <c:f>'5. 의약품'!$D$97</c:f>
              <c:strCache>
                <c:ptCount val="1"/>
                <c:pt idx="0">
                  <c:v> 시장규모 </c:v>
                </c:pt>
              </c:strCache>
            </c:strRef>
          </c:tx>
          <c:spPr>
            <a:solidFill>
              <a:srgbClr val="7E8DC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'5. 의약품'!$E$92:$I$92</c:f>
              <c:strCache>
                <c:ptCount val="5"/>
                <c:pt idx="0">
                  <c:v> 2016년 </c:v>
                </c:pt>
                <c:pt idx="1">
                  <c:v> 2017년 </c:v>
                </c:pt>
                <c:pt idx="2">
                  <c:v> 2018년 </c:v>
                </c:pt>
                <c:pt idx="3">
                  <c:v> 2019년 </c:v>
                </c:pt>
                <c:pt idx="4">
                  <c:v> 2020년 </c:v>
                </c:pt>
              </c:strCache>
            </c:strRef>
          </c:cat>
          <c:val>
            <c:numRef>
              <c:f>'5. 의약품'!$E$97:$I$97</c:f>
              <c:numCache>
                <c:formatCode>#,##0_ </c:formatCode>
                <c:ptCount val="5"/>
                <c:pt idx="0">
                  <c:v>18308</c:v>
                </c:pt>
                <c:pt idx="1">
                  <c:v>22327</c:v>
                </c:pt>
                <c:pt idx="2">
                  <c:v>22309</c:v>
                </c:pt>
                <c:pt idx="3">
                  <c:v>26002</c:v>
                </c:pt>
                <c:pt idx="4" formatCode="#,##0">
                  <c:v>33029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4D-465F-9733-94D26DC54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763251536"/>
        <c:axId val="-763253168"/>
      </c:barChart>
      <c:catAx>
        <c:axId val="-76325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3253168"/>
        <c:crosses val="autoZero"/>
        <c:auto val="1"/>
        <c:lblAlgn val="ctr"/>
        <c:lblOffset val="100"/>
        <c:noMultiLvlLbl val="0"/>
      </c:catAx>
      <c:valAx>
        <c:axId val="-76325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325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chemeClr val="tx1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'5. 의약품'!$I$398:$W$398</c:f>
              <c:strCache>
                <c:ptCount val="15"/>
                <c:pt idx="0">
                  <c:v>Research</c:v>
                </c:pt>
                <c:pt idx="1">
                  <c:v>Preclinical</c:v>
                </c:pt>
                <c:pt idx="2">
                  <c:v>IND</c:v>
                </c:pt>
                <c:pt idx="3">
                  <c:v>Phase 0</c:v>
                </c:pt>
                <c:pt idx="4">
                  <c:v>Pilot</c:v>
                </c:pt>
                <c:pt idx="5">
                  <c:v>Phase I</c:v>
                </c:pt>
                <c:pt idx="6">
                  <c:v>Phase I/II</c:v>
                </c:pt>
                <c:pt idx="7">
                  <c:v>Phase II</c:v>
                </c:pt>
                <c:pt idx="8">
                  <c:v>Phase II/III</c:v>
                </c:pt>
                <c:pt idx="9">
                  <c:v>Pivotal</c:v>
                </c:pt>
                <c:pt idx="10">
                  <c:v>Phase III</c:v>
                </c:pt>
                <c:pt idx="11">
                  <c:v>Registration</c:v>
                </c:pt>
                <c:pt idx="12">
                  <c:v>Approved</c:v>
                </c:pt>
                <c:pt idx="13">
                  <c:v>Marketed</c:v>
                </c:pt>
                <c:pt idx="14">
                  <c:v>Phase IV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'5. 의약품'!$I$398:$W$398</c:f>
              <c:strCache>
                <c:ptCount val="15"/>
                <c:pt idx="0">
                  <c:v>Research</c:v>
                </c:pt>
                <c:pt idx="1">
                  <c:v>Preclinical</c:v>
                </c:pt>
                <c:pt idx="2">
                  <c:v>IND</c:v>
                </c:pt>
                <c:pt idx="3">
                  <c:v>Phase 0</c:v>
                </c:pt>
                <c:pt idx="4">
                  <c:v>Pilot</c:v>
                </c:pt>
                <c:pt idx="5">
                  <c:v>Phase I</c:v>
                </c:pt>
                <c:pt idx="6">
                  <c:v>Phase I/II</c:v>
                </c:pt>
                <c:pt idx="7">
                  <c:v>Phase II</c:v>
                </c:pt>
                <c:pt idx="8">
                  <c:v>Phase II/III</c:v>
                </c:pt>
                <c:pt idx="9">
                  <c:v>Pivotal</c:v>
                </c:pt>
                <c:pt idx="10">
                  <c:v>Phase III</c:v>
                </c:pt>
                <c:pt idx="11">
                  <c:v>Registration</c:v>
                </c:pt>
                <c:pt idx="12">
                  <c:v>Approved</c:v>
                </c:pt>
                <c:pt idx="13">
                  <c:v>Marketed</c:v>
                </c:pt>
                <c:pt idx="14">
                  <c:v>Phase IV</c:v>
                </c:pt>
              </c:strCache>
            </c:strRef>
          </c:cat>
          <c:val>
            <c:numRef>
              <c:f>'5. 의약품'!$I$399:$W$399</c:f>
              <c:numCache>
                <c:formatCode>_(* #,##0_);_(* \(#,##0\);_(* "-"_);_(@_)</c:formatCode>
                <c:ptCount val="15"/>
                <c:pt idx="0">
                  <c:v>2579</c:v>
                </c:pt>
                <c:pt idx="1">
                  <c:v>9076</c:v>
                </c:pt>
                <c:pt idx="2">
                  <c:v>417</c:v>
                </c:pt>
                <c:pt idx="3">
                  <c:v>11</c:v>
                </c:pt>
                <c:pt idx="4">
                  <c:v>143</c:v>
                </c:pt>
                <c:pt idx="5">
                  <c:v>5543</c:v>
                </c:pt>
                <c:pt idx="6">
                  <c:v>1655</c:v>
                </c:pt>
                <c:pt idx="7">
                  <c:v>5258</c:v>
                </c:pt>
                <c:pt idx="8">
                  <c:v>269</c:v>
                </c:pt>
                <c:pt idx="9">
                  <c:v>92</c:v>
                </c:pt>
                <c:pt idx="10">
                  <c:v>1936</c:v>
                </c:pt>
                <c:pt idx="11">
                  <c:v>418</c:v>
                </c:pt>
                <c:pt idx="12">
                  <c:v>610</c:v>
                </c:pt>
                <c:pt idx="13">
                  <c:v>6123</c:v>
                </c:pt>
                <c:pt idx="14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FF-488D-A053-1090596CDF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765601344"/>
        <c:axId val="-765598624"/>
      </c:barChart>
      <c:catAx>
        <c:axId val="-765601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5598624"/>
        <c:crosses val="autoZero"/>
        <c:auto val="1"/>
        <c:lblAlgn val="ctr"/>
        <c:lblOffset val="100"/>
        <c:noMultiLvlLbl val="0"/>
      </c:catAx>
      <c:valAx>
        <c:axId val="-76559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5601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chemeClr val="tx1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'6. 의료기기'!$E$6:$J$6</c15:sqref>
                  </c15:fullRef>
                </c:ext>
              </c:extLst>
              <c:f>'6. 의료기기'!$E$6:$I$6</c:f>
              <c:strCache>
                <c:ptCount val="5"/>
                <c:pt idx="0">
                  <c:v> 2015년 </c:v>
                </c:pt>
                <c:pt idx="1">
                  <c:v> 2016년 </c:v>
                </c:pt>
                <c:pt idx="2">
                  <c:v>  2017년  </c:v>
                </c:pt>
                <c:pt idx="3">
                  <c:v> 2018년 </c:v>
                </c:pt>
                <c:pt idx="4">
                  <c:v> 2019년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'6. 의료기기'!$E$7:$J$7</c15:sqref>
                  </c15:fullRef>
                </c:ext>
              </c:extLst>
              <c:f>'6. 의료기기'!$E$7:$I$7</c:f>
              <c:numCache>
                <c:formatCode>_(* #,##0_);_(* \(#,##0\);_(* "-"_);_(@_)</c:formatCode>
                <c:ptCount val="5"/>
                <c:pt idx="0">
                  <c:v>3260</c:v>
                </c:pt>
                <c:pt idx="1">
                  <c:v>3421</c:v>
                </c:pt>
                <c:pt idx="2">
                  <c:v>3615</c:v>
                </c:pt>
                <c:pt idx="3">
                  <c:v>3897</c:v>
                </c:pt>
                <c:pt idx="4">
                  <c:v>4094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'6. 의료기기'!$J$7</c15:sqref>
                  <c15:dLbl>
                    <c:idx val="4"/>
                    <c:layout>
                      <c:manualLayout>
                        <c:x val="0"/>
                        <c:y val="5.6865487649502347E-3"/>
                      </c:manualLayout>
                    </c:layout>
                    <c:dLblPos val="outEnd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0-367D-4382-8782-E54CBD972025}"/>
                      </c:ext>
                    </c:extLst>
                  </c15:dLbl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1-58CD-4587-9436-816E0F0C9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763258608"/>
        <c:axId val="-763250448"/>
      </c:barChart>
      <c:catAx>
        <c:axId val="-76325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3250448"/>
        <c:crosses val="autoZero"/>
        <c:auto val="1"/>
        <c:lblAlgn val="ctr"/>
        <c:lblOffset val="100"/>
        <c:noMultiLvlLbl val="0"/>
      </c:catAx>
      <c:valAx>
        <c:axId val="-763250448"/>
        <c:scaling>
          <c:orientation val="minMax"/>
          <c:max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3258608"/>
        <c:crosses val="autoZero"/>
        <c:crossBetween val="between"/>
        <c:majorUnit val="1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'6. 의료기기'!$D$129</c:f>
              <c:strCache>
                <c:ptCount val="1"/>
                <c:pt idx="0">
                  <c:v> 시장규모(억원)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'6. 의료기기'!$E$124:$I$124</c15:sqref>
                  </c15:fullRef>
                </c:ext>
              </c:extLst>
              <c:f>'6. 의료기기'!$E$124:$I$124</c:f>
              <c:strCache>
                <c:ptCount val="5"/>
                <c:pt idx="0">
                  <c:v> 2017년 </c:v>
                </c:pt>
                <c:pt idx="1">
                  <c:v> 2018년 </c:v>
                </c:pt>
                <c:pt idx="2">
                  <c:v> 2019년 </c:v>
                </c:pt>
                <c:pt idx="3">
                  <c:v> 2020년 </c:v>
                </c:pt>
                <c:pt idx="4">
                  <c:v> 2021년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'6. 의료기기'!$E$129:$L$129</c15:sqref>
                  </c15:fullRef>
                </c:ext>
              </c:extLst>
              <c:f>'6. 의료기기'!$E$129:$I$129</c:f>
              <c:numCache>
                <c:formatCode>_(* #,##0_);_(* \(#,##0\);_(* "-"_);_(@_)</c:formatCode>
                <c:ptCount val="5"/>
                <c:pt idx="0">
                  <c:v>61978</c:v>
                </c:pt>
                <c:pt idx="1">
                  <c:v>68179</c:v>
                </c:pt>
                <c:pt idx="2">
                  <c:v>78039</c:v>
                </c:pt>
                <c:pt idx="3">
                  <c:v>75317</c:v>
                </c:pt>
                <c:pt idx="4">
                  <c:v>91341.46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B0-43B9-AC72-0BE851772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763248272"/>
        <c:axId val="-763246096"/>
      </c:barChart>
      <c:lineChart>
        <c:grouping val="standard"/>
        <c:varyColors val="0"/>
        <c:ser>
          <c:idx val="1"/>
          <c:order val="1"/>
          <c:tx>
            <c:strRef>
              <c:f>'6. 의료기기'!$D$130</c:f>
              <c:strCache>
                <c:ptCount val="1"/>
                <c:pt idx="0">
                  <c:v> 증가율(%) </c:v>
                </c:pt>
              </c:strCache>
            </c:strRef>
          </c:tx>
          <c:spPr>
            <a:ln w="28575" cap="rnd">
              <a:solidFill>
                <a:srgbClr val="F4A42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rgbClr val="F4A42A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063693846890426E-2"/>
                  <c:y val="4.8852795336784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FC1-4DD6-A2BE-DC52D1980747}"/>
                </c:ext>
              </c:extLst>
            </c:dLbl>
            <c:dLbl>
              <c:idx val="1"/>
              <c:layout>
                <c:manualLayout>
                  <c:x val="-2.2657650679826783E-2"/>
                  <c:y val="0.1164551080149933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87C-4B17-9A58-7320C9EA2DCB}"/>
                </c:ext>
              </c:extLst>
            </c:dLbl>
            <c:dLbl>
              <c:idx val="2"/>
              <c:layout>
                <c:manualLayout>
                  <c:x val="-1.8149562601866818E-2"/>
                  <c:y val="7.668903273562097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87C-4B17-9A58-7320C9EA2DCB}"/>
                </c:ext>
              </c:extLst>
            </c:dLbl>
            <c:dLbl>
              <c:idx val="4"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BB0-43B9-AC72-0BE851772C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'6. 의료기기'!$E$124:$H$124</c15:sqref>
                  </c15:fullRef>
                </c:ext>
              </c:extLst>
              <c:f>'6. 의료기기'!$E$124:$H$124</c:f>
              <c:strCache>
                <c:ptCount val="4"/>
                <c:pt idx="0">
                  <c:v> 2017년 </c:v>
                </c:pt>
                <c:pt idx="1">
                  <c:v> 2018년 </c:v>
                </c:pt>
                <c:pt idx="2">
                  <c:v> 2019년 </c:v>
                </c:pt>
                <c:pt idx="3">
                  <c:v> 2020년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'6. 의료기기'!$E$130:$I$130</c15:sqref>
                  </c15:fullRef>
                </c:ext>
              </c:extLst>
              <c:f>'6. 의료기기'!$E$130:$I$130</c:f>
              <c:numCache>
                <c:formatCode>0.00%</c:formatCode>
                <c:ptCount val="5"/>
                <c:pt idx="0">
                  <c:v>5.5300000000000002E-2</c:v>
                </c:pt>
                <c:pt idx="1">
                  <c:v>0.1</c:v>
                </c:pt>
                <c:pt idx="2">
                  <c:v>0.14460000000000001</c:v>
                </c:pt>
                <c:pt idx="3">
                  <c:v>-3.49E-2</c:v>
                </c:pt>
                <c:pt idx="4">
                  <c:v>0.21279999999999999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B0-43B9-AC72-0BE851772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63252080"/>
        <c:axId val="-763258064"/>
      </c:lineChart>
      <c:catAx>
        <c:axId val="-763248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3246096"/>
        <c:crosses val="autoZero"/>
        <c:auto val="1"/>
        <c:lblAlgn val="ctr"/>
        <c:lblOffset val="100"/>
        <c:noMultiLvlLbl val="0"/>
      </c:catAx>
      <c:valAx>
        <c:axId val="-76324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3248272"/>
        <c:crosses val="autoZero"/>
        <c:crossBetween val="between"/>
      </c:valAx>
      <c:valAx>
        <c:axId val="-763258064"/>
        <c:scaling>
          <c:orientation val="minMax"/>
          <c:max val="0.30000000000000004"/>
          <c:min val="-0.1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3252080"/>
        <c:crosses val="max"/>
        <c:crossBetween val="between"/>
      </c:valAx>
      <c:catAx>
        <c:axId val="-76325208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7632580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'6. 의료기기'!$D$210</c:f>
              <c:strCache>
                <c:ptCount val="1"/>
                <c:pt idx="0">
                  <c:v> 1등급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'6. 의료기기'!$E$209:$H$209</c:f>
              <c:strCache>
                <c:ptCount val="4"/>
                <c:pt idx="0">
                  <c:v> 2018년 생산액 </c:v>
                </c:pt>
                <c:pt idx="1">
                  <c:v> 2019년 생산액 </c:v>
                </c:pt>
                <c:pt idx="2">
                  <c:v> 2020년 생산액  </c:v>
                </c:pt>
                <c:pt idx="3">
                  <c:v> 2021년 생산액 </c:v>
                </c:pt>
              </c:strCache>
            </c:strRef>
          </c:cat>
          <c:val>
            <c:numRef>
              <c:f>'6. 의료기기'!$E$210:$H$210</c:f>
              <c:numCache>
                <c:formatCode>#,##0</c:formatCode>
                <c:ptCount val="4"/>
                <c:pt idx="0" formatCode="_(* #,##0_);_(* \(#,##0\);_(* &quot;-&quot;_);_(@_)">
                  <c:v>816153</c:v>
                </c:pt>
                <c:pt idx="1">
                  <c:v>887700</c:v>
                </c:pt>
                <c:pt idx="2" formatCode="_(* #,##0_);_(* \(#,##0\);_(* &quot;-&quot;_);_(@_)">
                  <c:v>1342310.4680000001</c:v>
                </c:pt>
                <c:pt idx="3">
                  <c:v>1636412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10-4698-90B3-1D69BD56FF3F}"/>
            </c:ext>
          </c:extLst>
        </c:ser>
        <c:ser>
          <c:idx val="1"/>
          <c:order val="1"/>
          <c:tx>
            <c:strRef>
              <c:f>'6. 의료기기'!$D$211</c:f>
              <c:strCache>
                <c:ptCount val="1"/>
                <c:pt idx="0">
                  <c:v> 2등급 </c:v>
                </c:pt>
              </c:strCache>
            </c:strRef>
          </c:tx>
          <c:spPr>
            <a:solidFill>
              <a:srgbClr val="F4A42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'6. 의료기기'!$E$209:$H$209</c:f>
              <c:strCache>
                <c:ptCount val="4"/>
                <c:pt idx="0">
                  <c:v> 2018년 생산액 </c:v>
                </c:pt>
                <c:pt idx="1">
                  <c:v> 2019년 생산액 </c:v>
                </c:pt>
                <c:pt idx="2">
                  <c:v> 2020년 생산액  </c:v>
                </c:pt>
                <c:pt idx="3">
                  <c:v> 2021년 생산액 </c:v>
                </c:pt>
              </c:strCache>
            </c:strRef>
          </c:cat>
          <c:val>
            <c:numRef>
              <c:f>'6. 의료기기'!$E$211:$H$211</c:f>
              <c:numCache>
                <c:formatCode>#,##0</c:formatCode>
                <c:ptCount val="4"/>
                <c:pt idx="0" formatCode="_(* #,##0_);_(* \(#,##0\);_(* &quot;-&quot;_);_(@_)">
                  <c:v>3457799</c:v>
                </c:pt>
                <c:pt idx="1">
                  <c:v>3836356</c:v>
                </c:pt>
                <c:pt idx="2" formatCode="_(* #,##0_);_(* \(#,##0\);_(* &quot;-&quot;_);_(@_)">
                  <c:v>3842890.8259999999</c:v>
                </c:pt>
                <c:pt idx="3">
                  <c:v>4604343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10-4698-90B3-1D69BD56FF3F}"/>
            </c:ext>
          </c:extLst>
        </c:ser>
        <c:ser>
          <c:idx val="2"/>
          <c:order val="2"/>
          <c:tx>
            <c:strRef>
              <c:f>'6. 의료기기'!$D$212</c:f>
              <c:strCache>
                <c:ptCount val="1"/>
                <c:pt idx="0">
                  <c:v> 3등급 </c:v>
                </c:pt>
              </c:strCache>
            </c:strRef>
          </c:tx>
          <c:spPr>
            <a:solidFill>
              <a:srgbClr val="F4806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'6. 의료기기'!$E$209:$H$209</c:f>
              <c:strCache>
                <c:ptCount val="4"/>
                <c:pt idx="0">
                  <c:v> 2018년 생산액 </c:v>
                </c:pt>
                <c:pt idx="1">
                  <c:v> 2019년 생산액 </c:v>
                </c:pt>
                <c:pt idx="2">
                  <c:v> 2020년 생산액  </c:v>
                </c:pt>
                <c:pt idx="3">
                  <c:v> 2021년 생산액 </c:v>
                </c:pt>
              </c:strCache>
            </c:strRef>
          </c:cat>
          <c:val>
            <c:numRef>
              <c:f>'6. 의료기기'!$E$212:$H$212</c:f>
              <c:numCache>
                <c:formatCode>#,##0</c:formatCode>
                <c:ptCount val="4"/>
                <c:pt idx="0" formatCode="_(* #,##0_);_(* \(#,##0\);_(* &quot;-&quot;_);_(@_)">
                  <c:v>1779044</c:v>
                </c:pt>
                <c:pt idx="1">
                  <c:v>2050923</c:v>
                </c:pt>
                <c:pt idx="2" formatCode="_(* #,##0_);_(* \(#,##0\);_(* &quot;-&quot;_);_(@_)">
                  <c:v>4503699.9790000003</c:v>
                </c:pt>
                <c:pt idx="3">
                  <c:v>6049958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10-4698-90B3-1D69BD56FF3F}"/>
            </c:ext>
          </c:extLst>
        </c:ser>
        <c:ser>
          <c:idx val="3"/>
          <c:order val="3"/>
          <c:tx>
            <c:strRef>
              <c:f>'6. 의료기기'!$D$213</c:f>
              <c:strCache>
                <c:ptCount val="1"/>
                <c:pt idx="0">
                  <c:v> 4등급 </c:v>
                </c:pt>
              </c:strCache>
            </c:strRef>
          </c:tx>
          <c:spPr>
            <a:solidFill>
              <a:srgbClr val="F2665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'6. 의료기기'!$E$209:$H$209</c:f>
              <c:strCache>
                <c:ptCount val="4"/>
                <c:pt idx="0">
                  <c:v> 2018년 생산액 </c:v>
                </c:pt>
                <c:pt idx="1">
                  <c:v> 2019년 생산액 </c:v>
                </c:pt>
                <c:pt idx="2">
                  <c:v> 2020년 생산액  </c:v>
                </c:pt>
                <c:pt idx="3">
                  <c:v> 2021년 생산액 </c:v>
                </c:pt>
              </c:strCache>
            </c:strRef>
          </c:cat>
          <c:val>
            <c:numRef>
              <c:f>'6. 의료기기'!$E$213:$H$213</c:f>
              <c:numCache>
                <c:formatCode>#,##0</c:formatCode>
                <c:ptCount val="4"/>
                <c:pt idx="0" formatCode="_(* #,##0_);_(* \(#,##0\);_(* &quot;-&quot;_);_(@_)">
                  <c:v>458205</c:v>
                </c:pt>
                <c:pt idx="1">
                  <c:v>504406</c:v>
                </c:pt>
                <c:pt idx="2" formatCode="_(* #,##0_);_(* \(#,##0\);_(* &quot;-&quot;_);_(@_)">
                  <c:v>446884.10499999998</c:v>
                </c:pt>
                <c:pt idx="3">
                  <c:v>592391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010-4698-90B3-1D69BD56F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-763257520"/>
        <c:axId val="-763254800"/>
      </c:barChart>
      <c:catAx>
        <c:axId val="-763257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3254800"/>
        <c:crosses val="autoZero"/>
        <c:auto val="1"/>
        <c:lblAlgn val="ctr"/>
        <c:lblOffset val="100"/>
        <c:noMultiLvlLbl val="0"/>
      </c:catAx>
      <c:valAx>
        <c:axId val="-763254800"/>
        <c:scaling>
          <c:orientation val="minMax"/>
        </c:scaling>
        <c:delete val="0"/>
        <c:axPos val="l"/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3257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6151802812357956"/>
          <c:y val="0.24877499776028034"/>
          <c:w val="3.4012698133403713E-2"/>
          <c:h val="0.403684587742263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chemeClr val="tx1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'6. 의료기기'!$D$62</c:f>
              <c:strCache>
                <c:ptCount val="1"/>
                <c:pt idx="0">
                  <c:v>시장규모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'6. 의료기기'!$E$61:$L$61</c15:sqref>
                  </c15:fullRef>
                </c:ext>
              </c:extLst>
              <c:f>('6. 의료기기'!$E$61:$I$61,'6. 의료기기'!$K$61:$L$61)</c:f>
              <c:strCache>
                <c:ptCount val="7"/>
                <c:pt idx="0">
                  <c:v> 2019년 </c:v>
                </c:pt>
                <c:pt idx="1">
                  <c:v> 2020년 </c:v>
                </c:pt>
                <c:pt idx="2">
                  <c:v> 2021년 </c:v>
                </c:pt>
                <c:pt idx="3">
                  <c:v> 2022년 </c:v>
                </c:pt>
                <c:pt idx="4">
                  <c:v> 2023년 </c:v>
                </c:pt>
                <c:pt idx="5">
                  <c:v> 2025년 </c:v>
                </c:pt>
                <c:pt idx="6">
                  <c:v> 2026년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'6. 의료기기'!$E$62:$L$62</c15:sqref>
                  </c15:fullRef>
                </c:ext>
              </c:extLst>
              <c:f>('6. 의료기기'!$E$62:$I$62,'6. 의료기기'!$K$62:$L$62)</c:f>
              <c:numCache>
                <c:formatCode>0.00</c:formatCode>
                <c:ptCount val="7"/>
                <c:pt idx="0" formatCode="_(* #,##0.00_);_(* \(#,##0.00\);_(* &quot;-&quot;_);_(@_)">
                  <c:v>414</c:v>
                </c:pt>
                <c:pt idx="1">
                  <c:v>394.44000000000005</c:v>
                </c:pt>
                <c:pt idx="2">
                  <c:v>425.23</c:v>
                </c:pt>
                <c:pt idx="3">
                  <c:v>464.53999999999996</c:v>
                </c:pt>
                <c:pt idx="4">
                  <c:v>503.60000000000008</c:v>
                </c:pt>
                <c:pt idx="5">
                  <c:v>594.9899999999999</c:v>
                </c:pt>
                <c:pt idx="6">
                  <c:v>639.61999999999989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B9-477E-BBF7-881ACDBF2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763258608"/>
        <c:axId val="-763250448"/>
      </c:barChart>
      <c:catAx>
        <c:axId val="-76325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3250448"/>
        <c:crosses val="autoZero"/>
        <c:auto val="1"/>
        <c:lblAlgn val="ctr"/>
        <c:lblOffset val="100"/>
        <c:noMultiLvlLbl val="0"/>
      </c:catAx>
      <c:valAx>
        <c:axId val="-763250448"/>
        <c:scaling>
          <c:orientation val="minMax"/>
          <c:max val="8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3258608"/>
        <c:crosses val="autoZero"/>
        <c:crossBetween val="between"/>
        <c:majorUnit val="2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695449872996224E-2"/>
          <c:y val="0.12597222222222224"/>
          <c:w val="0.7356706472402248"/>
          <c:h val="0.76859616506270045"/>
        </c:manualLayout>
      </c:layout>
      <c:lineChart>
        <c:grouping val="standard"/>
        <c:varyColors val="0"/>
        <c:ser>
          <c:idx val="0"/>
          <c:order val="0"/>
          <c:tx>
            <c:strRef>
              <c:f>'6. 의료기기'!$D$87</c:f>
              <c:strCache>
                <c:ptCount val="1"/>
                <c:pt idx="0">
                  <c:v>Patient Monitoring Devices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'6. 의료기기'!$E$86:$L$86</c:f>
              <c:strCache>
                <c:ptCount val="8"/>
                <c:pt idx="0">
                  <c:v> 2019년  </c:v>
                </c:pt>
                <c:pt idx="1">
                  <c:v> 2020년 </c:v>
                </c:pt>
                <c:pt idx="2">
                  <c:v> 2021년 </c:v>
                </c:pt>
                <c:pt idx="3">
                  <c:v> 2022년 </c:v>
                </c:pt>
                <c:pt idx="4">
                  <c:v> 2023년 </c:v>
                </c:pt>
                <c:pt idx="5">
                  <c:v> 2024년 </c:v>
                </c:pt>
                <c:pt idx="6">
                  <c:v> 2025년 </c:v>
                </c:pt>
                <c:pt idx="7">
                  <c:v> 2026년 </c:v>
                </c:pt>
              </c:strCache>
            </c:strRef>
          </c:cat>
          <c:val>
            <c:numRef>
              <c:f>'6. 의료기기'!$E$87:$L$87</c:f>
              <c:numCache>
                <c:formatCode>0.00</c:formatCode>
                <c:ptCount val="8"/>
                <c:pt idx="0">
                  <c:v>22.9</c:v>
                </c:pt>
                <c:pt idx="1">
                  <c:v>56.18</c:v>
                </c:pt>
                <c:pt idx="2">
                  <c:v>22.49</c:v>
                </c:pt>
                <c:pt idx="3">
                  <c:v>23.41</c:v>
                </c:pt>
                <c:pt idx="4">
                  <c:v>24.68</c:v>
                </c:pt>
                <c:pt idx="5">
                  <c:v>26.95</c:v>
                </c:pt>
                <c:pt idx="6">
                  <c:v>29.9</c:v>
                </c:pt>
                <c:pt idx="7">
                  <c:v>33.6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97-4213-8E5E-75E6BAB6FF33}"/>
            </c:ext>
          </c:extLst>
        </c:ser>
        <c:ser>
          <c:idx val="1"/>
          <c:order val="1"/>
          <c:tx>
            <c:strRef>
              <c:f>'6. 의료기기'!$D$88</c:f>
              <c:strCache>
                <c:ptCount val="1"/>
                <c:pt idx="0">
                  <c:v> Orthopedics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'6. 의료기기'!$E$86:$L$86</c:f>
              <c:strCache>
                <c:ptCount val="8"/>
                <c:pt idx="0">
                  <c:v> 2019년  </c:v>
                </c:pt>
                <c:pt idx="1">
                  <c:v> 2020년 </c:v>
                </c:pt>
                <c:pt idx="2">
                  <c:v> 2021년 </c:v>
                </c:pt>
                <c:pt idx="3">
                  <c:v> 2022년 </c:v>
                </c:pt>
                <c:pt idx="4">
                  <c:v> 2023년 </c:v>
                </c:pt>
                <c:pt idx="5">
                  <c:v> 2024년 </c:v>
                </c:pt>
                <c:pt idx="6">
                  <c:v> 2025년 </c:v>
                </c:pt>
                <c:pt idx="7">
                  <c:v> 2026년 </c:v>
                </c:pt>
              </c:strCache>
            </c:strRef>
          </c:cat>
          <c:val>
            <c:numRef>
              <c:f>'6. 의료기기'!$E$88:$L$88</c:f>
              <c:numCache>
                <c:formatCode>0.00</c:formatCode>
                <c:ptCount val="8"/>
                <c:pt idx="0">
                  <c:v>54.2</c:v>
                </c:pt>
                <c:pt idx="1">
                  <c:v>24.4</c:v>
                </c:pt>
                <c:pt idx="2">
                  <c:v>26.49</c:v>
                </c:pt>
                <c:pt idx="3">
                  <c:v>28.83</c:v>
                </c:pt>
                <c:pt idx="4">
                  <c:v>31.06</c:v>
                </c:pt>
                <c:pt idx="5">
                  <c:v>34.03</c:v>
                </c:pt>
                <c:pt idx="6">
                  <c:v>36.700000000000003</c:v>
                </c:pt>
                <c:pt idx="7">
                  <c:v>40.49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97-4213-8E5E-75E6BAB6FF33}"/>
            </c:ext>
          </c:extLst>
        </c:ser>
        <c:ser>
          <c:idx val="2"/>
          <c:order val="2"/>
          <c:tx>
            <c:strRef>
              <c:f>'6. 의료기기'!$D$89</c:f>
              <c:strCache>
                <c:ptCount val="1"/>
                <c:pt idx="0">
                  <c:v> Cardiology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'6. 의료기기'!$E$86:$L$86</c:f>
              <c:strCache>
                <c:ptCount val="8"/>
                <c:pt idx="0">
                  <c:v> 2019년  </c:v>
                </c:pt>
                <c:pt idx="1">
                  <c:v> 2020년 </c:v>
                </c:pt>
                <c:pt idx="2">
                  <c:v> 2021년 </c:v>
                </c:pt>
                <c:pt idx="3">
                  <c:v> 2022년 </c:v>
                </c:pt>
                <c:pt idx="4">
                  <c:v> 2023년 </c:v>
                </c:pt>
                <c:pt idx="5">
                  <c:v> 2024년 </c:v>
                </c:pt>
                <c:pt idx="6">
                  <c:v> 2025년 </c:v>
                </c:pt>
                <c:pt idx="7">
                  <c:v> 2026년 </c:v>
                </c:pt>
              </c:strCache>
            </c:strRef>
          </c:cat>
          <c:val>
            <c:numRef>
              <c:f>'6. 의료기기'!$E$89:$L$89</c:f>
              <c:numCache>
                <c:formatCode>0.00</c:formatCode>
                <c:ptCount val="8"/>
                <c:pt idx="0">
                  <c:v>41.8</c:v>
                </c:pt>
                <c:pt idx="1">
                  <c:v>29.27</c:v>
                </c:pt>
                <c:pt idx="2">
                  <c:v>51.72</c:v>
                </c:pt>
                <c:pt idx="3">
                  <c:v>57.69</c:v>
                </c:pt>
                <c:pt idx="4">
                  <c:v>65.63</c:v>
                </c:pt>
                <c:pt idx="5">
                  <c:v>71.62</c:v>
                </c:pt>
                <c:pt idx="6">
                  <c:v>78.209999999999994</c:v>
                </c:pt>
                <c:pt idx="7">
                  <c:v>83.89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97-4213-8E5E-75E6BAB6FF33}"/>
            </c:ext>
          </c:extLst>
        </c:ser>
        <c:ser>
          <c:idx val="3"/>
          <c:order val="3"/>
          <c:tx>
            <c:strRef>
              <c:f>'6. 의료기기'!$D$90</c:f>
              <c:strCache>
                <c:ptCount val="1"/>
                <c:pt idx="0">
                  <c:v>Minimally Invasive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'6. 의료기기'!$E$86:$L$86</c:f>
              <c:strCache>
                <c:ptCount val="8"/>
                <c:pt idx="0">
                  <c:v> 2019년  </c:v>
                </c:pt>
                <c:pt idx="1">
                  <c:v> 2020년 </c:v>
                </c:pt>
                <c:pt idx="2">
                  <c:v> 2021년 </c:v>
                </c:pt>
                <c:pt idx="3">
                  <c:v> 2022년 </c:v>
                </c:pt>
                <c:pt idx="4">
                  <c:v> 2023년 </c:v>
                </c:pt>
                <c:pt idx="5">
                  <c:v> 2024년 </c:v>
                </c:pt>
                <c:pt idx="6">
                  <c:v> 2025년 </c:v>
                </c:pt>
                <c:pt idx="7">
                  <c:v> 2026년 </c:v>
                </c:pt>
              </c:strCache>
            </c:strRef>
          </c:cat>
          <c:val>
            <c:numRef>
              <c:f>'6. 의료기기'!$E$90:$L$90</c:f>
              <c:numCache>
                <c:formatCode>0.00</c:formatCode>
                <c:ptCount val="8"/>
                <c:pt idx="0">
                  <c:v>45.7</c:v>
                </c:pt>
                <c:pt idx="1">
                  <c:v>31.1</c:v>
                </c:pt>
                <c:pt idx="2">
                  <c:v>42.21</c:v>
                </c:pt>
                <c:pt idx="3">
                  <c:v>49.91</c:v>
                </c:pt>
                <c:pt idx="4">
                  <c:v>56.01</c:v>
                </c:pt>
                <c:pt idx="5">
                  <c:v>62.49</c:v>
                </c:pt>
                <c:pt idx="6">
                  <c:v>70.33</c:v>
                </c:pt>
                <c:pt idx="7">
                  <c:v>77.52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897-4213-8E5E-75E6BAB6FF33}"/>
            </c:ext>
          </c:extLst>
        </c:ser>
        <c:ser>
          <c:idx val="4"/>
          <c:order val="4"/>
          <c:tx>
            <c:strRef>
              <c:f>'6. 의료기기'!$D$91</c:f>
              <c:strCache>
                <c:ptCount val="1"/>
                <c:pt idx="0">
                  <c:v>Ophthalmology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'6. 의료기기'!$E$86:$L$86</c:f>
              <c:strCache>
                <c:ptCount val="8"/>
                <c:pt idx="0">
                  <c:v> 2019년  </c:v>
                </c:pt>
                <c:pt idx="1">
                  <c:v> 2020년 </c:v>
                </c:pt>
                <c:pt idx="2">
                  <c:v> 2021년 </c:v>
                </c:pt>
                <c:pt idx="3">
                  <c:v> 2022년 </c:v>
                </c:pt>
                <c:pt idx="4">
                  <c:v> 2023년 </c:v>
                </c:pt>
                <c:pt idx="5">
                  <c:v> 2024년 </c:v>
                </c:pt>
                <c:pt idx="6">
                  <c:v> 2025년 </c:v>
                </c:pt>
                <c:pt idx="7">
                  <c:v> 2026년 </c:v>
                </c:pt>
              </c:strCache>
            </c:strRef>
          </c:cat>
          <c:val>
            <c:numRef>
              <c:f>'6. 의료기기'!$E$91:$L$91</c:f>
              <c:numCache>
                <c:formatCode>0.00</c:formatCode>
                <c:ptCount val="8"/>
                <c:pt idx="0">
                  <c:v>34.6</c:v>
                </c:pt>
                <c:pt idx="1">
                  <c:v>25.92</c:v>
                </c:pt>
                <c:pt idx="2">
                  <c:v>34.39</c:v>
                </c:pt>
                <c:pt idx="3">
                  <c:v>37.130000000000003</c:v>
                </c:pt>
                <c:pt idx="4">
                  <c:v>40.229999999999997</c:v>
                </c:pt>
                <c:pt idx="5">
                  <c:v>42.49</c:v>
                </c:pt>
                <c:pt idx="6">
                  <c:v>46.8</c:v>
                </c:pt>
                <c:pt idx="7">
                  <c:v>49.28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897-4213-8E5E-75E6BAB6FF33}"/>
            </c:ext>
          </c:extLst>
        </c:ser>
        <c:ser>
          <c:idx val="5"/>
          <c:order val="5"/>
          <c:tx>
            <c:strRef>
              <c:f>'6. 의료기기'!$D$92</c:f>
              <c:strCache>
                <c:ptCount val="1"/>
                <c:pt idx="0">
                  <c:v>Wound Care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'6. 의료기기'!$E$86:$L$86</c:f>
              <c:strCache>
                <c:ptCount val="8"/>
                <c:pt idx="0">
                  <c:v> 2019년  </c:v>
                </c:pt>
                <c:pt idx="1">
                  <c:v> 2020년 </c:v>
                </c:pt>
                <c:pt idx="2">
                  <c:v> 2021년 </c:v>
                </c:pt>
                <c:pt idx="3">
                  <c:v> 2022년 </c:v>
                </c:pt>
                <c:pt idx="4">
                  <c:v> 2023년 </c:v>
                </c:pt>
                <c:pt idx="5">
                  <c:v> 2024년 </c:v>
                </c:pt>
                <c:pt idx="6">
                  <c:v> 2025년 </c:v>
                </c:pt>
                <c:pt idx="7">
                  <c:v> 2026년 </c:v>
                </c:pt>
              </c:strCache>
            </c:strRef>
          </c:cat>
          <c:val>
            <c:numRef>
              <c:f>'6. 의료기기'!$E$92:$L$92</c:f>
              <c:numCache>
                <c:formatCode>0.00</c:formatCode>
                <c:ptCount val="8"/>
                <c:pt idx="0">
                  <c:v>23.6</c:v>
                </c:pt>
                <c:pt idx="1">
                  <c:v>21.11</c:v>
                </c:pt>
                <c:pt idx="2">
                  <c:v>22.71</c:v>
                </c:pt>
                <c:pt idx="3">
                  <c:v>25.16</c:v>
                </c:pt>
                <c:pt idx="4">
                  <c:v>27.19</c:v>
                </c:pt>
                <c:pt idx="5">
                  <c:v>29.17</c:v>
                </c:pt>
                <c:pt idx="6">
                  <c:v>31.2</c:v>
                </c:pt>
                <c:pt idx="7">
                  <c:v>32.700000000000003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897-4213-8E5E-75E6BAB6FF33}"/>
            </c:ext>
          </c:extLst>
        </c:ser>
        <c:ser>
          <c:idx val="6"/>
          <c:order val="6"/>
          <c:tx>
            <c:strRef>
              <c:f>'6. 의료기기'!$D$93</c:f>
              <c:strCache>
                <c:ptCount val="1"/>
                <c:pt idx="0">
                  <c:v> Audiology 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'6. 의료기기'!$E$86:$L$86</c:f>
              <c:strCache>
                <c:ptCount val="8"/>
                <c:pt idx="0">
                  <c:v> 2019년  </c:v>
                </c:pt>
                <c:pt idx="1">
                  <c:v> 2020년 </c:v>
                </c:pt>
                <c:pt idx="2">
                  <c:v> 2021년 </c:v>
                </c:pt>
                <c:pt idx="3">
                  <c:v> 2022년 </c:v>
                </c:pt>
                <c:pt idx="4">
                  <c:v> 2023년 </c:v>
                </c:pt>
                <c:pt idx="5">
                  <c:v> 2024년 </c:v>
                </c:pt>
                <c:pt idx="6">
                  <c:v> 2025년 </c:v>
                </c:pt>
                <c:pt idx="7">
                  <c:v> 2026년 </c:v>
                </c:pt>
              </c:strCache>
            </c:strRef>
          </c:cat>
          <c:val>
            <c:numRef>
              <c:f>'6. 의료기기'!$E$93:$L$93</c:f>
              <c:numCache>
                <c:formatCode>0.00</c:formatCode>
                <c:ptCount val="8"/>
                <c:pt idx="0">
                  <c:v>19</c:v>
                </c:pt>
                <c:pt idx="1">
                  <c:v>8.5299999999999994</c:v>
                </c:pt>
                <c:pt idx="2">
                  <c:v>13.86</c:v>
                </c:pt>
                <c:pt idx="3">
                  <c:v>15.33</c:v>
                </c:pt>
                <c:pt idx="4">
                  <c:v>17.63</c:v>
                </c:pt>
                <c:pt idx="5">
                  <c:v>20.46</c:v>
                </c:pt>
                <c:pt idx="6">
                  <c:v>24.09</c:v>
                </c:pt>
                <c:pt idx="7">
                  <c:v>26.97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897-4213-8E5E-75E6BAB6FF33}"/>
            </c:ext>
          </c:extLst>
        </c:ser>
        <c:ser>
          <c:idx val="7"/>
          <c:order val="7"/>
          <c:tx>
            <c:strRef>
              <c:f>'6. 의료기기'!$D$94</c:f>
              <c:strCache>
                <c:ptCount val="1"/>
                <c:pt idx="0">
                  <c:v> Respiratory 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'6. 의료기기'!$E$86:$L$86</c:f>
              <c:strCache>
                <c:ptCount val="8"/>
                <c:pt idx="0">
                  <c:v> 2019년  </c:v>
                </c:pt>
                <c:pt idx="1">
                  <c:v> 2020년 </c:v>
                </c:pt>
                <c:pt idx="2">
                  <c:v> 2021년 </c:v>
                </c:pt>
                <c:pt idx="3">
                  <c:v> 2022년 </c:v>
                </c:pt>
                <c:pt idx="4">
                  <c:v> 2023년 </c:v>
                </c:pt>
                <c:pt idx="5">
                  <c:v> 2024년 </c:v>
                </c:pt>
                <c:pt idx="6">
                  <c:v> 2025년 </c:v>
                </c:pt>
                <c:pt idx="7">
                  <c:v> 2026년 </c:v>
                </c:pt>
              </c:strCache>
            </c:strRef>
          </c:cat>
          <c:val>
            <c:numRef>
              <c:f>'6. 의료기기'!$E$94:$L$94</c:f>
              <c:numCache>
                <c:formatCode>0.00</c:formatCode>
                <c:ptCount val="8"/>
                <c:pt idx="0">
                  <c:v>19.7</c:v>
                </c:pt>
                <c:pt idx="1">
                  <c:v>81.59</c:v>
                </c:pt>
                <c:pt idx="2">
                  <c:v>40.229999999999997</c:v>
                </c:pt>
                <c:pt idx="3">
                  <c:v>41.94</c:v>
                </c:pt>
                <c:pt idx="4">
                  <c:v>43.98</c:v>
                </c:pt>
                <c:pt idx="5">
                  <c:v>45.81</c:v>
                </c:pt>
                <c:pt idx="6">
                  <c:v>48.01</c:v>
                </c:pt>
                <c:pt idx="7">
                  <c:v>49.19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897-4213-8E5E-75E6BAB6FF33}"/>
            </c:ext>
          </c:extLst>
        </c:ser>
        <c:ser>
          <c:idx val="8"/>
          <c:order val="8"/>
          <c:tx>
            <c:strRef>
              <c:f>'6. 의료기기'!$D$95</c:f>
              <c:strCache>
                <c:ptCount val="1"/>
                <c:pt idx="0">
                  <c:v> Urology 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'6. 의료기기'!$E$86:$L$86</c:f>
              <c:strCache>
                <c:ptCount val="8"/>
                <c:pt idx="0">
                  <c:v> 2019년  </c:v>
                </c:pt>
                <c:pt idx="1">
                  <c:v> 2020년 </c:v>
                </c:pt>
                <c:pt idx="2">
                  <c:v> 2021년 </c:v>
                </c:pt>
                <c:pt idx="3">
                  <c:v> 2022년 </c:v>
                </c:pt>
                <c:pt idx="4">
                  <c:v> 2023년 </c:v>
                </c:pt>
                <c:pt idx="5">
                  <c:v> 2024년 </c:v>
                </c:pt>
                <c:pt idx="6">
                  <c:v> 2025년 </c:v>
                </c:pt>
                <c:pt idx="7">
                  <c:v> 2026년 </c:v>
                </c:pt>
              </c:strCache>
            </c:strRef>
          </c:cat>
          <c:val>
            <c:numRef>
              <c:f>'6. 의료기기'!$E$95:$L$95</c:f>
              <c:numCache>
                <c:formatCode>0.00</c:formatCode>
                <c:ptCount val="8"/>
                <c:pt idx="0">
                  <c:v>7.7</c:v>
                </c:pt>
                <c:pt idx="1">
                  <c:v>4.92</c:v>
                </c:pt>
                <c:pt idx="2">
                  <c:v>6.09</c:v>
                </c:pt>
                <c:pt idx="3">
                  <c:v>7.18</c:v>
                </c:pt>
                <c:pt idx="4">
                  <c:v>8.2200000000000006</c:v>
                </c:pt>
                <c:pt idx="5">
                  <c:v>9.66</c:v>
                </c:pt>
                <c:pt idx="6">
                  <c:v>10.83</c:v>
                </c:pt>
                <c:pt idx="7">
                  <c:v>12.49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897-4213-8E5E-75E6BAB6FF33}"/>
            </c:ext>
          </c:extLst>
        </c:ser>
        <c:ser>
          <c:idx val="9"/>
          <c:order val="9"/>
          <c:tx>
            <c:strRef>
              <c:f>'6. 의료기기'!$D$96</c:f>
              <c:strCache>
                <c:ptCount val="1"/>
                <c:pt idx="0">
                  <c:v> Aesthetics 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'6. 의료기기'!$E$86:$L$86</c:f>
              <c:strCache>
                <c:ptCount val="8"/>
                <c:pt idx="0">
                  <c:v> 2019년  </c:v>
                </c:pt>
                <c:pt idx="1">
                  <c:v> 2020년 </c:v>
                </c:pt>
                <c:pt idx="2">
                  <c:v> 2021년 </c:v>
                </c:pt>
                <c:pt idx="3">
                  <c:v> 2022년 </c:v>
                </c:pt>
                <c:pt idx="4">
                  <c:v> 2023년 </c:v>
                </c:pt>
                <c:pt idx="5">
                  <c:v> 2024년 </c:v>
                </c:pt>
                <c:pt idx="6">
                  <c:v> 2025년 </c:v>
                </c:pt>
                <c:pt idx="7">
                  <c:v> 2026년 </c:v>
                </c:pt>
              </c:strCache>
            </c:strRef>
          </c:cat>
          <c:val>
            <c:numRef>
              <c:f>'6. 의료기기'!$E$96:$L$96</c:f>
              <c:numCache>
                <c:formatCode>0.00</c:formatCode>
                <c:ptCount val="8"/>
                <c:pt idx="0">
                  <c:v>7.7</c:v>
                </c:pt>
                <c:pt idx="1">
                  <c:v>1.52</c:v>
                </c:pt>
                <c:pt idx="2">
                  <c:v>2.62</c:v>
                </c:pt>
                <c:pt idx="3">
                  <c:v>3.06</c:v>
                </c:pt>
                <c:pt idx="4">
                  <c:v>3.84</c:v>
                </c:pt>
                <c:pt idx="5">
                  <c:v>4.88</c:v>
                </c:pt>
                <c:pt idx="6">
                  <c:v>8.1999999999999993</c:v>
                </c:pt>
                <c:pt idx="7">
                  <c:v>10.52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897-4213-8E5E-75E6BAB6FF33}"/>
            </c:ext>
          </c:extLst>
        </c:ser>
        <c:ser>
          <c:idx val="10"/>
          <c:order val="10"/>
          <c:tx>
            <c:strRef>
              <c:f>'6. 의료기기'!$D$97</c:f>
              <c:strCache>
                <c:ptCount val="1"/>
                <c:pt idx="0">
                  <c:v> Neurology 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'6. 의료기기'!$E$86:$L$86</c:f>
              <c:strCache>
                <c:ptCount val="8"/>
                <c:pt idx="0">
                  <c:v> 2019년  </c:v>
                </c:pt>
                <c:pt idx="1">
                  <c:v> 2020년 </c:v>
                </c:pt>
                <c:pt idx="2">
                  <c:v> 2021년 </c:v>
                </c:pt>
                <c:pt idx="3">
                  <c:v> 2022년 </c:v>
                </c:pt>
                <c:pt idx="4">
                  <c:v> 2023년 </c:v>
                </c:pt>
                <c:pt idx="5">
                  <c:v> 2024년 </c:v>
                </c:pt>
                <c:pt idx="6">
                  <c:v> 2025년 </c:v>
                </c:pt>
                <c:pt idx="7">
                  <c:v> 2026년 </c:v>
                </c:pt>
              </c:strCache>
            </c:strRef>
          </c:cat>
          <c:val>
            <c:numRef>
              <c:f>'6. 의료기기'!$E$97:$L$97</c:f>
              <c:numCache>
                <c:formatCode>0.00</c:formatCode>
                <c:ptCount val="8"/>
                <c:pt idx="0">
                  <c:v>11.9</c:v>
                </c:pt>
                <c:pt idx="1">
                  <c:v>8.32</c:v>
                </c:pt>
                <c:pt idx="2">
                  <c:v>10.43</c:v>
                </c:pt>
                <c:pt idx="3">
                  <c:v>12.39</c:v>
                </c:pt>
                <c:pt idx="4">
                  <c:v>14.54</c:v>
                </c:pt>
                <c:pt idx="5">
                  <c:v>17.25</c:v>
                </c:pt>
                <c:pt idx="6">
                  <c:v>19.68</c:v>
                </c:pt>
                <c:pt idx="7">
                  <c:v>22.3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897-4213-8E5E-75E6BAB6FF33}"/>
            </c:ext>
          </c:extLst>
        </c:ser>
        <c:ser>
          <c:idx val="11"/>
          <c:order val="11"/>
          <c:tx>
            <c:strRef>
              <c:f>'6. 의료기기'!$D$98</c:f>
              <c:strCache>
                <c:ptCount val="1"/>
                <c:pt idx="0">
                  <c:v> Robotics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'6. 의료기기'!$E$86:$L$86</c:f>
              <c:strCache>
                <c:ptCount val="8"/>
                <c:pt idx="0">
                  <c:v> 2019년  </c:v>
                </c:pt>
                <c:pt idx="1">
                  <c:v> 2020년 </c:v>
                </c:pt>
                <c:pt idx="2">
                  <c:v> 2021년 </c:v>
                </c:pt>
                <c:pt idx="3">
                  <c:v> 2022년 </c:v>
                </c:pt>
                <c:pt idx="4">
                  <c:v> 2023년 </c:v>
                </c:pt>
                <c:pt idx="5">
                  <c:v> 2024년 </c:v>
                </c:pt>
                <c:pt idx="6">
                  <c:v> 2025년 </c:v>
                </c:pt>
                <c:pt idx="7">
                  <c:v> 2026년 </c:v>
                </c:pt>
              </c:strCache>
            </c:strRef>
          </c:cat>
          <c:val>
            <c:numRef>
              <c:f>'6. 의료기기'!$E$98:$L$98</c:f>
              <c:numCache>
                <c:formatCode>0.00</c:formatCode>
                <c:ptCount val="8"/>
                <c:pt idx="0">
                  <c:v>8.3000000000000007</c:v>
                </c:pt>
                <c:pt idx="1">
                  <c:v>6.11</c:v>
                </c:pt>
                <c:pt idx="2">
                  <c:v>7.51</c:v>
                </c:pt>
                <c:pt idx="3">
                  <c:v>8.89</c:v>
                </c:pt>
                <c:pt idx="4">
                  <c:v>10.41</c:v>
                </c:pt>
                <c:pt idx="5">
                  <c:v>12.18</c:v>
                </c:pt>
                <c:pt idx="6">
                  <c:v>13.84</c:v>
                </c:pt>
                <c:pt idx="7">
                  <c:v>15.81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897-4213-8E5E-75E6BAB6FF33}"/>
            </c:ext>
          </c:extLst>
        </c:ser>
        <c:ser>
          <c:idx val="12"/>
          <c:order val="12"/>
          <c:tx>
            <c:strRef>
              <c:f>'6. 의료기기'!$D$99</c:f>
              <c:strCache>
                <c:ptCount val="1"/>
                <c:pt idx="0">
                  <c:v> Others 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'6. 의료기기'!$E$86:$L$86</c:f>
              <c:strCache>
                <c:ptCount val="8"/>
                <c:pt idx="0">
                  <c:v> 2019년  </c:v>
                </c:pt>
                <c:pt idx="1">
                  <c:v> 2020년 </c:v>
                </c:pt>
                <c:pt idx="2">
                  <c:v> 2021년 </c:v>
                </c:pt>
                <c:pt idx="3">
                  <c:v> 2022년 </c:v>
                </c:pt>
                <c:pt idx="4">
                  <c:v> 2023년 </c:v>
                </c:pt>
                <c:pt idx="5">
                  <c:v> 2024년 </c:v>
                </c:pt>
                <c:pt idx="6">
                  <c:v> 2025년 </c:v>
                </c:pt>
                <c:pt idx="7">
                  <c:v> 2026년 </c:v>
                </c:pt>
              </c:strCache>
            </c:strRef>
          </c:cat>
          <c:val>
            <c:numRef>
              <c:f>'6. 의료기기'!$E$99:$L$99</c:f>
              <c:numCache>
                <c:formatCode>0.00</c:formatCode>
                <c:ptCount val="8"/>
                <c:pt idx="0">
                  <c:v>116.9</c:v>
                </c:pt>
                <c:pt idx="1">
                  <c:v>95.47</c:v>
                </c:pt>
                <c:pt idx="2">
                  <c:v>144.47999999999999</c:v>
                </c:pt>
                <c:pt idx="3">
                  <c:v>153.62</c:v>
                </c:pt>
                <c:pt idx="4">
                  <c:v>160.18</c:v>
                </c:pt>
                <c:pt idx="5">
                  <c:v>168.62</c:v>
                </c:pt>
                <c:pt idx="6">
                  <c:v>177.2</c:v>
                </c:pt>
                <c:pt idx="7">
                  <c:v>184.86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897-4213-8E5E-75E6BAB6F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3316095"/>
        <c:axId val="703318591"/>
      </c:lineChart>
      <c:catAx>
        <c:axId val="703316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03318591"/>
        <c:crosses val="autoZero"/>
        <c:auto val="1"/>
        <c:lblAlgn val="ctr"/>
        <c:lblOffset val="100"/>
        <c:noMultiLvlLbl val="0"/>
      </c:catAx>
      <c:valAx>
        <c:axId val="703318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03316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054812938072391"/>
          <c:y val="7.4071886847477397E-2"/>
          <c:w val="0.18492761259663376"/>
          <c:h val="0.8611132983377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2020</a:t>
            </a:r>
            <a:r>
              <a:rPr lang="ko-KR" altLang="en-US"/>
              <a:t>년</a:t>
            </a:r>
          </a:p>
        </c:rich>
      </c:tx>
      <c:layout>
        <c:manualLayout>
          <c:xMode val="edge"/>
          <c:yMode val="edge"/>
          <c:x val="0.31565341611299624"/>
          <c:y val="1.98830376396861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'7. 바이오산업 '!$E$34</c:f>
              <c:strCache>
                <c:ptCount val="1"/>
                <c:pt idx="0">
                  <c:v> 2020년 </c:v>
                </c:pt>
              </c:strCache>
            </c:strRef>
          </c:tx>
          <c:dPt>
            <c:idx val="0"/>
            <c:bubble3D val="0"/>
            <c:spPr>
              <a:solidFill>
                <a:srgbClr val="95C55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0E0-4977-9152-8D72A8CA42C2}"/>
              </c:ext>
            </c:extLst>
          </c:dPt>
          <c:dPt>
            <c:idx val="1"/>
            <c:bubble3D val="0"/>
            <c:spPr>
              <a:solidFill>
                <a:srgbClr val="F4A42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0E0-4977-9152-8D72A8CA42C2}"/>
              </c:ext>
            </c:extLst>
          </c:dPt>
          <c:dPt>
            <c:idx val="2"/>
            <c:bubble3D val="0"/>
            <c:spPr>
              <a:solidFill>
                <a:srgbClr val="F4806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0E0-4977-9152-8D72A8CA42C2}"/>
              </c:ext>
            </c:extLst>
          </c:dPt>
          <c:dPt>
            <c:idx val="3"/>
            <c:bubble3D val="0"/>
            <c:spPr>
              <a:solidFill>
                <a:srgbClr val="F2665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0E0-4977-9152-8D72A8CA42C2}"/>
              </c:ext>
            </c:extLst>
          </c:dPt>
          <c:dPt>
            <c:idx val="4"/>
            <c:bubble3D val="0"/>
            <c:spPr>
              <a:solidFill>
                <a:srgbClr val="7E8DC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0E0-4977-9152-8D72A8CA42C2}"/>
              </c:ext>
            </c:extLst>
          </c:dPt>
          <c:dPt>
            <c:idx val="5"/>
            <c:bubble3D val="0"/>
            <c:spPr>
              <a:solidFill>
                <a:srgbClr val="62C7C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0E0-4977-9152-8D72A8CA42C2}"/>
              </c:ext>
            </c:extLst>
          </c:dPt>
          <c:dPt>
            <c:idx val="6"/>
            <c:bubble3D val="0"/>
            <c:spPr>
              <a:solidFill>
                <a:srgbClr val="3CADB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E0E0-4977-9152-8D72A8CA42C2}"/>
              </c:ext>
            </c:extLst>
          </c:dPt>
          <c:dPt>
            <c:idx val="7"/>
            <c:bubble3D val="0"/>
            <c:spPr>
              <a:solidFill>
                <a:srgbClr val="3DA4D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E0E0-4977-9152-8D72A8CA42C2}"/>
              </c:ext>
            </c:extLst>
          </c:dPt>
          <c:dLbls>
            <c:dLbl>
              <c:idx val="4"/>
              <c:layout>
                <c:manualLayout>
                  <c:x val="4.4973550594536171E-3"/>
                  <c:y val="-4.7719290335246835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0E0-4977-9152-8D72A8CA42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'7. 바이오산업 '!$D$35:$D$39</c:f>
              <c:strCache>
                <c:ptCount val="5"/>
                <c:pt idx="0">
                  <c:v>헬스케어</c:v>
                </c:pt>
                <c:pt idx="1">
                  <c:v>작물생산 및 농업</c:v>
                </c:pt>
                <c:pt idx="2">
                  <c:v>산업공정</c:v>
                </c:pt>
                <c:pt idx="3">
                  <c:v>천연자원 및 환경</c:v>
                </c:pt>
                <c:pt idx="4">
                  <c:v>기타</c:v>
                </c:pt>
              </c:strCache>
            </c:strRef>
          </c:cat>
          <c:val>
            <c:numRef>
              <c:f>'7. 바이오산업 '!$E$35:$E$39</c:f>
              <c:numCache>
                <c:formatCode>#,##0</c:formatCode>
                <c:ptCount val="5"/>
                <c:pt idx="0">
                  <c:v>309399</c:v>
                </c:pt>
                <c:pt idx="1">
                  <c:v>115684</c:v>
                </c:pt>
                <c:pt idx="2">
                  <c:v>48391</c:v>
                </c:pt>
                <c:pt idx="3">
                  <c:v>20264</c:v>
                </c:pt>
                <c:pt idx="4">
                  <c:v>10333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0E0-4977-9152-8D72A8CA4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545685690832677"/>
          <c:y val="0.22564902662738179"/>
          <c:w val="0.26234736437287393"/>
          <c:h val="0.597152091237787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2027</a:t>
            </a:r>
            <a:r>
              <a:rPr lang="ko-KR" altLang="en-US"/>
              <a:t>년</a:t>
            </a:r>
          </a:p>
        </c:rich>
      </c:tx>
      <c:layout>
        <c:manualLayout>
          <c:xMode val="edge"/>
          <c:yMode val="edge"/>
          <c:x val="0.3223993916177461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0.1936872373407888"/>
          <c:y val="0.18654694780866599"/>
          <c:w val="0.40874381281799083"/>
          <c:h val="0.68668958121700951"/>
        </c:manualLayout>
      </c:layout>
      <c:doughnutChart>
        <c:varyColors val="1"/>
        <c:ser>
          <c:idx val="0"/>
          <c:order val="0"/>
          <c:tx>
            <c:strRef>
              <c:f>'7. 바이오산업 '!$L$34</c:f>
              <c:strCache>
                <c:ptCount val="1"/>
                <c:pt idx="0">
                  <c:v> 2027년 </c:v>
                </c:pt>
              </c:strCache>
            </c:strRef>
          </c:tx>
          <c:dPt>
            <c:idx val="0"/>
            <c:bubble3D val="0"/>
            <c:spPr>
              <a:solidFill>
                <a:srgbClr val="95C55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2D1-44C6-8D6D-247FA83CF266}"/>
              </c:ext>
            </c:extLst>
          </c:dPt>
          <c:dPt>
            <c:idx val="1"/>
            <c:bubble3D val="0"/>
            <c:spPr>
              <a:solidFill>
                <a:srgbClr val="F4A42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2D1-44C6-8D6D-247FA83CF266}"/>
              </c:ext>
            </c:extLst>
          </c:dPt>
          <c:dPt>
            <c:idx val="2"/>
            <c:bubble3D val="0"/>
            <c:spPr>
              <a:solidFill>
                <a:srgbClr val="F4806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2D1-44C6-8D6D-247FA83CF266}"/>
              </c:ext>
            </c:extLst>
          </c:dPt>
          <c:dPt>
            <c:idx val="3"/>
            <c:bubble3D val="0"/>
            <c:spPr>
              <a:solidFill>
                <a:srgbClr val="F2665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2D1-44C6-8D6D-247FA83CF266}"/>
              </c:ext>
            </c:extLst>
          </c:dPt>
          <c:dPt>
            <c:idx val="4"/>
            <c:bubble3D val="0"/>
            <c:spPr>
              <a:solidFill>
                <a:srgbClr val="7E8DC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2D1-44C6-8D6D-247FA83CF266}"/>
              </c:ext>
            </c:extLst>
          </c:dPt>
          <c:dPt>
            <c:idx val="5"/>
            <c:bubble3D val="0"/>
            <c:spPr>
              <a:solidFill>
                <a:srgbClr val="62C7C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2D1-44C6-8D6D-247FA83CF266}"/>
              </c:ext>
            </c:extLst>
          </c:dPt>
          <c:dPt>
            <c:idx val="6"/>
            <c:bubble3D val="0"/>
            <c:spPr>
              <a:solidFill>
                <a:srgbClr val="3CADB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2D1-44C6-8D6D-247FA83CF266}"/>
              </c:ext>
            </c:extLst>
          </c:dPt>
          <c:dPt>
            <c:idx val="7"/>
            <c:bubble3D val="0"/>
            <c:spPr>
              <a:solidFill>
                <a:srgbClr val="3DA4D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2D1-44C6-8D6D-247FA83CF266}"/>
              </c:ext>
            </c:extLst>
          </c:dPt>
          <c:dLbls>
            <c:dLbl>
              <c:idx val="4"/>
              <c:layout>
                <c:manualLayout>
                  <c:x val="-4.1225271174326417E-17"/>
                  <c:y val="-4.77192903352468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2D1-44C6-8D6D-247FA83CF2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'7. 바이오산업 '!$D$35:$D$39</c:f>
              <c:strCache>
                <c:ptCount val="5"/>
                <c:pt idx="0">
                  <c:v>헬스케어</c:v>
                </c:pt>
                <c:pt idx="1">
                  <c:v>작물생산 및 농업</c:v>
                </c:pt>
                <c:pt idx="2">
                  <c:v>산업공정</c:v>
                </c:pt>
                <c:pt idx="3">
                  <c:v>천연자원 및 환경</c:v>
                </c:pt>
                <c:pt idx="4">
                  <c:v>기타</c:v>
                </c:pt>
              </c:strCache>
            </c:strRef>
          </c:cat>
          <c:val>
            <c:numRef>
              <c:f>'7. 바이오산업 '!$L$35:$L$39</c:f>
              <c:numCache>
                <c:formatCode>#,##0</c:formatCode>
                <c:ptCount val="5"/>
                <c:pt idx="0">
                  <c:v>583633</c:v>
                </c:pt>
                <c:pt idx="1">
                  <c:v>205966</c:v>
                </c:pt>
                <c:pt idx="2">
                  <c:v>61972</c:v>
                </c:pt>
                <c:pt idx="3">
                  <c:v>37912</c:v>
                </c:pt>
                <c:pt idx="4">
                  <c:v>21873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2D1-44C6-8D6D-247FA83CF2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416061928922326"/>
          <c:y val="0.22187124918011819"/>
          <c:w val="0.26234731792133703"/>
          <c:h val="0.5933743137905237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488402169430224E-2"/>
          <c:y val="4.3554500759987819E-2"/>
          <c:w val="0.89973100700841224"/>
          <c:h val="0.700071865963215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'7. 바이오산업 '!$D$6</c:f>
              <c:strCache>
                <c:ptCount val="1"/>
                <c:pt idx="0">
                  <c:v> 코로나19 이전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l"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'7. 바이오산업 '!$E$5:$L$5</c:f>
              <c:strCache>
                <c:ptCount val="8"/>
                <c:pt idx="0">
                  <c:v> 2020년 </c:v>
                </c:pt>
                <c:pt idx="1">
                  <c:v> 2021년 </c:v>
                </c:pt>
                <c:pt idx="2">
                  <c:v> 2022년 </c:v>
                </c:pt>
                <c:pt idx="3">
                  <c:v> 2023년 </c:v>
                </c:pt>
                <c:pt idx="4">
                  <c:v> 2024년 </c:v>
                </c:pt>
                <c:pt idx="5">
                  <c:v> 2025년 </c:v>
                </c:pt>
                <c:pt idx="6">
                  <c:v> 2026년 </c:v>
                </c:pt>
                <c:pt idx="7">
                  <c:v> 2027년 </c:v>
                </c:pt>
              </c:strCache>
            </c:strRef>
          </c:cat>
          <c:val>
            <c:numRef>
              <c:f>'7. 바이오산업 '!$E$6:$L$6</c:f>
              <c:numCache>
                <c:formatCode>#,##0</c:formatCode>
                <c:ptCount val="8"/>
                <c:pt idx="0">
                  <c:v>461738</c:v>
                </c:pt>
                <c:pt idx="1">
                  <c:v>488981</c:v>
                </c:pt>
                <c:pt idx="2">
                  <c:v>518320</c:v>
                </c:pt>
                <c:pt idx="3">
                  <c:v>549938</c:v>
                </c:pt>
                <c:pt idx="4">
                  <c:v>584034</c:v>
                </c:pt>
                <c:pt idx="5" formatCode="_(* #,##0_);_(* \(#,##0\);_(* &quot;-&quot;_);_(@_)">
                  <c:v>620828</c:v>
                </c:pt>
                <c:pt idx="6">
                  <c:v>660561</c:v>
                </c:pt>
                <c:pt idx="7">
                  <c:v>703497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D-4E47-9DDA-980631B85EDD}"/>
            </c:ext>
          </c:extLst>
        </c:ser>
        <c:ser>
          <c:idx val="1"/>
          <c:order val="1"/>
          <c:tx>
            <c:strRef>
              <c:f>'7. 바이오산업 '!$D$7</c:f>
              <c:strCache>
                <c:ptCount val="1"/>
                <c:pt idx="0">
                  <c:v> 코로나19 이후 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'7. 바이오산업 '!$E$5:$L$5</c:f>
              <c:strCache>
                <c:ptCount val="8"/>
                <c:pt idx="0">
                  <c:v> 2020년 </c:v>
                </c:pt>
                <c:pt idx="1">
                  <c:v> 2021년 </c:v>
                </c:pt>
                <c:pt idx="2">
                  <c:v> 2022년 </c:v>
                </c:pt>
                <c:pt idx="3">
                  <c:v> 2023년 </c:v>
                </c:pt>
                <c:pt idx="4">
                  <c:v> 2024년 </c:v>
                </c:pt>
                <c:pt idx="5">
                  <c:v> 2025년 </c:v>
                </c:pt>
                <c:pt idx="6">
                  <c:v> 2026년 </c:v>
                </c:pt>
                <c:pt idx="7">
                  <c:v> 2027년 </c:v>
                </c:pt>
              </c:strCache>
            </c:strRef>
          </c:cat>
          <c:val>
            <c:numRef>
              <c:f>'7. 바이오산업 '!$E$7:$L$7</c:f>
              <c:numCache>
                <c:formatCode>#,##0</c:formatCode>
                <c:ptCount val="8"/>
                <c:pt idx="0">
                  <c:v>504071</c:v>
                </c:pt>
                <c:pt idx="1">
                  <c:v>583714</c:v>
                </c:pt>
                <c:pt idx="2">
                  <c:v>631870</c:v>
                </c:pt>
                <c:pt idx="3">
                  <c:v>679260</c:v>
                </c:pt>
                <c:pt idx="4">
                  <c:v>730544</c:v>
                </c:pt>
                <c:pt idx="5">
                  <c:v>786065</c:v>
                </c:pt>
                <c:pt idx="6">
                  <c:v>846199</c:v>
                </c:pt>
                <c:pt idx="7">
                  <c:v>911356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ED-4E47-9DDA-980631B85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9706256"/>
        <c:axId val="379692528"/>
      </c:barChart>
      <c:catAx>
        <c:axId val="379706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79692528"/>
        <c:crosses val="autoZero"/>
        <c:auto val="1"/>
        <c:lblAlgn val="ctr"/>
        <c:lblOffset val="100"/>
        <c:noMultiLvlLbl val="0"/>
      </c:catAx>
      <c:valAx>
        <c:axId val="37969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79706256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814497646973616"/>
          <c:y val="0.89883009665987079"/>
          <c:w val="0.34023643824322869"/>
          <c:h val="7.82665725285667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2020</a:t>
            </a:r>
            <a:r>
              <a:rPr lang="ko-KR" altLang="en-US"/>
              <a:t>년</a:t>
            </a:r>
          </a:p>
        </c:rich>
      </c:tx>
      <c:layout>
        <c:manualLayout>
          <c:xMode val="edge"/>
          <c:yMode val="edge"/>
          <c:x val="0.31340473858326939"/>
          <c:y val="2.78362526955606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'7. 바이오산업 '!$E$67</c:f>
              <c:strCache>
                <c:ptCount val="1"/>
                <c:pt idx="0">
                  <c:v> 2020년 </c:v>
                </c:pt>
              </c:strCache>
            </c:strRef>
          </c:tx>
          <c:dPt>
            <c:idx val="0"/>
            <c:bubble3D val="0"/>
            <c:spPr>
              <a:solidFill>
                <a:srgbClr val="95C55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C0-4964-B2C4-B500D751159C}"/>
              </c:ext>
            </c:extLst>
          </c:dPt>
          <c:dPt>
            <c:idx val="1"/>
            <c:bubble3D val="0"/>
            <c:spPr>
              <a:solidFill>
                <a:srgbClr val="F4A42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C0-4964-B2C4-B500D751159C}"/>
              </c:ext>
            </c:extLst>
          </c:dPt>
          <c:dPt>
            <c:idx val="2"/>
            <c:bubble3D val="0"/>
            <c:spPr>
              <a:solidFill>
                <a:srgbClr val="F4806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C0-4964-B2C4-B500D751159C}"/>
              </c:ext>
            </c:extLst>
          </c:dPt>
          <c:dPt>
            <c:idx val="3"/>
            <c:bubble3D val="0"/>
            <c:spPr>
              <a:solidFill>
                <a:srgbClr val="F2665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C0-4964-B2C4-B500D751159C}"/>
              </c:ext>
            </c:extLst>
          </c:dPt>
          <c:dPt>
            <c:idx val="4"/>
            <c:bubble3D val="0"/>
            <c:spPr>
              <a:solidFill>
                <a:srgbClr val="7E8DC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5C0-4964-B2C4-B500D751159C}"/>
              </c:ext>
            </c:extLst>
          </c:dPt>
          <c:dPt>
            <c:idx val="5"/>
            <c:bubble3D val="0"/>
            <c:spPr>
              <a:solidFill>
                <a:srgbClr val="62C7C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5C0-4964-B2C4-B500D751159C}"/>
              </c:ext>
            </c:extLst>
          </c:dPt>
          <c:dPt>
            <c:idx val="6"/>
            <c:bubble3D val="0"/>
            <c:spPr>
              <a:solidFill>
                <a:srgbClr val="3CADB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5C0-4964-B2C4-B500D751159C}"/>
              </c:ext>
            </c:extLst>
          </c:dPt>
          <c:dPt>
            <c:idx val="7"/>
            <c:bubble3D val="0"/>
            <c:spPr>
              <a:solidFill>
                <a:srgbClr val="3DA4D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35C0-4964-B2C4-B500D751159C}"/>
              </c:ext>
            </c:extLst>
          </c:dPt>
          <c:dLbls>
            <c:dLbl>
              <c:idx val="4"/>
              <c:layout>
                <c:manualLayout>
                  <c:x val="-1.1243387648634043E-2"/>
                  <c:y val="-2.3859645167623473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5C0-4964-B2C4-B500D75115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'7. 바이오산업 '!$D$68:$D$73</c:f>
              <c:strCache>
                <c:ptCount val="6"/>
                <c:pt idx="0">
                  <c:v>DNA 시퀀싱</c:v>
                </c:pt>
                <c:pt idx="1">
                  <c:v>세포기반 분석</c:v>
                </c:pt>
                <c:pt idx="2">
                  <c:v>나노바이오테크놀로지</c:v>
                </c:pt>
                <c:pt idx="3">
                  <c:v>조직 및 재생공학</c:v>
                </c:pt>
                <c:pt idx="4">
                  <c:v>발효</c:v>
                </c:pt>
                <c:pt idx="5">
                  <c:v>기타</c:v>
                </c:pt>
              </c:strCache>
            </c:strRef>
          </c:cat>
          <c:val>
            <c:numRef>
              <c:f>'7. 바이오산업 '!$E$68:$E$73</c:f>
              <c:numCache>
                <c:formatCode>#,##0</c:formatCode>
                <c:ptCount val="6"/>
                <c:pt idx="0">
                  <c:v>178945</c:v>
                </c:pt>
                <c:pt idx="1">
                  <c:v>105099</c:v>
                </c:pt>
                <c:pt idx="2">
                  <c:v>20264</c:v>
                </c:pt>
                <c:pt idx="3">
                  <c:v>70317</c:v>
                </c:pt>
                <c:pt idx="4">
                  <c:v>39217</c:v>
                </c:pt>
                <c:pt idx="5">
                  <c:v>90229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5C0-4964-B2C4-B500D7511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1172669396242474"/>
          <c:y val="0.22564902662738179"/>
          <c:w val="0.29607752731877607"/>
          <c:h val="0.597152091237787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2027</a:t>
            </a:r>
            <a:r>
              <a:rPr lang="ko-KR" altLang="en-US"/>
              <a:t>년</a:t>
            </a:r>
          </a:p>
        </c:rich>
      </c:tx>
      <c:layout>
        <c:manualLayout>
          <c:xMode val="edge"/>
          <c:yMode val="edge"/>
          <c:x val="0.36512425711763852"/>
          <c:y val="7.9532150558744661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0.1936872373407888"/>
          <c:y val="0.18654694780866599"/>
          <c:w val="0.40874381281799083"/>
          <c:h val="0.68668958121700951"/>
        </c:manualLayout>
      </c:layout>
      <c:doughnutChart>
        <c:varyColors val="1"/>
        <c:ser>
          <c:idx val="0"/>
          <c:order val="0"/>
          <c:tx>
            <c:strRef>
              <c:f>'7. 바이오산업 '!$L$67</c:f>
              <c:strCache>
                <c:ptCount val="1"/>
                <c:pt idx="0">
                  <c:v> 2027년 </c:v>
                </c:pt>
              </c:strCache>
            </c:strRef>
          </c:tx>
          <c:dPt>
            <c:idx val="0"/>
            <c:bubble3D val="0"/>
            <c:spPr>
              <a:solidFill>
                <a:srgbClr val="95C55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7DA-47FE-8877-29A192A5707B}"/>
              </c:ext>
            </c:extLst>
          </c:dPt>
          <c:dPt>
            <c:idx val="1"/>
            <c:bubble3D val="0"/>
            <c:spPr>
              <a:solidFill>
                <a:srgbClr val="F4A42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7DA-47FE-8877-29A192A5707B}"/>
              </c:ext>
            </c:extLst>
          </c:dPt>
          <c:dPt>
            <c:idx val="2"/>
            <c:bubble3D val="0"/>
            <c:spPr>
              <a:solidFill>
                <a:srgbClr val="F4806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7DA-47FE-8877-29A192A5707B}"/>
              </c:ext>
            </c:extLst>
          </c:dPt>
          <c:dPt>
            <c:idx val="3"/>
            <c:bubble3D val="0"/>
            <c:spPr>
              <a:solidFill>
                <a:srgbClr val="F2665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7DA-47FE-8877-29A192A5707B}"/>
              </c:ext>
            </c:extLst>
          </c:dPt>
          <c:dPt>
            <c:idx val="4"/>
            <c:bubble3D val="0"/>
            <c:spPr>
              <a:solidFill>
                <a:srgbClr val="7E8DC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7DA-47FE-8877-29A192A5707B}"/>
              </c:ext>
            </c:extLst>
          </c:dPt>
          <c:dPt>
            <c:idx val="5"/>
            <c:bubble3D val="0"/>
            <c:spPr>
              <a:solidFill>
                <a:srgbClr val="62C7C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7DA-47FE-8877-29A192A5707B}"/>
              </c:ext>
            </c:extLst>
          </c:dPt>
          <c:dPt>
            <c:idx val="6"/>
            <c:bubble3D val="0"/>
            <c:spPr>
              <a:solidFill>
                <a:srgbClr val="3CADB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7DA-47FE-8877-29A192A5707B}"/>
              </c:ext>
            </c:extLst>
          </c:dPt>
          <c:dPt>
            <c:idx val="7"/>
            <c:bubble3D val="0"/>
            <c:spPr>
              <a:solidFill>
                <a:srgbClr val="3DA4D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87DA-47FE-8877-29A192A5707B}"/>
              </c:ext>
            </c:extLst>
          </c:dPt>
          <c:dLbls>
            <c:dLbl>
              <c:idx val="4"/>
              <c:layout>
                <c:manualLayout>
                  <c:x val="-4.4973542631465725E-3"/>
                  <c:y val="-2.3859645167623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7DA-47FE-8877-29A192A5707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'7. 바이오산업 '!$D$68:$D$73</c:f>
              <c:strCache>
                <c:ptCount val="6"/>
                <c:pt idx="0">
                  <c:v>DNA 시퀀싱</c:v>
                </c:pt>
                <c:pt idx="1">
                  <c:v>세포기반 분석</c:v>
                </c:pt>
                <c:pt idx="2">
                  <c:v>나노바이오테크놀로지</c:v>
                </c:pt>
                <c:pt idx="3">
                  <c:v>조직 및 재생공학</c:v>
                </c:pt>
                <c:pt idx="4">
                  <c:v>발효</c:v>
                </c:pt>
                <c:pt idx="5">
                  <c:v>기타</c:v>
                </c:pt>
              </c:strCache>
            </c:strRef>
          </c:cat>
          <c:val>
            <c:numRef>
              <c:f>'7. 바이오산업 '!$L$68:$L$73</c:f>
              <c:numCache>
                <c:formatCode>#,##0</c:formatCode>
                <c:ptCount val="6"/>
                <c:pt idx="0">
                  <c:v>355429</c:v>
                </c:pt>
                <c:pt idx="1">
                  <c:v>180448</c:v>
                </c:pt>
                <c:pt idx="2">
                  <c:v>37912</c:v>
                </c:pt>
                <c:pt idx="3">
                  <c:v>123944</c:v>
                </c:pt>
                <c:pt idx="4">
                  <c:v>56870</c:v>
                </c:pt>
                <c:pt idx="5">
                  <c:v>156753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7DA-47FE-8877-29A192A570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220295107887805"/>
          <c:y val="0.22187124918011819"/>
          <c:w val="0.33430498613168214"/>
          <c:h val="0.5933743137905237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9199179618321614E-2"/>
          <c:y val="7.7609243143970816E-2"/>
          <c:w val="0.92851233602856065"/>
          <c:h val="0.667306330251768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'7. 바이오산업 '!$D$101</c:f>
              <c:strCache>
                <c:ptCount val="1"/>
                <c:pt idx="0">
                  <c:v>북미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'7. 바이오산업 '!$E$100:$L$100</c:f>
              <c:strCache>
                <c:ptCount val="8"/>
                <c:pt idx="0">
                  <c:v> 2020년 </c:v>
                </c:pt>
                <c:pt idx="1">
                  <c:v> 2021년 </c:v>
                </c:pt>
                <c:pt idx="2">
                  <c:v> 2022년 </c:v>
                </c:pt>
                <c:pt idx="3">
                  <c:v> 2023년 </c:v>
                </c:pt>
                <c:pt idx="4">
                  <c:v> 2024년 </c:v>
                </c:pt>
                <c:pt idx="5">
                  <c:v> 2025년 </c:v>
                </c:pt>
                <c:pt idx="6">
                  <c:v> 2026년 </c:v>
                </c:pt>
                <c:pt idx="7">
                  <c:v> 2027년 </c:v>
                </c:pt>
              </c:strCache>
            </c:strRef>
          </c:cat>
          <c:val>
            <c:numRef>
              <c:f>'7. 바이오산업 '!$E$101:$L$101</c:f>
              <c:numCache>
                <c:formatCode>#,##0</c:formatCode>
                <c:ptCount val="8"/>
                <c:pt idx="0">
                  <c:v>238810</c:v>
                </c:pt>
                <c:pt idx="1">
                  <c:v>277233</c:v>
                </c:pt>
                <c:pt idx="2">
                  <c:v>300870</c:v>
                </c:pt>
                <c:pt idx="3">
                  <c:v>324270</c:v>
                </c:pt>
                <c:pt idx="4">
                  <c:v>349670</c:v>
                </c:pt>
                <c:pt idx="5">
                  <c:v>377251</c:v>
                </c:pt>
                <c:pt idx="6">
                  <c:v>407212</c:v>
                </c:pt>
                <c:pt idx="7">
                  <c:v>439776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4F-4FCB-870E-9CE482404B69}"/>
            </c:ext>
          </c:extLst>
        </c:ser>
        <c:ser>
          <c:idx val="1"/>
          <c:order val="1"/>
          <c:tx>
            <c:strRef>
              <c:f>'7. 바이오산업 '!$D$102</c:f>
              <c:strCache>
                <c:ptCount val="1"/>
                <c:pt idx="0">
                  <c:v>유럽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'7. 바이오산업 '!$E$100:$L$100</c:f>
              <c:strCache>
                <c:ptCount val="8"/>
                <c:pt idx="0">
                  <c:v> 2020년 </c:v>
                </c:pt>
                <c:pt idx="1">
                  <c:v> 2021년 </c:v>
                </c:pt>
                <c:pt idx="2">
                  <c:v> 2022년 </c:v>
                </c:pt>
                <c:pt idx="3">
                  <c:v> 2023년 </c:v>
                </c:pt>
                <c:pt idx="4">
                  <c:v> 2024년 </c:v>
                </c:pt>
                <c:pt idx="5">
                  <c:v> 2025년 </c:v>
                </c:pt>
                <c:pt idx="6">
                  <c:v> 2026년 </c:v>
                </c:pt>
                <c:pt idx="7">
                  <c:v> 2027년 </c:v>
                </c:pt>
              </c:strCache>
            </c:strRef>
          </c:cat>
          <c:val>
            <c:numRef>
              <c:f>'7. 바이오산업 '!$E$102:$L$102</c:f>
              <c:numCache>
                <c:formatCode>#,##0</c:formatCode>
                <c:ptCount val="8"/>
                <c:pt idx="0">
                  <c:v>129964</c:v>
                </c:pt>
                <c:pt idx="1">
                  <c:v>150282</c:v>
                </c:pt>
                <c:pt idx="2">
                  <c:v>162453</c:v>
                </c:pt>
                <c:pt idx="3">
                  <c:v>174391</c:v>
                </c:pt>
                <c:pt idx="4">
                  <c:v>187298</c:v>
                </c:pt>
                <c:pt idx="5">
                  <c:v>201255</c:v>
                </c:pt>
                <c:pt idx="6">
                  <c:v>216355</c:v>
                </c:pt>
                <c:pt idx="7">
                  <c:v>232699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4F-4FCB-870E-9CE482404B69}"/>
            </c:ext>
          </c:extLst>
        </c:ser>
        <c:ser>
          <c:idx val="2"/>
          <c:order val="2"/>
          <c:tx>
            <c:strRef>
              <c:f>'7. 바이오산업 '!$D$103</c:f>
              <c:strCache>
                <c:ptCount val="1"/>
                <c:pt idx="0">
                  <c:v>아시아-태평양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'7. 바이오산업 '!$E$100:$L$100</c:f>
              <c:strCache>
                <c:ptCount val="8"/>
                <c:pt idx="0">
                  <c:v> 2020년 </c:v>
                </c:pt>
                <c:pt idx="1">
                  <c:v> 2021년 </c:v>
                </c:pt>
                <c:pt idx="2">
                  <c:v> 2022년 </c:v>
                </c:pt>
                <c:pt idx="3">
                  <c:v> 2023년 </c:v>
                </c:pt>
                <c:pt idx="4">
                  <c:v> 2024년 </c:v>
                </c:pt>
                <c:pt idx="5">
                  <c:v> 2025년 </c:v>
                </c:pt>
                <c:pt idx="6">
                  <c:v> 2026년 </c:v>
                </c:pt>
                <c:pt idx="7">
                  <c:v> 2027년 </c:v>
                </c:pt>
              </c:strCache>
            </c:strRef>
          </c:cat>
          <c:val>
            <c:numRef>
              <c:f>'7. 바이오산업 '!$E$103:$L$103</c:f>
              <c:numCache>
                <c:formatCode>#,##0</c:formatCode>
                <c:ptCount val="8"/>
                <c:pt idx="0">
                  <c:v>108633</c:v>
                </c:pt>
                <c:pt idx="1">
                  <c:v>125909</c:v>
                </c:pt>
                <c:pt idx="2">
                  <c:v>136399</c:v>
                </c:pt>
                <c:pt idx="3">
                  <c:v>146726</c:v>
                </c:pt>
                <c:pt idx="4">
                  <c:v>157892</c:v>
                </c:pt>
                <c:pt idx="5">
                  <c:v>169969</c:v>
                </c:pt>
                <c:pt idx="6">
                  <c:v>183034</c:v>
                </c:pt>
                <c:pt idx="7">
                  <c:v>197176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4F-4FCB-870E-9CE482404B69}"/>
            </c:ext>
          </c:extLst>
        </c:ser>
        <c:ser>
          <c:idx val="3"/>
          <c:order val="3"/>
          <c:tx>
            <c:strRef>
              <c:f>'7. 바이오산업 '!$D$104</c:f>
              <c:strCache>
                <c:ptCount val="1"/>
                <c:pt idx="0">
                  <c:v>기타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'7. 바이오산업 '!$E$100:$L$100</c:f>
              <c:strCache>
                <c:ptCount val="8"/>
                <c:pt idx="0">
                  <c:v> 2020년 </c:v>
                </c:pt>
                <c:pt idx="1">
                  <c:v> 2021년 </c:v>
                </c:pt>
                <c:pt idx="2">
                  <c:v> 2022년 </c:v>
                </c:pt>
                <c:pt idx="3">
                  <c:v> 2023년 </c:v>
                </c:pt>
                <c:pt idx="4">
                  <c:v> 2024년 </c:v>
                </c:pt>
                <c:pt idx="5">
                  <c:v> 2025년 </c:v>
                </c:pt>
                <c:pt idx="6">
                  <c:v> 2026년 </c:v>
                </c:pt>
                <c:pt idx="7">
                  <c:v> 2027년 </c:v>
                </c:pt>
              </c:strCache>
            </c:strRef>
          </c:cat>
          <c:val>
            <c:numRef>
              <c:f>'7. 바이오산업 '!$E$104:$L$104</c:f>
              <c:numCache>
                <c:formatCode>#,##0</c:formatCode>
                <c:ptCount val="8"/>
                <c:pt idx="0">
                  <c:v>26664</c:v>
                </c:pt>
                <c:pt idx="1">
                  <c:v>30290</c:v>
                </c:pt>
                <c:pt idx="2">
                  <c:v>32148</c:v>
                </c:pt>
                <c:pt idx="3">
                  <c:v>33873</c:v>
                </c:pt>
                <c:pt idx="4">
                  <c:v>35684</c:v>
                </c:pt>
                <c:pt idx="5">
                  <c:v>37590</c:v>
                </c:pt>
                <c:pt idx="6">
                  <c:v>39598</c:v>
                </c:pt>
                <c:pt idx="7">
                  <c:v>41705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4F-4FCB-870E-9CE482404B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7987535"/>
        <c:axId val="377984207"/>
      </c:barChart>
      <c:catAx>
        <c:axId val="37798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77984207"/>
        <c:crosses val="autoZero"/>
        <c:auto val="1"/>
        <c:lblAlgn val="ctr"/>
        <c:lblOffset val="100"/>
        <c:noMultiLvlLbl val="0"/>
      </c:catAx>
      <c:valAx>
        <c:axId val="377984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77987535"/>
        <c:crosses val="autoZero"/>
        <c:crossBetween val="between"/>
        <c:majorUnit val="10000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9925593535113707"/>
          <c:y val="0.89409667541557303"/>
          <c:w val="0.31431867039478939"/>
          <c:h val="7.81255468066491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'8. 의약품'!$D$7</c:f>
              <c:strCache>
                <c:ptCount val="1"/>
                <c:pt idx="0">
                  <c:v> 시장규모(억달러)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'8. 의약품'!$E$6:$L$6</c:f>
              <c:strCache>
                <c:ptCount val="8"/>
                <c:pt idx="0">
                  <c:v> 2019년 </c:v>
                </c:pt>
                <c:pt idx="1">
                  <c:v> 2020년 </c:v>
                </c:pt>
                <c:pt idx="2">
                  <c:v> 2021년 </c:v>
                </c:pt>
                <c:pt idx="3">
                  <c:v> 2022년 </c:v>
                </c:pt>
                <c:pt idx="4">
                  <c:v> 2023년 </c:v>
                </c:pt>
                <c:pt idx="5">
                  <c:v> 2024년 </c:v>
                </c:pt>
                <c:pt idx="6">
                  <c:v> 2025년 </c:v>
                </c:pt>
                <c:pt idx="7">
                  <c:v>  2026년  </c:v>
                </c:pt>
              </c:strCache>
            </c:strRef>
          </c:cat>
          <c:val>
            <c:numRef>
              <c:f>'8. 의약품'!$E$7:$L$7</c:f>
              <c:numCache>
                <c:formatCode>_(* #,##0.0_);_(* \(#,##0.0\);_(* "-"_);_(@_)</c:formatCode>
                <c:ptCount val="8"/>
                <c:pt idx="0">
                  <c:v>1249.58</c:v>
                </c:pt>
                <c:pt idx="1">
                  <c:v>1282.5900000000001</c:v>
                </c:pt>
                <c:pt idx="2">
                  <c:v>1429.3899999999999</c:v>
                </c:pt>
                <c:pt idx="3">
                  <c:v>1483.4099999999999</c:v>
                </c:pt>
                <c:pt idx="4">
                  <c:v>1551.31</c:v>
                </c:pt>
                <c:pt idx="5">
                  <c:v>1645.6000000000001</c:v>
                </c:pt>
                <c:pt idx="6">
                  <c:v>1752.8200000000002</c:v>
                </c:pt>
                <c:pt idx="7">
                  <c:v>1847.98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B7-456B-8FA3-72007ACB9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763252624"/>
        <c:axId val="-763245552"/>
      </c:barChart>
      <c:catAx>
        <c:axId val="-763252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3245552"/>
        <c:crosses val="autoZero"/>
        <c:auto val="1"/>
        <c:lblAlgn val="ctr"/>
        <c:lblOffset val="100"/>
        <c:noMultiLvlLbl val="0"/>
      </c:catAx>
      <c:valAx>
        <c:axId val="-763245552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_);_(* \(#,##0.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3252624"/>
        <c:crosses val="autoZero"/>
        <c:crossBetween val="between"/>
        <c:majorUnit val="5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'8. 의약품'!$D$58</c:f>
              <c:strCache>
                <c:ptCount val="1"/>
                <c:pt idx="0">
                  <c:v> 시장규모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'8. 의약품'!$E$57:$K$57</c:f>
              <c:strCache>
                <c:ptCount val="7"/>
                <c:pt idx="0">
                  <c:v> 2019년 </c:v>
                </c:pt>
                <c:pt idx="1">
                  <c:v> 2020년 </c:v>
                </c:pt>
                <c:pt idx="2">
                  <c:v> 2021년 </c:v>
                </c:pt>
                <c:pt idx="3">
                  <c:v> 2022년 </c:v>
                </c:pt>
                <c:pt idx="4">
                  <c:v> 2023년 </c:v>
                </c:pt>
                <c:pt idx="5">
                  <c:v> 2024년 </c:v>
                </c:pt>
                <c:pt idx="6">
                  <c:v> 2025년 </c:v>
                </c:pt>
              </c:strCache>
            </c:strRef>
          </c:cat>
          <c:val>
            <c:numRef>
              <c:f>'8. 의약품'!$E$58:$K$58</c:f>
              <c:numCache>
                <c:formatCode>_(* #,##0.00_);_(* \(#,##0.00\);_(* "-"_);_(@_)</c:formatCode>
                <c:ptCount val="7"/>
                <c:pt idx="0">
                  <c:v>394.49</c:v>
                </c:pt>
                <c:pt idx="1">
                  <c:v>411.65</c:v>
                </c:pt>
                <c:pt idx="2">
                  <c:v>515.77</c:v>
                </c:pt>
                <c:pt idx="3">
                  <c:v>532.79</c:v>
                </c:pt>
                <c:pt idx="4">
                  <c:v>560.82000000000005</c:v>
                </c:pt>
                <c:pt idx="5">
                  <c:v>603.45000000000005</c:v>
                </c:pt>
                <c:pt idx="6">
                  <c:v>654.39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8D-454C-987B-2D907348A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763248816"/>
        <c:axId val="-763260784"/>
      </c:barChart>
      <c:catAx>
        <c:axId val="-763248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3260784"/>
        <c:crosses val="autoZero"/>
        <c:auto val="1"/>
        <c:lblAlgn val="ctr"/>
        <c:lblOffset val="100"/>
        <c:noMultiLvlLbl val="0"/>
      </c:catAx>
      <c:valAx>
        <c:axId val="-763260784"/>
        <c:scaling>
          <c:orientation val="minMax"/>
          <c:max val="8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63248816"/>
        <c:crosses val="autoZero"/>
        <c:crossBetween val="between"/>
        <c:majorUnit val="2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'8. 의약품'!$D$32</c:f>
              <c:strCache>
                <c:ptCount val="1"/>
                <c:pt idx="0">
                  <c:v> 시장규모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'8. 의약품'!$E$31:$L$31</c:f>
              <c:strCache>
                <c:ptCount val="8"/>
                <c:pt idx="0">
                  <c:v> 2019년 </c:v>
                </c:pt>
                <c:pt idx="1">
                  <c:v> 2020년 </c:v>
                </c:pt>
                <c:pt idx="2">
                  <c:v> 2021년 </c:v>
                </c:pt>
                <c:pt idx="3">
                  <c:v> 2022년 </c:v>
                </c:pt>
                <c:pt idx="4">
                  <c:v> 2023년 </c:v>
                </c:pt>
                <c:pt idx="5">
                  <c:v> 2024년 </c:v>
                </c:pt>
                <c:pt idx="6">
                  <c:v> 2025년 </c:v>
                </c:pt>
                <c:pt idx="7">
                  <c:v> 2026년 </c:v>
                </c:pt>
              </c:strCache>
            </c:strRef>
          </c:cat>
          <c:val>
            <c:numRef>
              <c:f>'8. 의약품'!$E$32:$L$32</c:f>
              <c:numCache>
                <c:formatCode>_(* #,##0.00_);_(* \(#,##0.00\);_(* "-"_);_(@_)</c:formatCode>
                <c:ptCount val="8"/>
                <c:pt idx="0">
                  <c:v>855.09</c:v>
                </c:pt>
                <c:pt idx="1">
                  <c:v>870.94</c:v>
                </c:pt>
                <c:pt idx="2">
                  <c:v>913.62</c:v>
                </c:pt>
                <c:pt idx="3">
                  <c:v>950.62</c:v>
                </c:pt>
                <c:pt idx="4">
                  <c:v>990.49</c:v>
                </c:pt>
                <c:pt idx="5">
                  <c:v>1042.1500000000001</c:v>
                </c:pt>
                <c:pt idx="6">
                  <c:v>1098.43</c:v>
                </c:pt>
                <c:pt idx="7">
                  <c:v>1142.7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30-42FD-BF55-B2DB7FF8BC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759915984"/>
        <c:axId val="-759922512"/>
      </c:barChart>
      <c:catAx>
        <c:axId val="-759915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59922512"/>
        <c:crosses val="autoZero"/>
        <c:auto val="1"/>
        <c:lblAlgn val="ctr"/>
        <c:lblOffset val="100"/>
        <c:noMultiLvlLbl val="0"/>
      </c:catAx>
      <c:valAx>
        <c:axId val="-759922512"/>
        <c:scaling>
          <c:orientation val="minMax"/>
          <c:max val="1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59915984"/>
        <c:crosses val="autoZero"/>
        <c:crossBetween val="between"/>
        <c:majorUnit val="3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chemeClr val="tx1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1"/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2022</a:t>
            </a:r>
            <a:r>
              <a:rPr lang="ko-KR" altLang="en-US"/>
              <a:t>년</a:t>
            </a:r>
          </a:p>
        </c:rich>
      </c:tx>
      <c:layout>
        <c:manualLayout>
          <c:xMode val="edge"/>
          <c:yMode val="edge"/>
          <c:x val="0.31565341611299624"/>
          <c:y val="1.98830376396861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'8. 의약품'!$E$82</c:f>
              <c:strCache>
                <c:ptCount val="1"/>
                <c:pt idx="0">
                  <c:v> 2022년 </c:v>
                </c:pt>
              </c:strCache>
            </c:strRef>
          </c:tx>
          <c:dPt>
            <c:idx val="0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CEE-4B4E-B6BE-06B9FCACEE9B}"/>
              </c:ext>
            </c:extLst>
          </c:dPt>
          <c:dPt>
            <c:idx val="1"/>
            <c:bubble3D val="0"/>
            <c:spPr>
              <a:solidFill>
                <a:srgbClr val="F4A42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CEE-4B4E-B6BE-06B9FCACEE9B}"/>
              </c:ext>
            </c:extLst>
          </c:dPt>
          <c:dPt>
            <c:idx val="2"/>
            <c:bubble3D val="0"/>
            <c:spPr>
              <a:solidFill>
                <a:srgbClr val="F4806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CEE-4B4E-B6BE-06B9FCACEE9B}"/>
              </c:ext>
            </c:extLst>
          </c:dPt>
          <c:dPt>
            <c:idx val="3"/>
            <c:bubble3D val="0"/>
            <c:spPr>
              <a:solidFill>
                <a:srgbClr val="F2665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CEE-4B4E-B6BE-06B9FCACEE9B}"/>
              </c:ext>
            </c:extLst>
          </c:dPt>
          <c:dPt>
            <c:idx val="4"/>
            <c:bubble3D val="0"/>
            <c:spPr>
              <a:solidFill>
                <a:srgbClr val="7E8DC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CEE-4B4E-B6BE-06B9FCACEE9B}"/>
              </c:ext>
            </c:extLst>
          </c:dPt>
          <c:dPt>
            <c:idx val="5"/>
            <c:bubble3D val="0"/>
            <c:spPr>
              <a:solidFill>
                <a:srgbClr val="95C55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CEE-4B4E-B6BE-06B9FCACEE9B}"/>
              </c:ext>
            </c:extLst>
          </c:dPt>
          <c:dPt>
            <c:idx val="6"/>
            <c:bubble3D val="0"/>
            <c:spPr>
              <a:solidFill>
                <a:srgbClr val="CCFFC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FCEE-4B4E-B6BE-06B9FCACEE9B}"/>
              </c:ext>
            </c:extLst>
          </c:dPt>
          <c:dPt>
            <c:idx val="7"/>
            <c:bubble3D val="0"/>
            <c:spPr>
              <a:solidFill>
                <a:srgbClr val="3DA4D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FCEE-4B4E-B6BE-06B9FCACEE9B}"/>
              </c:ext>
            </c:extLst>
          </c:dPt>
          <c:dLbls>
            <c:dLbl>
              <c:idx val="4"/>
              <c:layout>
                <c:manualLayout>
                  <c:x val="4.4973550594536171E-3"/>
                  <c:y val="-4.7719290335246835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CEE-4B4E-B6BE-06B9FCACEE9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'8. 의약품'!$D$83:$D$90</c:f>
              <c:strCache>
                <c:ptCount val="8"/>
                <c:pt idx="0">
                  <c:v>Anti-Diabetes Drugs</c:v>
                </c:pt>
                <c:pt idx="1">
                  <c:v>Anti-Rheumatic Drugs</c:v>
                </c:pt>
                <c:pt idx="2">
                  <c:v>Antiviral Drugs</c:v>
                </c:pt>
                <c:pt idx="3">
                  <c:v>Dermatological Drugs</c:v>
                </c:pt>
                <c:pt idx="4">
                  <c:v>Immunosuppressants</c:v>
                </c:pt>
                <c:pt idx="5">
                  <c:v>Oncology Drugs</c:v>
                </c:pt>
                <c:pt idx="6">
                  <c:v>Other Therapeutic Areas</c:v>
                </c:pt>
                <c:pt idx="7">
                  <c:v>Vaccines</c:v>
                </c:pt>
              </c:strCache>
            </c:strRef>
          </c:cat>
          <c:val>
            <c:numRef>
              <c:f>'8. 의약품'!$E$83:$E$90</c:f>
              <c:numCache>
                <c:formatCode>0.0%</c:formatCode>
                <c:ptCount val="8"/>
                <c:pt idx="0">
                  <c:v>5.2999999999999999E-2</c:v>
                </c:pt>
                <c:pt idx="1">
                  <c:v>0.05</c:v>
                </c:pt>
                <c:pt idx="2">
                  <c:v>3.6999999999999998E-2</c:v>
                </c:pt>
                <c:pt idx="3">
                  <c:v>1.7000000000000001E-2</c:v>
                </c:pt>
                <c:pt idx="4">
                  <c:v>4.2000000000000003E-2</c:v>
                </c:pt>
                <c:pt idx="5">
                  <c:v>0.18</c:v>
                </c:pt>
                <c:pt idx="6">
                  <c:v>0.54800000000000004</c:v>
                </c:pt>
                <c:pt idx="7">
                  <c:v>7.2999999999999995E-2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CEE-4B4E-B6BE-06B9FCAC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1622404902187844"/>
          <c:y val="9.8397552413722486E-2"/>
          <c:w val="0.35679182062139986"/>
          <c:h val="0.84767839703263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2026</a:t>
            </a:r>
            <a:r>
              <a:rPr lang="ko-KR" altLang="en-US"/>
              <a:t>년</a:t>
            </a:r>
          </a:p>
        </c:rich>
      </c:tx>
      <c:layout>
        <c:manualLayout>
          <c:xMode val="edge"/>
          <c:yMode val="edge"/>
          <c:x val="0.3223993916177461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0.1936872373407888"/>
          <c:y val="0.18654694780866599"/>
          <c:w val="0.40874381281799083"/>
          <c:h val="0.68668958121700951"/>
        </c:manualLayout>
      </c:layout>
      <c:doughnutChart>
        <c:varyColors val="1"/>
        <c:ser>
          <c:idx val="0"/>
          <c:order val="0"/>
          <c:tx>
            <c:strRef>
              <c:f>'8. 의약품'!$F$82</c:f>
              <c:strCache>
                <c:ptCount val="1"/>
                <c:pt idx="0">
                  <c:v> 2026년 </c:v>
                </c:pt>
              </c:strCache>
            </c:strRef>
          </c:tx>
          <c:dPt>
            <c:idx val="0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8C9-4440-B418-2D676137FD9B}"/>
              </c:ext>
            </c:extLst>
          </c:dPt>
          <c:dPt>
            <c:idx val="1"/>
            <c:bubble3D val="0"/>
            <c:spPr>
              <a:solidFill>
                <a:srgbClr val="F4A42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8C9-4440-B418-2D676137FD9B}"/>
              </c:ext>
            </c:extLst>
          </c:dPt>
          <c:dPt>
            <c:idx val="2"/>
            <c:bubble3D val="0"/>
            <c:spPr>
              <a:solidFill>
                <a:srgbClr val="F4806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8C9-4440-B418-2D676137FD9B}"/>
              </c:ext>
            </c:extLst>
          </c:dPt>
          <c:dPt>
            <c:idx val="3"/>
            <c:bubble3D val="0"/>
            <c:spPr>
              <a:solidFill>
                <a:srgbClr val="F2665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8C9-4440-B418-2D676137FD9B}"/>
              </c:ext>
            </c:extLst>
          </c:dPt>
          <c:dPt>
            <c:idx val="4"/>
            <c:bubble3D val="0"/>
            <c:spPr>
              <a:solidFill>
                <a:srgbClr val="7E8DC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8C9-4440-B418-2D676137FD9B}"/>
              </c:ext>
            </c:extLst>
          </c:dPt>
          <c:dPt>
            <c:idx val="5"/>
            <c:bubble3D val="0"/>
            <c:spPr>
              <a:solidFill>
                <a:srgbClr val="95C55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8C9-4440-B418-2D676137FD9B}"/>
              </c:ext>
            </c:extLst>
          </c:dPt>
          <c:dPt>
            <c:idx val="6"/>
            <c:bubble3D val="0"/>
            <c:spPr>
              <a:solidFill>
                <a:srgbClr val="CCFFC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8C9-4440-B418-2D676137FD9B}"/>
              </c:ext>
            </c:extLst>
          </c:dPt>
          <c:dPt>
            <c:idx val="7"/>
            <c:bubble3D val="0"/>
            <c:spPr>
              <a:solidFill>
                <a:srgbClr val="3DA4D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8C9-4440-B418-2D676137FD9B}"/>
              </c:ext>
            </c:extLst>
          </c:dPt>
          <c:dLbls>
            <c:dLbl>
              <c:idx val="4"/>
              <c:layout>
                <c:manualLayout>
                  <c:x val="-4.1225271174326417E-17"/>
                  <c:y val="-4.77192903352468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8C9-4440-B418-2D676137FD9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'8. 의약품'!$D$83:$D$90</c:f>
              <c:strCache>
                <c:ptCount val="8"/>
                <c:pt idx="0">
                  <c:v>Anti-Diabetes Drugs</c:v>
                </c:pt>
                <c:pt idx="1">
                  <c:v>Anti-Rheumatic Drugs</c:v>
                </c:pt>
                <c:pt idx="2">
                  <c:v>Antiviral Drugs</c:v>
                </c:pt>
                <c:pt idx="3">
                  <c:v>Dermatological Drugs</c:v>
                </c:pt>
                <c:pt idx="4">
                  <c:v>Immunosuppressants</c:v>
                </c:pt>
                <c:pt idx="5">
                  <c:v>Oncology Drugs</c:v>
                </c:pt>
                <c:pt idx="6">
                  <c:v>Other Therapeutic Areas</c:v>
                </c:pt>
                <c:pt idx="7">
                  <c:v>Vaccines</c:v>
                </c:pt>
              </c:strCache>
            </c:strRef>
          </c:cat>
          <c:val>
            <c:numRef>
              <c:f>'8. 의약품'!$F$83:$F$90</c:f>
              <c:numCache>
                <c:formatCode>0.0%</c:formatCode>
                <c:ptCount val="8"/>
                <c:pt idx="0">
                  <c:v>0.05</c:v>
                </c:pt>
                <c:pt idx="1">
                  <c:v>3.4000000000000002E-2</c:v>
                </c:pt>
                <c:pt idx="2">
                  <c:v>3.2000000000000001E-2</c:v>
                </c:pt>
                <c:pt idx="3">
                  <c:v>2.1999999999999999E-2</c:v>
                </c:pt>
                <c:pt idx="4">
                  <c:v>5.6000000000000001E-2</c:v>
                </c:pt>
                <c:pt idx="5">
                  <c:v>0.23200000000000001</c:v>
                </c:pt>
                <c:pt idx="6">
                  <c:v>0.53500000000000003</c:v>
                </c:pt>
                <c:pt idx="7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8C9-4440-B418-2D676137F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3196485689471849"/>
          <c:y val="9.0643167734244884E-2"/>
          <c:w val="0.3545430803158417"/>
          <c:h val="0.867760265048719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'9. 합성생물학'!$D$6</c:f>
              <c:strCache>
                <c:ptCount val="1"/>
                <c:pt idx="0">
                  <c:v> 시장규모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dLbl>
              <c:idx val="6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3EA-4C7E-8C42-B64BB96F75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'9. 합성생물학'!$E$5:$J$5</c:f>
              <c:strCache>
                <c:ptCount val="6"/>
                <c:pt idx="0">
                  <c:v> 2018년  </c:v>
                </c:pt>
                <c:pt idx="1">
                  <c:v> 2019년 </c:v>
                </c:pt>
                <c:pt idx="2">
                  <c:v> 2020년 </c:v>
                </c:pt>
                <c:pt idx="3">
                  <c:v> 2021년 </c:v>
                </c:pt>
                <c:pt idx="4">
                  <c:v> 2022년 </c:v>
                </c:pt>
                <c:pt idx="5">
                  <c:v> 2023년 </c:v>
                </c:pt>
              </c:strCache>
            </c:strRef>
          </c:cat>
          <c:val>
            <c:numRef>
              <c:f>'9. 합성생물학'!$E$6:$J$6</c:f>
              <c:numCache>
                <c:formatCode>_(* #,##0.00_);_(* \(#,##0.00\);_(* "-"_);_(@_)</c:formatCode>
                <c:ptCount val="6"/>
                <c:pt idx="0">
                  <c:v>4.2699999999999996</c:v>
                </c:pt>
                <c:pt idx="1">
                  <c:v>5.1100000000000003</c:v>
                </c:pt>
                <c:pt idx="2">
                  <c:v>6.12</c:v>
                </c:pt>
                <c:pt idx="3">
                  <c:v>7.32</c:v>
                </c:pt>
                <c:pt idx="4">
                  <c:v>8.77</c:v>
                </c:pt>
                <c:pt idx="5">
                  <c:v>10.49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EA-4C7E-8C42-B64BB96F7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759903472"/>
        <c:axId val="-759919792"/>
      </c:barChart>
      <c:catAx>
        <c:axId val="-759903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59919792"/>
        <c:crosses val="autoZero"/>
        <c:auto val="1"/>
        <c:lblAlgn val="ctr"/>
        <c:lblOffset val="100"/>
        <c:noMultiLvlLbl val="0"/>
      </c:catAx>
      <c:valAx>
        <c:axId val="-759919792"/>
        <c:scaling>
          <c:orientation val="minMax"/>
          <c:max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59903472"/>
        <c:crosses val="autoZero"/>
        <c:crossBetween val="between"/>
        <c:majorUnit val="3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933114411718118E-2"/>
          <c:y val="0.17245357271684444"/>
          <c:w val="0.94752367576784446"/>
          <c:h val="0.576567449700571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'9. 합성생물학'!$D$30</c:f>
              <c:strCache>
                <c:ptCount val="1"/>
                <c:pt idx="0">
                  <c:v> 나노바이오하이브리드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'9. 합성생물학'!$E$29:$J$29</c:f>
              <c:strCache>
                <c:ptCount val="6"/>
                <c:pt idx="0">
                  <c:v> 2018년  </c:v>
                </c:pt>
                <c:pt idx="1">
                  <c:v> 2019년 </c:v>
                </c:pt>
                <c:pt idx="2">
                  <c:v> 2020년 </c:v>
                </c:pt>
                <c:pt idx="3">
                  <c:v> 2021년 </c:v>
                </c:pt>
                <c:pt idx="4">
                  <c:v> 2022년 </c:v>
                </c:pt>
                <c:pt idx="5">
                  <c:v> 2023년 </c:v>
                </c:pt>
              </c:strCache>
            </c:strRef>
          </c:cat>
          <c:val>
            <c:numRef>
              <c:f>'9. 합성생물학'!$E$30:$J$30</c:f>
              <c:numCache>
                <c:formatCode>0.00</c:formatCode>
                <c:ptCount val="6"/>
                <c:pt idx="0">
                  <c:v>0.26</c:v>
                </c:pt>
                <c:pt idx="1">
                  <c:v>0.3</c:v>
                </c:pt>
                <c:pt idx="2">
                  <c:v>0.36</c:v>
                </c:pt>
                <c:pt idx="3">
                  <c:v>0.43</c:v>
                </c:pt>
                <c:pt idx="4">
                  <c:v>0.51</c:v>
                </c:pt>
                <c:pt idx="5">
                  <c:v>0.61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EC-4B4E-8CB9-5DDF4C4B956C}"/>
            </c:ext>
          </c:extLst>
        </c:ser>
        <c:ser>
          <c:idx val="1"/>
          <c:order val="1"/>
          <c:tx>
            <c:strRef>
              <c:f>'9. 합성생물학'!$D$31</c:f>
              <c:strCache>
                <c:ptCount val="1"/>
                <c:pt idx="0">
                  <c:v> 이종핵산 </c:v>
                </c:pt>
              </c:strCache>
            </c:strRef>
          </c:tx>
          <c:spPr>
            <a:solidFill>
              <a:srgbClr val="F4A42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'9. 합성생물학'!$E$29:$J$29</c:f>
              <c:strCache>
                <c:ptCount val="6"/>
                <c:pt idx="0">
                  <c:v> 2018년  </c:v>
                </c:pt>
                <c:pt idx="1">
                  <c:v> 2019년 </c:v>
                </c:pt>
                <c:pt idx="2">
                  <c:v> 2020년 </c:v>
                </c:pt>
                <c:pt idx="3">
                  <c:v> 2021년 </c:v>
                </c:pt>
                <c:pt idx="4">
                  <c:v> 2022년 </c:v>
                </c:pt>
                <c:pt idx="5">
                  <c:v> 2023년 </c:v>
                </c:pt>
              </c:strCache>
            </c:strRef>
          </c:cat>
          <c:val>
            <c:numRef>
              <c:f>'9. 합성생물학'!$E$31:$J$31</c:f>
              <c:numCache>
                <c:formatCode>#,##0.00</c:formatCode>
                <c:ptCount val="6"/>
                <c:pt idx="0">
                  <c:v>0.34</c:v>
                </c:pt>
                <c:pt idx="1">
                  <c:v>0.4</c:v>
                </c:pt>
                <c:pt idx="2">
                  <c:v>0.48</c:v>
                </c:pt>
                <c:pt idx="3">
                  <c:v>0.56000000000000005</c:v>
                </c:pt>
                <c:pt idx="4">
                  <c:v>0.66</c:v>
                </c:pt>
                <c:pt idx="5">
                  <c:v>0.78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EC-4B4E-8CB9-5DDF4C4B956C}"/>
            </c:ext>
          </c:extLst>
        </c:ser>
        <c:ser>
          <c:idx val="2"/>
          <c:order val="2"/>
          <c:tx>
            <c:strRef>
              <c:f>'9. 합성생물학'!$D$32</c:f>
              <c:strCache>
                <c:ptCount val="1"/>
                <c:pt idx="0">
                  <c:v> 복제기술키트 </c:v>
                </c:pt>
              </c:strCache>
            </c:strRef>
          </c:tx>
          <c:spPr>
            <a:solidFill>
              <a:srgbClr val="F48065"/>
            </a:solidFill>
            <a:ln>
              <a:noFill/>
            </a:ln>
            <a:effectLst/>
          </c:spPr>
          <c:invertIfNegative val="0"/>
          <c:dLbls>
            <c:dLbl>
              <c:idx val="6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BEC-4B4E-8CB9-5DDF4C4B95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'9. 합성생물학'!$E$29:$J$29</c:f>
              <c:strCache>
                <c:ptCount val="6"/>
                <c:pt idx="0">
                  <c:v> 2018년  </c:v>
                </c:pt>
                <c:pt idx="1">
                  <c:v> 2019년 </c:v>
                </c:pt>
                <c:pt idx="2">
                  <c:v> 2020년 </c:v>
                </c:pt>
                <c:pt idx="3">
                  <c:v> 2021년 </c:v>
                </c:pt>
                <c:pt idx="4">
                  <c:v> 2022년 </c:v>
                </c:pt>
                <c:pt idx="5">
                  <c:v> 2023년 </c:v>
                </c:pt>
              </c:strCache>
            </c:strRef>
          </c:cat>
          <c:val>
            <c:numRef>
              <c:f>'9. 합성생물학'!$E$32:$J$32</c:f>
              <c:numCache>
                <c:formatCode>0.00</c:formatCode>
                <c:ptCount val="6"/>
                <c:pt idx="0">
                  <c:v>0.6</c:v>
                </c:pt>
                <c:pt idx="1">
                  <c:v>0.7</c:v>
                </c:pt>
                <c:pt idx="2">
                  <c:v>0.82</c:v>
                </c:pt>
                <c:pt idx="3">
                  <c:v>0.96</c:v>
                </c:pt>
                <c:pt idx="4">
                  <c:v>1.1200000000000001</c:v>
                </c:pt>
                <c:pt idx="5">
                  <c:v>1.31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EC-4B4E-8CB9-5DDF4C4B956C}"/>
            </c:ext>
          </c:extLst>
        </c:ser>
        <c:ser>
          <c:idx val="5"/>
          <c:order val="3"/>
          <c:tx>
            <c:strRef>
              <c:f>'9. 합성생물학'!$D$33</c:f>
              <c:strCache>
                <c:ptCount val="1"/>
                <c:pt idx="0">
                  <c:v> 효소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'9. 합성생물학'!$E$33:$J$33</c:f>
              <c:numCache>
                <c:formatCode>0.00</c:formatCode>
                <c:ptCount val="6"/>
                <c:pt idx="0">
                  <c:v>0.64</c:v>
                </c:pt>
                <c:pt idx="1">
                  <c:v>0.76</c:v>
                </c:pt>
                <c:pt idx="2">
                  <c:v>0.89</c:v>
                </c:pt>
                <c:pt idx="3">
                  <c:v>1.05</c:v>
                </c:pt>
                <c:pt idx="4">
                  <c:v>1.24</c:v>
                </c:pt>
                <c:pt idx="5">
                  <c:v>1.47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B5-4816-872A-4B829394538A}"/>
            </c:ext>
          </c:extLst>
        </c:ser>
        <c:ser>
          <c:idx val="3"/>
          <c:order val="4"/>
          <c:tx>
            <c:strRef>
              <c:f>'9. 합성생물학'!$D$34</c:f>
              <c:strCache>
                <c:ptCount val="1"/>
                <c:pt idx="0">
                  <c:v> 섀시 유기체 </c:v>
                </c:pt>
              </c:strCache>
            </c:strRef>
          </c:tx>
          <c:spPr>
            <a:solidFill>
              <a:srgbClr val="3DA4D9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'9. 합성생물학'!$E$29:$J$29</c:f>
              <c:strCache>
                <c:ptCount val="6"/>
                <c:pt idx="0">
                  <c:v> 2018년  </c:v>
                </c:pt>
                <c:pt idx="1">
                  <c:v> 2019년 </c:v>
                </c:pt>
                <c:pt idx="2">
                  <c:v> 2020년 </c:v>
                </c:pt>
                <c:pt idx="3">
                  <c:v> 2021년 </c:v>
                </c:pt>
                <c:pt idx="4">
                  <c:v> 2022년 </c:v>
                </c:pt>
                <c:pt idx="5">
                  <c:v> 2023년 </c:v>
                </c:pt>
              </c:strCache>
            </c:strRef>
          </c:cat>
          <c:val>
            <c:numRef>
              <c:f>'9. 합성생물학'!$E$33:$J$33</c:f>
              <c:numCache>
                <c:formatCode>0.00</c:formatCode>
                <c:ptCount val="6"/>
                <c:pt idx="0">
                  <c:v>0.64</c:v>
                </c:pt>
                <c:pt idx="1">
                  <c:v>0.76</c:v>
                </c:pt>
                <c:pt idx="2">
                  <c:v>0.89</c:v>
                </c:pt>
                <c:pt idx="3">
                  <c:v>1.05</c:v>
                </c:pt>
                <c:pt idx="4">
                  <c:v>1.24</c:v>
                </c:pt>
                <c:pt idx="5">
                  <c:v>1.47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EC-4B4E-8CB9-5DDF4C4B956C}"/>
            </c:ext>
          </c:extLst>
        </c:ser>
        <c:ser>
          <c:idx val="4"/>
          <c:order val="5"/>
          <c:tx>
            <c:strRef>
              <c:f>'9. 합성생물학'!$D$35</c:f>
              <c:strCache>
                <c:ptCount val="1"/>
                <c:pt idx="0">
                  <c:v> 올리고뉴클레오타이드 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'9. 합성생물학'!$E$29:$J$29</c:f>
              <c:strCache>
                <c:ptCount val="6"/>
                <c:pt idx="0">
                  <c:v> 2018년  </c:v>
                </c:pt>
                <c:pt idx="1">
                  <c:v> 2019년 </c:v>
                </c:pt>
                <c:pt idx="2">
                  <c:v> 2020년 </c:v>
                </c:pt>
                <c:pt idx="3">
                  <c:v> 2021년 </c:v>
                </c:pt>
                <c:pt idx="4">
                  <c:v> 2022년 </c:v>
                </c:pt>
                <c:pt idx="5">
                  <c:v> 2023년 </c:v>
                </c:pt>
              </c:strCache>
            </c:strRef>
          </c:cat>
          <c:val>
            <c:numRef>
              <c:f>'9. 합성생물학'!$E$34:$J$34</c:f>
              <c:numCache>
                <c:formatCode>_(* #,##0.00_);_(* \(#,##0.00\);_(* "-"_);_(@_)</c:formatCode>
                <c:ptCount val="6"/>
                <c:pt idx="0">
                  <c:v>1.1100000000000001</c:v>
                </c:pt>
                <c:pt idx="1">
                  <c:v>1.36</c:v>
                </c:pt>
                <c:pt idx="2">
                  <c:v>1.66</c:v>
                </c:pt>
                <c:pt idx="3">
                  <c:v>2.0299999999999998</c:v>
                </c:pt>
                <c:pt idx="4">
                  <c:v>2.48</c:v>
                </c:pt>
                <c:pt idx="5">
                  <c:v>3.03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07-40D1-B18D-75EBE780D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-759902928"/>
        <c:axId val="-759913808"/>
      </c:barChart>
      <c:catAx>
        <c:axId val="-759902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59913808"/>
        <c:crosses val="autoZero"/>
        <c:auto val="1"/>
        <c:lblAlgn val="ctr"/>
        <c:lblOffset val="100"/>
        <c:noMultiLvlLbl val="0"/>
      </c:catAx>
      <c:valAx>
        <c:axId val="-75991380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59902928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2112009953766848E-2"/>
          <c:y val="0.89015927938770523"/>
          <c:w val="0.8704672554171905"/>
          <c:h val="8.37870781455413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123670413513801E-2"/>
          <c:y val="0.12335913305609364"/>
          <c:w val="0.93933311976604883"/>
          <c:h val="0.6083260561170756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'9. 합성생물학'!$D$85</c:f>
              <c:strCache>
                <c:ptCount val="1"/>
                <c:pt idx="0">
                  <c:v> 마이크로/나노기술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'9. 합성생물학'!$E$84:$J$84</c:f>
              <c:strCache>
                <c:ptCount val="6"/>
                <c:pt idx="0">
                  <c:v> 2018년  </c:v>
                </c:pt>
                <c:pt idx="1">
                  <c:v> 2019년 </c:v>
                </c:pt>
                <c:pt idx="2">
                  <c:v> 2020년 </c:v>
                </c:pt>
                <c:pt idx="3">
                  <c:v> 2021년 </c:v>
                </c:pt>
                <c:pt idx="4">
                  <c:v> 2022년 </c:v>
                </c:pt>
                <c:pt idx="5">
                  <c:v> 2023년 </c:v>
                </c:pt>
              </c:strCache>
            </c:strRef>
          </c:cat>
          <c:val>
            <c:numRef>
              <c:f>'9. 합성생물학'!$E$85:$J$85</c:f>
              <c:numCache>
                <c:formatCode>0.00</c:formatCode>
                <c:ptCount val="6"/>
                <c:pt idx="0">
                  <c:v>0.38</c:v>
                </c:pt>
                <c:pt idx="1">
                  <c:v>0.46</c:v>
                </c:pt>
                <c:pt idx="2">
                  <c:v>0.55000000000000004</c:v>
                </c:pt>
                <c:pt idx="3">
                  <c:v>0.66</c:v>
                </c:pt>
                <c:pt idx="4">
                  <c:v>0.79</c:v>
                </c:pt>
                <c:pt idx="5">
                  <c:v>0.95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64-4839-B123-6FC3097DA678}"/>
            </c:ext>
          </c:extLst>
        </c:ser>
        <c:ser>
          <c:idx val="1"/>
          <c:order val="1"/>
          <c:tx>
            <c:strRef>
              <c:f>'9. 합성생물학'!$D$86</c:f>
              <c:strCache>
                <c:ptCount val="1"/>
                <c:pt idx="0">
                  <c:v> 환경 </c:v>
                </c:pt>
              </c:strCache>
            </c:strRef>
          </c:tx>
          <c:spPr>
            <a:solidFill>
              <a:srgbClr val="F4A42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'9. 합성생물학'!$E$84:$J$84</c:f>
              <c:strCache>
                <c:ptCount val="6"/>
                <c:pt idx="0">
                  <c:v> 2018년  </c:v>
                </c:pt>
                <c:pt idx="1">
                  <c:v> 2019년 </c:v>
                </c:pt>
                <c:pt idx="2">
                  <c:v> 2020년 </c:v>
                </c:pt>
                <c:pt idx="3">
                  <c:v> 2021년 </c:v>
                </c:pt>
                <c:pt idx="4">
                  <c:v> 2022년 </c:v>
                </c:pt>
                <c:pt idx="5">
                  <c:v> 2023년 </c:v>
                </c:pt>
              </c:strCache>
            </c:strRef>
          </c:cat>
          <c:val>
            <c:numRef>
              <c:f>'9. 합성생물학'!$E$86:$J$86</c:f>
              <c:numCache>
                <c:formatCode>0.00</c:formatCode>
                <c:ptCount val="6"/>
                <c:pt idx="0">
                  <c:v>0.43</c:v>
                </c:pt>
                <c:pt idx="1">
                  <c:v>0.49</c:v>
                </c:pt>
                <c:pt idx="2">
                  <c:v>0.56999999999999995</c:v>
                </c:pt>
                <c:pt idx="3">
                  <c:v>0.66</c:v>
                </c:pt>
                <c:pt idx="4">
                  <c:v>0.79</c:v>
                </c:pt>
                <c:pt idx="5">
                  <c:v>0.87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64-4839-B123-6FC3097DA678}"/>
            </c:ext>
          </c:extLst>
        </c:ser>
        <c:ser>
          <c:idx val="2"/>
          <c:order val="2"/>
          <c:tx>
            <c:strRef>
              <c:f>'9. 합성생물학'!$D$87</c:f>
              <c:strCache>
                <c:ptCount val="1"/>
                <c:pt idx="0">
                  <c:v> 생물보안 </c:v>
                </c:pt>
              </c:strCache>
            </c:strRef>
          </c:tx>
          <c:spPr>
            <a:solidFill>
              <a:srgbClr val="F4806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'9. 합성생물학'!$E$84:$J$84</c:f>
              <c:strCache>
                <c:ptCount val="6"/>
                <c:pt idx="0">
                  <c:v> 2018년  </c:v>
                </c:pt>
                <c:pt idx="1">
                  <c:v> 2019년 </c:v>
                </c:pt>
                <c:pt idx="2">
                  <c:v> 2020년 </c:v>
                </c:pt>
                <c:pt idx="3">
                  <c:v> 2021년 </c:v>
                </c:pt>
                <c:pt idx="4">
                  <c:v> 2022년 </c:v>
                </c:pt>
                <c:pt idx="5">
                  <c:v> 2023년 </c:v>
                </c:pt>
              </c:strCache>
            </c:strRef>
          </c:cat>
          <c:val>
            <c:numRef>
              <c:f>'9. 합성생물학'!$E$87:$J$87</c:f>
              <c:numCache>
                <c:formatCode>0.00</c:formatCode>
                <c:ptCount val="6"/>
                <c:pt idx="0">
                  <c:v>0.3</c:v>
                </c:pt>
                <c:pt idx="1">
                  <c:v>0.33</c:v>
                </c:pt>
                <c:pt idx="2">
                  <c:v>0.37</c:v>
                </c:pt>
                <c:pt idx="3">
                  <c:v>0.42</c:v>
                </c:pt>
                <c:pt idx="4">
                  <c:v>0.46</c:v>
                </c:pt>
                <c:pt idx="5">
                  <c:v>0.52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64-4839-B123-6FC3097DA678}"/>
            </c:ext>
          </c:extLst>
        </c:ser>
        <c:ser>
          <c:idx val="3"/>
          <c:order val="3"/>
          <c:tx>
            <c:strRef>
              <c:f>'9. 합성생물학'!$D$88</c:f>
              <c:strCache>
                <c:ptCount val="1"/>
                <c:pt idx="0">
                  <c:v> 농업 </c:v>
                </c:pt>
              </c:strCache>
            </c:strRef>
          </c:tx>
          <c:spPr>
            <a:solidFill>
              <a:srgbClr val="3DA4D9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'9. 합성생물학'!$E$84:$J$84</c:f>
              <c:strCache>
                <c:ptCount val="6"/>
                <c:pt idx="0">
                  <c:v> 2018년  </c:v>
                </c:pt>
                <c:pt idx="1">
                  <c:v> 2019년 </c:v>
                </c:pt>
                <c:pt idx="2">
                  <c:v> 2020년 </c:v>
                </c:pt>
                <c:pt idx="3">
                  <c:v> 2021년 </c:v>
                </c:pt>
                <c:pt idx="4">
                  <c:v> 2022년 </c:v>
                </c:pt>
                <c:pt idx="5">
                  <c:v> 2023년 </c:v>
                </c:pt>
              </c:strCache>
            </c:strRef>
          </c:cat>
          <c:val>
            <c:numRef>
              <c:f>'9. 합성생물학'!$E$88:$J$88</c:f>
              <c:numCache>
                <c:formatCode>0.00</c:formatCode>
                <c:ptCount val="6"/>
                <c:pt idx="0">
                  <c:v>0.64</c:v>
                </c:pt>
                <c:pt idx="1">
                  <c:v>0.75</c:v>
                </c:pt>
                <c:pt idx="2">
                  <c:v>0.88</c:v>
                </c:pt>
                <c:pt idx="3">
                  <c:v>1.03</c:v>
                </c:pt>
                <c:pt idx="4">
                  <c:v>1.2</c:v>
                </c:pt>
                <c:pt idx="5">
                  <c:v>1.41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64-4839-B123-6FC3097DA678}"/>
            </c:ext>
          </c:extLst>
        </c:ser>
        <c:ser>
          <c:idx val="4"/>
          <c:order val="4"/>
          <c:tx>
            <c:strRef>
              <c:f>'9. 합성생물학'!$D$89</c:f>
              <c:strCache>
                <c:ptCount val="1"/>
                <c:pt idx="0">
                  <c:v> 재생에너지 </c:v>
                </c:pt>
              </c:strCache>
            </c:strRef>
          </c:tx>
          <c:spPr>
            <a:solidFill>
              <a:srgbClr val="7E8DC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'9. 합성생물학'!$E$84:$J$84</c:f>
              <c:strCache>
                <c:ptCount val="6"/>
                <c:pt idx="0">
                  <c:v> 2018년  </c:v>
                </c:pt>
                <c:pt idx="1">
                  <c:v> 2019년 </c:v>
                </c:pt>
                <c:pt idx="2">
                  <c:v> 2020년 </c:v>
                </c:pt>
                <c:pt idx="3">
                  <c:v> 2021년 </c:v>
                </c:pt>
                <c:pt idx="4">
                  <c:v> 2022년 </c:v>
                </c:pt>
                <c:pt idx="5">
                  <c:v> 2023년 </c:v>
                </c:pt>
              </c:strCache>
            </c:strRef>
          </c:cat>
          <c:val>
            <c:numRef>
              <c:f>'9. 합성생물학'!$E$89:$J$89</c:f>
              <c:numCache>
                <c:formatCode>0.00</c:formatCode>
                <c:ptCount val="6"/>
                <c:pt idx="0">
                  <c:v>1.2</c:v>
                </c:pt>
                <c:pt idx="1">
                  <c:v>1.44</c:v>
                </c:pt>
                <c:pt idx="2">
                  <c:v>1.73</c:v>
                </c:pt>
                <c:pt idx="3">
                  <c:v>2.08</c:v>
                </c:pt>
                <c:pt idx="4">
                  <c:v>2.5</c:v>
                </c:pt>
                <c:pt idx="5">
                  <c:v>3.01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64-4839-B123-6FC3097DA678}"/>
            </c:ext>
          </c:extLst>
        </c:ser>
        <c:ser>
          <c:idx val="5"/>
          <c:order val="5"/>
          <c:tx>
            <c:strRef>
              <c:f>'9. 합성생물학'!$D$90</c:f>
              <c:strCache>
                <c:ptCount val="1"/>
                <c:pt idx="0">
                  <c:v> 스마트 테라퓨틱스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'9. 합성생물학'!$E$84:$J$84</c:f>
              <c:strCache>
                <c:ptCount val="6"/>
                <c:pt idx="0">
                  <c:v> 2018년  </c:v>
                </c:pt>
                <c:pt idx="1">
                  <c:v> 2019년 </c:v>
                </c:pt>
                <c:pt idx="2">
                  <c:v> 2020년 </c:v>
                </c:pt>
                <c:pt idx="3">
                  <c:v> 2021년 </c:v>
                </c:pt>
                <c:pt idx="4">
                  <c:v> 2022년 </c:v>
                </c:pt>
                <c:pt idx="5">
                  <c:v> 2023년 </c:v>
                </c:pt>
              </c:strCache>
            </c:strRef>
          </c:cat>
          <c:val>
            <c:numRef>
              <c:f>'9. 합성생물학'!$E$90:$J$90</c:f>
              <c:numCache>
                <c:formatCode>0.00</c:formatCode>
                <c:ptCount val="6"/>
                <c:pt idx="0">
                  <c:v>1.32</c:v>
                </c:pt>
                <c:pt idx="1">
                  <c:v>1.63</c:v>
                </c:pt>
                <c:pt idx="2">
                  <c:v>2.0099999999999998</c:v>
                </c:pt>
                <c:pt idx="3">
                  <c:v>2.4700000000000002</c:v>
                </c:pt>
                <c:pt idx="4">
                  <c:v>3.04</c:v>
                </c:pt>
                <c:pt idx="5">
                  <c:v>3.74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67-4AB2-83A5-2A972A0ABE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759905104"/>
        <c:axId val="-759898032"/>
      </c:barChart>
      <c:catAx>
        <c:axId val="-75990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59898032"/>
        <c:crosses val="autoZero"/>
        <c:auto val="1"/>
        <c:lblAlgn val="ctr"/>
        <c:lblOffset val="100"/>
        <c:noMultiLvlLbl val="0"/>
      </c:catAx>
      <c:valAx>
        <c:axId val="-759898032"/>
        <c:scaling>
          <c:orientation val="minMax"/>
          <c:max val="4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59905104"/>
        <c:crosses val="autoZero"/>
        <c:crossBetween val="between"/>
        <c:majorUnit val="1.5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9923844561466683"/>
          <c:y val="0.89498745752982967"/>
          <c:w val="0.741091009326864"/>
          <c:h val="8.01041185196420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933114411718118E-2"/>
          <c:y val="0.17245357271684444"/>
          <c:w val="0.94752367576784446"/>
          <c:h val="0.576567449700571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'9. 합성생물학'!$D$58</c:f>
              <c:strCache>
                <c:ptCount val="1"/>
                <c:pt idx="0">
                  <c:v> 측정 및 모델링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'9. 합성생물학'!$E$57:$J$57</c:f>
              <c:strCache>
                <c:ptCount val="6"/>
                <c:pt idx="0">
                  <c:v> 2018년  </c:v>
                </c:pt>
                <c:pt idx="1">
                  <c:v> 2019년 </c:v>
                </c:pt>
                <c:pt idx="2">
                  <c:v> 2020년 </c:v>
                </c:pt>
                <c:pt idx="3">
                  <c:v> 2021년 </c:v>
                </c:pt>
                <c:pt idx="4">
                  <c:v> 2022년 </c:v>
                </c:pt>
                <c:pt idx="5">
                  <c:v> 2023년 </c:v>
                </c:pt>
              </c:strCache>
            </c:strRef>
          </c:cat>
          <c:val>
            <c:numRef>
              <c:f>'9. 합성생물학'!$E$58:$J$58</c:f>
              <c:numCache>
                <c:formatCode>0.00</c:formatCode>
                <c:ptCount val="6"/>
                <c:pt idx="0">
                  <c:v>0.34</c:v>
                </c:pt>
                <c:pt idx="1">
                  <c:v>0.4</c:v>
                </c:pt>
                <c:pt idx="2">
                  <c:v>0.46</c:v>
                </c:pt>
                <c:pt idx="3">
                  <c:v>0.53</c:v>
                </c:pt>
                <c:pt idx="4">
                  <c:v>0.62</c:v>
                </c:pt>
                <c:pt idx="5">
                  <c:v>0.72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6-4809-8107-C0D5E89ABEDE}"/>
            </c:ext>
          </c:extLst>
        </c:ser>
        <c:ser>
          <c:idx val="1"/>
          <c:order val="1"/>
          <c:tx>
            <c:strRef>
              <c:f>'9. 합성생물학'!$D$59</c:f>
              <c:strCache>
                <c:ptCount val="1"/>
                <c:pt idx="0">
                  <c:v> 부위 지정 돌연변이 유발 </c:v>
                </c:pt>
              </c:strCache>
            </c:strRef>
          </c:tx>
          <c:spPr>
            <a:solidFill>
              <a:srgbClr val="F4A42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'9. 합성생물학'!$E$57:$J$57</c:f>
              <c:strCache>
                <c:ptCount val="6"/>
                <c:pt idx="0">
                  <c:v> 2018년  </c:v>
                </c:pt>
                <c:pt idx="1">
                  <c:v> 2019년 </c:v>
                </c:pt>
                <c:pt idx="2">
                  <c:v> 2020년 </c:v>
                </c:pt>
                <c:pt idx="3">
                  <c:v> 2021년 </c:v>
                </c:pt>
                <c:pt idx="4">
                  <c:v> 2022년 </c:v>
                </c:pt>
                <c:pt idx="5">
                  <c:v> 2023년 </c:v>
                </c:pt>
              </c:strCache>
            </c:strRef>
          </c:cat>
          <c:val>
            <c:numRef>
              <c:f>'9. 합성생물학'!$E$59:$J$59</c:f>
              <c:numCache>
                <c:formatCode>0.00</c:formatCode>
                <c:ptCount val="6"/>
                <c:pt idx="0">
                  <c:v>0.51</c:v>
                </c:pt>
                <c:pt idx="1">
                  <c:v>0.61</c:v>
                </c:pt>
                <c:pt idx="2">
                  <c:v>0.74</c:v>
                </c:pt>
                <c:pt idx="3">
                  <c:v>0.89</c:v>
                </c:pt>
                <c:pt idx="4">
                  <c:v>1.06</c:v>
                </c:pt>
                <c:pt idx="5">
                  <c:v>1.28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96-4809-8107-C0D5E89ABEDE}"/>
            </c:ext>
          </c:extLst>
        </c:ser>
        <c:ser>
          <c:idx val="2"/>
          <c:order val="2"/>
          <c:tx>
            <c:strRef>
              <c:f>'9. 합성생물학'!$D$60</c:f>
              <c:strCache>
                <c:ptCount val="1"/>
                <c:pt idx="0">
                  <c:v> 복제 및 시퀀싱 </c:v>
                </c:pt>
              </c:strCache>
            </c:strRef>
          </c:tx>
          <c:spPr>
            <a:solidFill>
              <a:srgbClr val="F48065"/>
            </a:solidFill>
            <a:ln>
              <a:noFill/>
            </a:ln>
            <a:effectLst/>
          </c:spPr>
          <c:invertIfNegative val="0"/>
          <c:dLbls>
            <c:dLbl>
              <c:idx val="6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D96-4809-8107-C0D5E89ABE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'9. 합성생물학'!$E$57:$J$57</c:f>
              <c:strCache>
                <c:ptCount val="6"/>
                <c:pt idx="0">
                  <c:v> 2018년  </c:v>
                </c:pt>
                <c:pt idx="1">
                  <c:v> 2019년 </c:v>
                </c:pt>
                <c:pt idx="2">
                  <c:v> 2020년 </c:v>
                </c:pt>
                <c:pt idx="3">
                  <c:v> 2021년 </c:v>
                </c:pt>
                <c:pt idx="4">
                  <c:v> 2022년 </c:v>
                </c:pt>
                <c:pt idx="5">
                  <c:v> 2023년 </c:v>
                </c:pt>
              </c:strCache>
            </c:strRef>
          </c:cat>
          <c:val>
            <c:numRef>
              <c:f>'9. 합성생물학'!$E$60:$J$60</c:f>
              <c:numCache>
                <c:formatCode>0.00</c:formatCode>
                <c:ptCount val="6"/>
                <c:pt idx="0">
                  <c:v>0.6</c:v>
                </c:pt>
                <c:pt idx="1">
                  <c:v>0.69</c:v>
                </c:pt>
                <c:pt idx="2">
                  <c:v>0.8</c:v>
                </c:pt>
                <c:pt idx="3">
                  <c:v>0.93</c:v>
                </c:pt>
                <c:pt idx="4">
                  <c:v>1.08</c:v>
                </c:pt>
                <c:pt idx="5">
                  <c:v>1.26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96-4809-8107-C0D5E89ABEDE}"/>
            </c:ext>
          </c:extLst>
        </c:ser>
        <c:ser>
          <c:idx val="5"/>
          <c:order val="3"/>
          <c:tx>
            <c:strRef>
              <c:f>'9. 합성생물학'!$D$61</c:f>
              <c:strCache>
                <c:ptCount val="1"/>
                <c:pt idx="0">
                  <c:v> 차세대 시퀀싱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'9. 합성생물학'!$E$57:$J$57</c:f>
              <c:strCache>
                <c:ptCount val="6"/>
                <c:pt idx="0">
                  <c:v> 2018년  </c:v>
                </c:pt>
                <c:pt idx="1">
                  <c:v> 2019년 </c:v>
                </c:pt>
                <c:pt idx="2">
                  <c:v> 2020년 </c:v>
                </c:pt>
                <c:pt idx="3">
                  <c:v> 2021년 </c:v>
                </c:pt>
                <c:pt idx="4">
                  <c:v> 2022년 </c:v>
                </c:pt>
                <c:pt idx="5">
                  <c:v> 2023년 </c:v>
                </c:pt>
              </c:strCache>
            </c:strRef>
          </c:cat>
          <c:val>
            <c:numRef>
              <c:f>'9. 합성생물학'!$E$61:$J$61</c:f>
              <c:numCache>
                <c:formatCode>0.00</c:formatCode>
                <c:ptCount val="6"/>
                <c:pt idx="0">
                  <c:v>0.73</c:v>
                </c:pt>
                <c:pt idx="1">
                  <c:v>0.85</c:v>
                </c:pt>
                <c:pt idx="2">
                  <c:v>0.99</c:v>
                </c:pt>
                <c:pt idx="3">
                  <c:v>1.1599999999999999</c:v>
                </c:pt>
                <c:pt idx="4">
                  <c:v>1.36</c:v>
                </c:pt>
                <c:pt idx="5">
                  <c:v>1.59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96-4809-8107-C0D5E89ABEDE}"/>
            </c:ext>
          </c:extLst>
        </c:ser>
        <c:ser>
          <c:idx val="3"/>
          <c:order val="4"/>
          <c:tx>
            <c:strRef>
              <c:f>'9. 합성생물학'!$D$62</c:f>
              <c:strCache>
                <c:ptCount val="1"/>
                <c:pt idx="0">
                  <c:v> 게놈 공학 및 편집 </c:v>
                </c:pt>
              </c:strCache>
            </c:strRef>
          </c:tx>
          <c:spPr>
            <a:solidFill>
              <a:srgbClr val="3DA4D9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'9. 합성생물학'!$E$57:$J$57</c:f>
              <c:strCache>
                <c:ptCount val="6"/>
                <c:pt idx="0">
                  <c:v> 2018년  </c:v>
                </c:pt>
                <c:pt idx="1">
                  <c:v> 2019년 </c:v>
                </c:pt>
                <c:pt idx="2">
                  <c:v> 2020년 </c:v>
                </c:pt>
                <c:pt idx="3">
                  <c:v> 2021년 </c:v>
                </c:pt>
                <c:pt idx="4">
                  <c:v> 2022년 </c:v>
                </c:pt>
                <c:pt idx="5">
                  <c:v> 2023년 </c:v>
                </c:pt>
              </c:strCache>
            </c:strRef>
          </c:cat>
          <c:val>
            <c:numRef>
              <c:f>'9. 합성생물학'!$E$62:$J$62</c:f>
              <c:numCache>
                <c:formatCode>0.00</c:formatCode>
                <c:ptCount val="6"/>
                <c:pt idx="0">
                  <c:v>0.94</c:v>
                </c:pt>
                <c:pt idx="1">
                  <c:v>1.17</c:v>
                </c:pt>
                <c:pt idx="2">
                  <c:v>1.45</c:v>
                </c:pt>
                <c:pt idx="3">
                  <c:v>1.81</c:v>
                </c:pt>
                <c:pt idx="4">
                  <c:v>2.25</c:v>
                </c:pt>
                <c:pt idx="5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96-4809-8107-C0D5E89ABEDE}"/>
            </c:ext>
          </c:extLst>
        </c:ser>
        <c:ser>
          <c:idx val="4"/>
          <c:order val="5"/>
          <c:tx>
            <c:strRef>
              <c:f>'9. 합성생물학'!$D$63</c:f>
              <c:strCache>
                <c:ptCount val="1"/>
                <c:pt idx="0">
                  <c:v> 유전자 합성 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'9. 합성생물학'!$E$57:$J$57</c:f>
              <c:strCache>
                <c:ptCount val="6"/>
                <c:pt idx="0">
                  <c:v> 2018년  </c:v>
                </c:pt>
                <c:pt idx="1">
                  <c:v> 2019년 </c:v>
                </c:pt>
                <c:pt idx="2">
                  <c:v> 2020년 </c:v>
                </c:pt>
                <c:pt idx="3">
                  <c:v> 2021년 </c:v>
                </c:pt>
                <c:pt idx="4">
                  <c:v> 2022년 </c:v>
                </c:pt>
                <c:pt idx="5">
                  <c:v> 2023년 </c:v>
                </c:pt>
              </c:strCache>
            </c:strRef>
          </c:cat>
          <c:val>
            <c:numRef>
              <c:f>'9. 합성생물학'!$E$63:$J$63</c:f>
              <c:numCache>
                <c:formatCode>0.00</c:formatCode>
                <c:ptCount val="6"/>
                <c:pt idx="0">
                  <c:v>1.1499999999999999</c:v>
                </c:pt>
                <c:pt idx="1">
                  <c:v>1.38</c:v>
                </c:pt>
                <c:pt idx="2">
                  <c:v>1.66</c:v>
                </c:pt>
                <c:pt idx="3">
                  <c:v>1.99</c:v>
                </c:pt>
                <c:pt idx="4">
                  <c:v>2.39</c:v>
                </c:pt>
                <c:pt idx="5">
                  <c:v>2.87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D96-4809-8107-C0D5E89ABE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-759902928"/>
        <c:axId val="-759913808"/>
      </c:barChart>
      <c:catAx>
        <c:axId val="-759902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59913808"/>
        <c:crosses val="autoZero"/>
        <c:auto val="1"/>
        <c:lblAlgn val="ctr"/>
        <c:lblOffset val="100"/>
        <c:noMultiLvlLbl val="0"/>
      </c:catAx>
      <c:valAx>
        <c:axId val="-75991380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59902928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2112009953766848E-2"/>
          <c:y val="0.89015927938770523"/>
          <c:w val="0.8704672554171905"/>
          <c:h val="8.37870781455413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123670413513801E-2"/>
          <c:y val="0.12335913305609364"/>
          <c:w val="0.93933311976604883"/>
          <c:h val="0.6083260561170756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'9. 합성생물학'!$E$113</c:f>
              <c:strCache>
                <c:ptCount val="1"/>
                <c:pt idx="0">
                  <c:v> 2018년 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'9. 합성생물학'!$D$114:$D$117</c:f>
              <c:strCache>
                <c:ptCount val="4"/>
                <c:pt idx="0">
                  <c:v> 북미 </c:v>
                </c:pt>
                <c:pt idx="1">
                  <c:v> 유럽 </c:v>
                </c:pt>
                <c:pt idx="2">
                  <c:v> 아시아-태평양 </c:v>
                </c:pt>
                <c:pt idx="3">
                  <c:v> 그외 국가 </c:v>
                </c:pt>
              </c:strCache>
            </c:strRef>
          </c:cat>
          <c:val>
            <c:numRef>
              <c:f>'9. 합성생물학'!$E$114:$E$117</c:f>
              <c:numCache>
                <c:formatCode>0.00</c:formatCode>
                <c:ptCount val="4"/>
                <c:pt idx="0">
                  <c:v>1.67</c:v>
                </c:pt>
                <c:pt idx="1">
                  <c:v>1.45</c:v>
                </c:pt>
                <c:pt idx="2">
                  <c:v>0.73</c:v>
                </c:pt>
                <c:pt idx="3">
                  <c:v>0.43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E7-4903-8E2A-6EEFD1947D2E}"/>
            </c:ext>
          </c:extLst>
        </c:ser>
        <c:ser>
          <c:idx val="1"/>
          <c:order val="1"/>
          <c:tx>
            <c:strRef>
              <c:f>'9. 합성생물학'!$F$113</c:f>
              <c:strCache>
                <c:ptCount val="1"/>
                <c:pt idx="0">
                  <c:v> 2019년 </c:v>
                </c:pt>
              </c:strCache>
            </c:strRef>
          </c:tx>
          <c:spPr>
            <a:solidFill>
              <a:srgbClr val="F4A42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'9. 합성생물학'!$D$114:$D$117</c:f>
              <c:strCache>
                <c:ptCount val="4"/>
                <c:pt idx="0">
                  <c:v> 북미 </c:v>
                </c:pt>
                <c:pt idx="1">
                  <c:v> 유럽 </c:v>
                </c:pt>
                <c:pt idx="2">
                  <c:v> 아시아-태평양 </c:v>
                </c:pt>
                <c:pt idx="3">
                  <c:v> 그외 국가 </c:v>
                </c:pt>
              </c:strCache>
            </c:strRef>
          </c:cat>
          <c:val>
            <c:numRef>
              <c:f>'9. 합성생물학'!$F$114:$F$117</c:f>
              <c:numCache>
                <c:formatCode>0.00</c:formatCode>
                <c:ptCount val="4"/>
                <c:pt idx="0">
                  <c:v>2</c:v>
                </c:pt>
                <c:pt idx="1">
                  <c:v>1.73</c:v>
                </c:pt>
                <c:pt idx="2">
                  <c:v>0.89</c:v>
                </c:pt>
                <c:pt idx="3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E7-4903-8E2A-6EEFD1947D2E}"/>
            </c:ext>
          </c:extLst>
        </c:ser>
        <c:ser>
          <c:idx val="2"/>
          <c:order val="2"/>
          <c:tx>
            <c:strRef>
              <c:f>'9. 합성생물학'!$G$113</c:f>
              <c:strCache>
                <c:ptCount val="1"/>
                <c:pt idx="0">
                  <c:v> 2020년 </c:v>
                </c:pt>
              </c:strCache>
            </c:strRef>
          </c:tx>
          <c:spPr>
            <a:solidFill>
              <a:srgbClr val="F4806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'9. 합성생물학'!$D$114:$D$117</c:f>
              <c:strCache>
                <c:ptCount val="4"/>
                <c:pt idx="0">
                  <c:v> 북미 </c:v>
                </c:pt>
                <c:pt idx="1">
                  <c:v> 유럽 </c:v>
                </c:pt>
                <c:pt idx="2">
                  <c:v> 아시아-태평양 </c:v>
                </c:pt>
                <c:pt idx="3">
                  <c:v> 그외 국가 </c:v>
                </c:pt>
              </c:strCache>
            </c:strRef>
          </c:cat>
          <c:val>
            <c:numRef>
              <c:f>'9. 합성생물학'!$G$114:$G$117</c:f>
              <c:numCache>
                <c:formatCode>0.00</c:formatCode>
                <c:ptCount val="4"/>
                <c:pt idx="0">
                  <c:v>2.41</c:v>
                </c:pt>
                <c:pt idx="1">
                  <c:v>2.0499999999999998</c:v>
                </c:pt>
                <c:pt idx="2">
                  <c:v>1.08</c:v>
                </c:pt>
                <c:pt idx="3">
                  <c:v>0.56999999999999995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E7-4903-8E2A-6EEFD1947D2E}"/>
            </c:ext>
          </c:extLst>
        </c:ser>
        <c:ser>
          <c:idx val="3"/>
          <c:order val="3"/>
          <c:tx>
            <c:strRef>
              <c:f>'9. 합성생물학'!$H$113</c:f>
              <c:strCache>
                <c:ptCount val="1"/>
                <c:pt idx="0">
                  <c:v> 2021년 </c:v>
                </c:pt>
              </c:strCache>
            </c:strRef>
          </c:tx>
          <c:spPr>
            <a:solidFill>
              <a:srgbClr val="3DA4D9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'9. 합성생물학'!$D$114:$D$117</c:f>
              <c:strCache>
                <c:ptCount val="4"/>
                <c:pt idx="0">
                  <c:v> 북미 </c:v>
                </c:pt>
                <c:pt idx="1">
                  <c:v> 유럽 </c:v>
                </c:pt>
                <c:pt idx="2">
                  <c:v> 아시아-태평양 </c:v>
                </c:pt>
                <c:pt idx="3">
                  <c:v> 그외 국가 </c:v>
                </c:pt>
              </c:strCache>
            </c:strRef>
          </c:cat>
          <c:val>
            <c:numRef>
              <c:f>'9. 합성생물학'!$H$114:$H$117</c:f>
              <c:numCache>
                <c:formatCode>0.00</c:formatCode>
                <c:ptCount val="4"/>
                <c:pt idx="0">
                  <c:v>2.89</c:v>
                </c:pt>
                <c:pt idx="1">
                  <c:v>2.444</c:v>
                </c:pt>
                <c:pt idx="2">
                  <c:v>1.32</c:v>
                </c:pt>
                <c:pt idx="3">
                  <c:v>0.67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E7-4903-8E2A-6EEFD1947D2E}"/>
            </c:ext>
          </c:extLst>
        </c:ser>
        <c:ser>
          <c:idx val="4"/>
          <c:order val="4"/>
          <c:tx>
            <c:strRef>
              <c:f>'9. 합성생물학'!$I$113</c:f>
              <c:strCache>
                <c:ptCount val="1"/>
                <c:pt idx="0">
                  <c:v> 2022년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'9. 합성생물학'!$D$114:$D$117</c:f>
              <c:strCache>
                <c:ptCount val="4"/>
                <c:pt idx="0">
                  <c:v> 북미 </c:v>
                </c:pt>
                <c:pt idx="1">
                  <c:v> 유럽 </c:v>
                </c:pt>
                <c:pt idx="2">
                  <c:v> 아시아-태평양 </c:v>
                </c:pt>
                <c:pt idx="3">
                  <c:v> 그외 국가 </c:v>
                </c:pt>
              </c:strCache>
            </c:strRef>
          </c:cat>
          <c:val>
            <c:numRef>
              <c:f>'9. 합성생물학'!$I$114:$I$117</c:f>
              <c:numCache>
                <c:formatCode>0.00</c:formatCode>
                <c:ptCount val="4"/>
                <c:pt idx="0">
                  <c:v>3.48</c:v>
                </c:pt>
                <c:pt idx="1">
                  <c:v>2.9</c:v>
                </c:pt>
                <c:pt idx="2">
                  <c:v>1.61</c:v>
                </c:pt>
                <c:pt idx="3">
                  <c:v>0.77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E7-4903-8E2A-6EEFD1947D2E}"/>
            </c:ext>
          </c:extLst>
        </c:ser>
        <c:ser>
          <c:idx val="5"/>
          <c:order val="5"/>
          <c:tx>
            <c:strRef>
              <c:f>'9. 합성생물학'!$J$113</c:f>
              <c:strCache>
                <c:ptCount val="1"/>
                <c:pt idx="0">
                  <c:v> 2023년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'9. 합성생물학'!$D$114:$D$117</c:f>
              <c:strCache>
                <c:ptCount val="4"/>
                <c:pt idx="0">
                  <c:v> 북미 </c:v>
                </c:pt>
                <c:pt idx="1">
                  <c:v> 유럽 </c:v>
                </c:pt>
                <c:pt idx="2">
                  <c:v> 아시아-태평양 </c:v>
                </c:pt>
                <c:pt idx="3">
                  <c:v> 그외 국가 </c:v>
                </c:pt>
              </c:strCache>
            </c:strRef>
          </c:cat>
          <c:val>
            <c:numRef>
              <c:f>'9. 합성생물학'!$J$114:$J$117</c:f>
              <c:numCache>
                <c:formatCode>0.00</c:formatCode>
                <c:ptCount val="4"/>
                <c:pt idx="0">
                  <c:v>4.18</c:v>
                </c:pt>
                <c:pt idx="1">
                  <c:v>3.45</c:v>
                </c:pt>
                <c:pt idx="2">
                  <c:v>1.96</c:v>
                </c:pt>
                <c:pt idx="3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EE7-4903-8E2A-6EEFD1947D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-759905104"/>
        <c:axId val="-759898032"/>
      </c:barChart>
      <c:catAx>
        <c:axId val="-75990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59898032"/>
        <c:crosses val="autoZero"/>
        <c:auto val="1"/>
        <c:lblAlgn val="ctr"/>
        <c:lblOffset val="100"/>
        <c:noMultiLvlLbl val="0"/>
      </c:catAx>
      <c:valAx>
        <c:axId val="-759898032"/>
        <c:scaling>
          <c:orientation val="minMax"/>
          <c:max val="4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59905104"/>
        <c:crosses val="autoZero"/>
        <c:crossBetween val="between"/>
        <c:majorUnit val="1.5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9923844561466683"/>
          <c:y val="0.89498745752982967"/>
          <c:w val="0.63181093792256759"/>
          <c:h val="8.67795066435164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'10. 체외진단'!$D$6</c:f>
              <c:strCache>
                <c:ptCount val="1"/>
                <c:pt idx="0">
                  <c:v> 시장규모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'10. 체외진단'!$E$5:$K$5</c:f>
              <c:strCache>
                <c:ptCount val="7"/>
                <c:pt idx="0">
                  <c:v> 2019년 </c:v>
                </c:pt>
                <c:pt idx="1">
                  <c:v> 2020년 </c:v>
                </c:pt>
                <c:pt idx="2">
                  <c:v> 2021년 </c:v>
                </c:pt>
                <c:pt idx="3">
                  <c:v> 2022년 </c:v>
                </c:pt>
                <c:pt idx="4">
                  <c:v> 2023년 </c:v>
                </c:pt>
                <c:pt idx="5">
                  <c:v> 2024년 </c:v>
                </c:pt>
                <c:pt idx="6">
                  <c:v> 2025년 </c:v>
                </c:pt>
              </c:strCache>
            </c:strRef>
          </c:cat>
          <c:val>
            <c:numRef>
              <c:f>'10. 체외진단'!$E$6:$K$6</c:f>
              <c:numCache>
                <c:formatCode>_(* #,##0.00_);_(* \(#,##0.00\);_(* "-"_);_(@_)</c:formatCode>
                <c:ptCount val="7"/>
                <c:pt idx="0">
                  <c:v>75.2</c:v>
                </c:pt>
                <c:pt idx="1">
                  <c:v>85.91</c:v>
                </c:pt>
                <c:pt idx="2">
                  <c:v>96.39</c:v>
                </c:pt>
                <c:pt idx="3">
                  <c:v>104.23</c:v>
                </c:pt>
                <c:pt idx="4">
                  <c:v>109.57</c:v>
                </c:pt>
                <c:pt idx="5">
                  <c:v>114.30000000000001</c:v>
                </c:pt>
                <c:pt idx="6">
                  <c:v>118.89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DA-438A-93D4-222B5B2FF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-759903472"/>
        <c:axId val="-759919792"/>
      </c:barChart>
      <c:lineChart>
        <c:grouping val="standard"/>
        <c:varyColors val="0"/>
        <c:ser>
          <c:idx val="1"/>
          <c:order val="1"/>
          <c:tx>
            <c:strRef>
              <c:f>'10. 체외진단'!$D$7</c:f>
              <c:strCache>
                <c:ptCount val="1"/>
                <c:pt idx="0">
                  <c:v> 전년대비 성장률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'10. 체외진단'!$E$5:$K$5</c:f>
              <c:strCache>
                <c:ptCount val="7"/>
                <c:pt idx="0">
                  <c:v> 2019년 </c:v>
                </c:pt>
                <c:pt idx="1">
                  <c:v> 2020년 </c:v>
                </c:pt>
                <c:pt idx="2">
                  <c:v> 2021년 </c:v>
                </c:pt>
                <c:pt idx="3">
                  <c:v> 2022년 </c:v>
                </c:pt>
                <c:pt idx="4">
                  <c:v> 2023년 </c:v>
                </c:pt>
                <c:pt idx="5">
                  <c:v> 2024년 </c:v>
                </c:pt>
                <c:pt idx="6">
                  <c:v> 2025년 </c:v>
                </c:pt>
              </c:strCache>
            </c:strRef>
          </c:cat>
          <c:val>
            <c:numRef>
              <c:f>'10. 체외진단'!$E$7:$K$7</c:f>
              <c:numCache>
                <c:formatCode>_(* #,##0.0_);_(* \(#,##0.0\);_(* "-"_);_(@_)</c:formatCode>
                <c:ptCount val="7"/>
                <c:pt idx="1">
                  <c:v>14.2</c:v>
                </c:pt>
                <c:pt idx="2">
                  <c:v>12.2</c:v>
                </c:pt>
                <c:pt idx="3">
                  <c:v>8.1</c:v>
                </c:pt>
                <c:pt idx="4">
                  <c:v>5.0999999999999996</c:v>
                </c:pt>
                <c:pt idx="5">
                  <c:v>4.3</c:v>
                </c:pt>
                <c:pt idx="6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51-46D9-81A4-A36F07E28A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039279"/>
        <c:axId val="685022639"/>
      </c:lineChart>
      <c:catAx>
        <c:axId val="-759903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59919792"/>
        <c:crosses val="autoZero"/>
        <c:auto val="1"/>
        <c:lblAlgn val="ctr"/>
        <c:lblOffset val="100"/>
        <c:noMultiLvlLbl val="0"/>
      </c:catAx>
      <c:valAx>
        <c:axId val="-759919792"/>
        <c:scaling>
          <c:orientation val="minMax"/>
          <c:max val="1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59903472"/>
        <c:crosses val="autoZero"/>
        <c:crossBetween val="between"/>
        <c:majorUnit val="30"/>
      </c:valAx>
      <c:valAx>
        <c:axId val="685022639"/>
        <c:scaling>
          <c:orientation val="minMax"/>
        </c:scaling>
        <c:delete val="0"/>
        <c:axPos val="r"/>
        <c:numFmt formatCode="_(* #,##0.00_);_(* \(#,##0.0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85039279"/>
        <c:crosses val="max"/>
        <c:crossBetween val="between"/>
      </c:valAx>
      <c:catAx>
        <c:axId val="6850392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8502263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933114411718118E-2"/>
          <c:y val="0.11953524968818492"/>
          <c:w val="0.94752367576784446"/>
          <c:h val="0.6294859009580848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'10. 체외진단'!$D$31</c:f>
              <c:strCache>
                <c:ptCount val="1"/>
                <c:pt idx="0">
                  <c:v> 임상면역분석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'10. 체외진단'!$E$30:$K$30</c:f>
              <c:strCache>
                <c:ptCount val="7"/>
                <c:pt idx="0">
                  <c:v> 2019년 </c:v>
                </c:pt>
                <c:pt idx="1">
                  <c:v> 2020년 </c:v>
                </c:pt>
                <c:pt idx="2">
                  <c:v> 2021년 </c:v>
                </c:pt>
                <c:pt idx="3">
                  <c:v> 2022년 </c:v>
                </c:pt>
                <c:pt idx="4">
                  <c:v> 2023년 </c:v>
                </c:pt>
                <c:pt idx="5">
                  <c:v> 2024년 </c:v>
                </c:pt>
                <c:pt idx="6">
                  <c:v> 2025년 </c:v>
                </c:pt>
              </c:strCache>
            </c:strRef>
          </c:cat>
          <c:val>
            <c:numRef>
              <c:f>'10. 체외진단'!$E$31:$K$31</c:f>
              <c:numCache>
                <c:formatCode>0.00</c:formatCode>
                <c:ptCount val="7"/>
                <c:pt idx="0">
                  <c:v>24.06</c:v>
                </c:pt>
                <c:pt idx="1">
                  <c:v>24.4</c:v>
                </c:pt>
                <c:pt idx="2">
                  <c:v>28.29</c:v>
                </c:pt>
                <c:pt idx="3">
                  <c:v>31.47</c:v>
                </c:pt>
                <c:pt idx="4">
                  <c:v>34.04</c:v>
                </c:pt>
                <c:pt idx="5">
                  <c:v>35.24</c:v>
                </c:pt>
                <c:pt idx="6">
                  <c:v>35.93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21-40C9-8390-35D4F9B34CBF}"/>
            </c:ext>
          </c:extLst>
        </c:ser>
        <c:ser>
          <c:idx val="1"/>
          <c:order val="1"/>
          <c:tx>
            <c:strRef>
              <c:f>'10. 체외진단'!$D$32</c:f>
              <c:strCache>
                <c:ptCount val="1"/>
                <c:pt idx="0">
                  <c:v> 자가모니터링 </c:v>
                </c:pt>
              </c:strCache>
            </c:strRef>
          </c:tx>
          <c:spPr>
            <a:solidFill>
              <a:srgbClr val="F4A42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'10. 체외진단'!$E$30:$K$30</c:f>
              <c:strCache>
                <c:ptCount val="7"/>
                <c:pt idx="0">
                  <c:v> 2019년 </c:v>
                </c:pt>
                <c:pt idx="1">
                  <c:v> 2020년 </c:v>
                </c:pt>
                <c:pt idx="2">
                  <c:v> 2021년 </c:v>
                </c:pt>
                <c:pt idx="3">
                  <c:v> 2022년 </c:v>
                </c:pt>
                <c:pt idx="4">
                  <c:v> 2023년 </c:v>
                </c:pt>
                <c:pt idx="5">
                  <c:v> 2024년 </c:v>
                </c:pt>
                <c:pt idx="6">
                  <c:v> 2025년 </c:v>
                </c:pt>
              </c:strCache>
            </c:strRef>
          </c:cat>
          <c:val>
            <c:numRef>
              <c:f>'10. 체외진단'!$E$32:$K$32</c:f>
              <c:numCache>
                <c:formatCode>0.00</c:formatCode>
                <c:ptCount val="7"/>
                <c:pt idx="0">
                  <c:v>10.45</c:v>
                </c:pt>
                <c:pt idx="1">
                  <c:v>9.4499999999999993</c:v>
                </c:pt>
                <c:pt idx="2">
                  <c:v>10.82</c:v>
                </c:pt>
                <c:pt idx="3">
                  <c:v>11.73</c:v>
                </c:pt>
                <c:pt idx="4">
                  <c:v>12.39</c:v>
                </c:pt>
                <c:pt idx="5">
                  <c:v>12.57</c:v>
                </c:pt>
                <c:pt idx="6">
                  <c:v>13.22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21-40C9-8390-35D4F9B34CBF}"/>
            </c:ext>
          </c:extLst>
        </c:ser>
        <c:ser>
          <c:idx val="3"/>
          <c:order val="2"/>
          <c:tx>
            <c:strRef>
              <c:f>'10. 체외진단'!$D$33</c:f>
              <c:strCache>
                <c:ptCount val="1"/>
                <c:pt idx="0">
                  <c:v> 현장테스트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'10. 체외진단'!$E$30:$K$30</c:f>
              <c:strCache>
                <c:ptCount val="7"/>
                <c:pt idx="0">
                  <c:v> 2019년 </c:v>
                </c:pt>
                <c:pt idx="1">
                  <c:v> 2020년 </c:v>
                </c:pt>
                <c:pt idx="2">
                  <c:v> 2021년 </c:v>
                </c:pt>
                <c:pt idx="3">
                  <c:v> 2022년 </c:v>
                </c:pt>
                <c:pt idx="4">
                  <c:v> 2023년 </c:v>
                </c:pt>
                <c:pt idx="5">
                  <c:v> 2024년 </c:v>
                </c:pt>
                <c:pt idx="6">
                  <c:v> 2025년 </c:v>
                </c:pt>
              </c:strCache>
            </c:strRef>
          </c:cat>
          <c:val>
            <c:numRef>
              <c:f>'10. 체외진단'!$E$33:$K$33</c:f>
              <c:numCache>
                <c:formatCode>0.00</c:formatCode>
                <c:ptCount val="7"/>
                <c:pt idx="0">
                  <c:v>11.43</c:v>
                </c:pt>
                <c:pt idx="1">
                  <c:v>16.920000000000002</c:v>
                </c:pt>
                <c:pt idx="2">
                  <c:v>16.87</c:v>
                </c:pt>
                <c:pt idx="3">
                  <c:v>18.239999999999998</c:v>
                </c:pt>
                <c:pt idx="4">
                  <c:v>18.63</c:v>
                </c:pt>
                <c:pt idx="5">
                  <c:v>18.86</c:v>
                </c:pt>
                <c:pt idx="6">
                  <c:v>19.62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4A-4ACF-A2D6-D8517DFF4CB9}"/>
            </c:ext>
          </c:extLst>
        </c:ser>
        <c:ser>
          <c:idx val="4"/>
          <c:order val="3"/>
          <c:tx>
            <c:strRef>
              <c:f>'10. 체외진단'!$D$34</c:f>
              <c:strCache>
                <c:ptCount val="1"/>
                <c:pt idx="0">
                  <c:v> 분자진단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'10. 체외진단'!$E$30:$K$30</c:f>
              <c:strCache>
                <c:ptCount val="7"/>
                <c:pt idx="0">
                  <c:v> 2019년 </c:v>
                </c:pt>
                <c:pt idx="1">
                  <c:v> 2020년 </c:v>
                </c:pt>
                <c:pt idx="2">
                  <c:v> 2021년 </c:v>
                </c:pt>
                <c:pt idx="3">
                  <c:v> 2022년 </c:v>
                </c:pt>
                <c:pt idx="4">
                  <c:v> 2023년 </c:v>
                </c:pt>
                <c:pt idx="5">
                  <c:v> 2024년 </c:v>
                </c:pt>
                <c:pt idx="6">
                  <c:v> 2025년 </c:v>
                </c:pt>
              </c:strCache>
            </c:strRef>
          </c:cat>
          <c:val>
            <c:numRef>
              <c:f>'10. 체외진단'!$E$34:$K$34</c:f>
              <c:numCache>
                <c:formatCode>0.00</c:formatCode>
                <c:ptCount val="7"/>
                <c:pt idx="0">
                  <c:v>15.49</c:v>
                </c:pt>
                <c:pt idx="1">
                  <c:v>22.49</c:v>
                </c:pt>
                <c:pt idx="2">
                  <c:v>25.54</c:v>
                </c:pt>
                <c:pt idx="3">
                  <c:v>26.58</c:v>
                </c:pt>
                <c:pt idx="4">
                  <c:v>27.14</c:v>
                </c:pt>
                <c:pt idx="5">
                  <c:v>29.32</c:v>
                </c:pt>
                <c:pt idx="6">
                  <c:v>30.42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F4A-4ACF-A2D6-D8517DFF4CB9}"/>
            </c:ext>
          </c:extLst>
        </c:ser>
        <c:ser>
          <c:idx val="5"/>
          <c:order val="4"/>
          <c:tx>
            <c:strRef>
              <c:f>'10. 체외진단'!$D$35</c:f>
              <c:strCache>
                <c:ptCount val="1"/>
                <c:pt idx="0">
                  <c:v> 임상미생물학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'10. 체외진단'!$E$30:$K$30</c:f>
              <c:strCache>
                <c:ptCount val="7"/>
                <c:pt idx="0">
                  <c:v> 2019년 </c:v>
                </c:pt>
                <c:pt idx="1">
                  <c:v> 2020년 </c:v>
                </c:pt>
                <c:pt idx="2">
                  <c:v> 2021년 </c:v>
                </c:pt>
                <c:pt idx="3">
                  <c:v> 2022년 </c:v>
                </c:pt>
                <c:pt idx="4">
                  <c:v> 2023년 </c:v>
                </c:pt>
                <c:pt idx="5">
                  <c:v> 2024년 </c:v>
                </c:pt>
                <c:pt idx="6">
                  <c:v> 2025년 </c:v>
                </c:pt>
              </c:strCache>
            </c:strRef>
          </c:cat>
          <c:val>
            <c:numRef>
              <c:f>'10. 체외진단'!$E$35:$K$35</c:f>
              <c:numCache>
                <c:formatCode>0.00</c:formatCode>
                <c:ptCount val="7"/>
                <c:pt idx="0">
                  <c:v>1.88</c:v>
                </c:pt>
                <c:pt idx="1">
                  <c:v>1.33</c:v>
                </c:pt>
                <c:pt idx="2">
                  <c:v>1.93</c:v>
                </c:pt>
                <c:pt idx="3">
                  <c:v>2.0099999999999998</c:v>
                </c:pt>
                <c:pt idx="4">
                  <c:v>2.14</c:v>
                </c:pt>
                <c:pt idx="5">
                  <c:v>2.25</c:v>
                </c:pt>
                <c:pt idx="6">
                  <c:v>2.33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F4A-4ACF-A2D6-D8517DFF4CB9}"/>
            </c:ext>
          </c:extLst>
        </c:ser>
        <c:ser>
          <c:idx val="2"/>
          <c:order val="5"/>
          <c:tx>
            <c:strRef>
              <c:f>'10. 체외진단'!$D$36</c:f>
              <c:strCache>
                <c:ptCount val="1"/>
                <c:pt idx="0">
                  <c:v> 조직진단 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'10. 체외진단'!$E$30:$K$30</c:f>
              <c:strCache>
                <c:ptCount val="7"/>
                <c:pt idx="0">
                  <c:v> 2019년 </c:v>
                </c:pt>
                <c:pt idx="1">
                  <c:v> 2020년 </c:v>
                </c:pt>
                <c:pt idx="2">
                  <c:v> 2021년 </c:v>
                </c:pt>
                <c:pt idx="3">
                  <c:v> 2022년 </c:v>
                </c:pt>
                <c:pt idx="4">
                  <c:v> 2023년 </c:v>
                </c:pt>
                <c:pt idx="5">
                  <c:v> 2024년 </c:v>
                </c:pt>
                <c:pt idx="6">
                  <c:v> 2025년 </c:v>
                </c:pt>
              </c:strCache>
            </c:strRef>
          </c:cat>
          <c:val>
            <c:numRef>
              <c:f>'10. 체외진단'!$E$36:$K$36</c:f>
              <c:numCache>
                <c:formatCode>0.00</c:formatCode>
                <c:ptCount val="7"/>
                <c:pt idx="0">
                  <c:v>0</c:v>
                </c:pt>
                <c:pt idx="1">
                  <c:v>5.54</c:v>
                </c:pt>
                <c:pt idx="2">
                  <c:v>6.28</c:v>
                </c:pt>
                <c:pt idx="3">
                  <c:v>6.83</c:v>
                </c:pt>
                <c:pt idx="4">
                  <c:v>7.44</c:v>
                </c:pt>
                <c:pt idx="5">
                  <c:v>8.1199999999999992</c:v>
                </c:pt>
                <c:pt idx="6">
                  <c:v>8.8699999999999992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F4A-4ACF-A2D6-D8517DFF4CB9}"/>
            </c:ext>
          </c:extLst>
        </c:ser>
        <c:ser>
          <c:idx val="7"/>
          <c:order val="6"/>
          <c:tx>
            <c:strRef>
              <c:f>'10. 체외진단'!$D$37</c:f>
              <c:strCache>
                <c:ptCount val="1"/>
                <c:pt idx="0">
                  <c:v> 혈액학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'10. 체외진단'!$E$30:$K$30</c:f>
              <c:strCache>
                <c:ptCount val="7"/>
                <c:pt idx="0">
                  <c:v> 2019년 </c:v>
                </c:pt>
                <c:pt idx="1">
                  <c:v> 2020년 </c:v>
                </c:pt>
                <c:pt idx="2">
                  <c:v> 2021년 </c:v>
                </c:pt>
                <c:pt idx="3">
                  <c:v> 2022년 </c:v>
                </c:pt>
                <c:pt idx="4">
                  <c:v> 2023년 </c:v>
                </c:pt>
                <c:pt idx="5">
                  <c:v> 2024년 </c:v>
                </c:pt>
                <c:pt idx="6">
                  <c:v> 2025년 </c:v>
                </c:pt>
              </c:strCache>
            </c:strRef>
          </c:cat>
          <c:val>
            <c:numRef>
              <c:f>'10. 체외진단'!$E$37:$K$37</c:f>
              <c:numCache>
                <c:formatCode>0.00</c:formatCode>
                <c:ptCount val="7"/>
                <c:pt idx="0">
                  <c:v>1.88</c:v>
                </c:pt>
                <c:pt idx="1">
                  <c:v>1.72</c:v>
                </c:pt>
                <c:pt idx="2">
                  <c:v>2.31</c:v>
                </c:pt>
                <c:pt idx="3">
                  <c:v>2.69</c:v>
                </c:pt>
                <c:pt idx="4">
                  <c:v>2.75</c:v>
                </c:pt>
                <c:pt idx="5">
                  <c:v>2.8</c:v>
                </c:pt>
                <c:pt idx="6">
                  <c:v>2.91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F4A-4ACF-A2D6-D8517DFF4CB9}"/>
            </c:ext>
          </c:extLst>
        </c:ser>
        <c:ser>
          <c:idx val="8"/>
          <c:order val="7"/>
          <c:tx>
            <c:strRef>
              <c:f>'10. 체외진단'!$D$38</c:f>
              <c:strCache>
                <c:ptCount val="1"/>
                <c:pt idx="0">
                  <c:v> 지혈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'10. 체외진단'!$E$30:$K$30</c:f>
              <c:strCache>
                <c:ptCount val="7"/>
                <c:pt idx="0">
                  <c:v> 2019년 </c:v>
                </c:pt>
                <c:pt idx="1">
                  <c:v> 2020년 </c:v>
                </c:pt>
                <c:pt idx="2">
                  <c:v> 2021년 </c:v>
                </c:pt>
                <c:pt idx="3">
                  <c:v> 2022년 </c:v>
                </c:pt>
                <c:pt idx="4">
                  <c:v> 2023년 </c:v>
                </c:pt>
                <c:pt idx="5">
                  <c:v> 2024년 </c:v>
                </c:pt>
                <c:pt idx="6">
                  <c:v> 2025년 </c:v>
                </c:pt>
              </c:strCache>
            </c:strRef>
          </c:cat>
          <c:val>
            <c:numRef>
              <c:f>'10. 체외진단'!$E$38:$K$38</c:f>
              <c:numCache>
                <c:formatCode>0.00</c:formatCode>
                <c:ptCount val="7"/>
                <c:pt idx="0">
                  <c:v>1.73</c:v>
                </c:pt>
                <c:pt idx="1">
                  <c:v>1.55</c:v>
                </c:pt>
                <c:pt idx="2">
                  <c:v>2.02</c:v>
                </c:pt>
                <c:pt idx="3">
                  <c:v>2.29</c:v>
                </c:pt>
                <c:pt idx="4">
                  <c:v>2.41</c:v>
                </c:pt>
                <c:pt idx="5">
                  <c:v>2.4</c:v>
                </c:pt>
                <c:pt idx="6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F4A-4ACF-A2D6-D8517DFF4CB9}"/>
            </c:ext>
          </c:extLst>
        </c:ser>
        <c:ser>
          <c:idx val="6"/>
          <c:order val="8"/>
          <c:tx>
            <c:strRef>
              <c:f>'10. 체외진단'!$D$39</c:f>
              <c:strCache>
                <c:ptCount val="1"/>
                <c:pt idx="0">
                  <c:v> 기타 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'10. 체외진단'!$E$30:$K$30</c:f>
              <c:strCache>
                <c:ptCount val="7"/>
                <c:pt idx="0">
                  <c:v> 2019년 </c:v>
                </c:pt>
                <c:pt idx="1">
                  <c:v> 2020년 </c:v>
                </c:pt>
                <c:pt idx="2">
                  <c:v> 2021년 </c:v>
                </c:pt>
                <c:pt idx="3">
                  <c:v> 2022년 </c:v>
                </c:pt>
                <c:pt idx="4">
                  <c:v> 2023년 </c:v>
                </c:pt>
                <c:pt idx="5">
                  <c:v> 2024년 </c:v>
                </c:pt>
                <c:pt idx="6">
                  <c:v> 2025년 </c:v>
                </c:pt>
              </c:strCache>
            </c:strRef>
          </c:cat>
          <c:val>
            <c:numRef>
              <c:f>'10. 체외진단'!$E$39:$K$39</c:f>
              <c:numCache>
                <c:formatCode>0.00</c:formatCode>
                <c:ptCount val="7"/>
                <c:pt idx="0">
                  <c:v>2.75</c:v>
                </c:pt>
                <c:pt idx="1">
                  <c:v>2.06</c:v>
                </c:pt>
                <c:pt idx="2">
                  <c:v>2.33</c:v>
                </c:pt>
                <c:pt idx="3">
                  <c:v>2.4</c:v>
                </c:pt>
                <c:pt idx="4">
                  <c:v>2.63</c:v>
                </c:pt>
                <c:pt idx="5">
                  <c:v>2.74</c:v>
                </c:pt>
                <c:pt idx="6">
                  <c:v>3.09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F4A-4ACF-A2D6-D8517DFF4C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-759902928"/>
        <c:axId val="-759913808"/>
      </c:barChart>
      <c:catAx>
        <c:axId val="-759902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59913808"/>
        <c:crosses val="autoZero"/>
        <c:auto val="1"/>
        <c:lblAlgn val="ctr"/>
        <c:lblOffset val="100"/>
        <c:noMultiLvlLbl val="0"/>
      </c:catAx>
      <c:valAx>
        <c:axId val="-759913808"/>
        <c:scaling>
          <c:orientation val="minMax"/>
          <c:max val="1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59902928"/>
        <c:crosses val="autoZero"/>
        <c:crossBetween val="between"/>
        <c:majorUnit val="3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3569055538208147"/>
          <c:y val="0.89382063916171006"/>
          <c:w val="0.68664349816932291"/>
          <c:h val="8.09941736945016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933114411718118E-2"/>
          <c:y val="0.17245357271684444"/>
          <c:w val="0.94752367576784446"/>
          <c:h val="0.5765674497005710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'10. 체외진단'!$D$63</c:f>
              <c:strCache>
                <c:ptCount val="1"/>
                <c:pt idx="0">
                  <c:v> 분산테스트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'10. 체외진단'!$E$62:$K$62</c:f>
              <c:strCache>
                <c:ptCount val="7"/>
                <c:pt idx="0">
                  <c:v> 2019년 </c:v>
                </c:pt>
                <c:pt idx="1">
                  <c:v> 2020년 </c:v>
                </c:pt>
                <c:pt idx="2">
                  <c:v> 2021년 </c:v>
                </c:pt>
                <c:pt idx="3">
                  <c:v> 2022년 </c:v>
                </c:pt>
                <c:pt idx="4">
                  <c:v> 2023년 </c:v>
                </c:pt>
                <c:pt idx="5">
                  <c:v> 2024년 </c:v>
                </c:pt>
                <c:pt idx="6">
                  <c:v> 2025년 </c:v>
                </c:pt>
              </c:strCache>
            </c:strRef>
          </c:cat>
          <c:val>
            <c:numRef>
              <c:f>'10. 체외진단'!$E$63:$K$63</c:f>
              <c:numCache>
                <c:formatCode>_(* #,##0.00_);_(* \(#,##0.00\);_(* "-"_);_(@_)</c:formatCode>
                <c:ptCount val="7"/>
                <c:pt idx="0" formatCode="0.00">
                  <c:v>21.73</c:v>
                </c:pt>
                <c:pt idx="1">
                  <c:v>26.04</c:v>
                </c:pt>
                <c:pt idx="2" formatCode="0.00">
                  <c:v>27.94</c:v>
                </c:pt>
                <c:pt idx="3" formatCode="0.00">
                  <c:v>30.04</c:v>
                </c:pt>
                <c:pt idx="4" formatCode="0.00">
                  <c:v>31.1</c:v>
                </c:pt>
                <c:pt idx="5" formatCode="0.00">
                  <c:v>31.88</c:v>
                </c:pt>
                <c:pt idx="6" formatCode="0.00">
                  <c:v>33.29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028-4BA6-8489-FF2DC7941A5E}"/>
            </c:ext>
          </c:extLst>
        </c:ser>
        <c:ser>
          <c:idx val="1"/>
          <c:order val="1"/>
          <c:tx>
            <c:strRef>
              <c:f>'10. 체외진단'!$D$64</c:f>
              <c:strCache>
                <c:ptCount val="1"/>
                <c:pt idx="0">
                  <c:v> 주변기기테스트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'10. 체외진단'!$E$62:$K$62</c:f>
              <c:strCache>
                <c:ptCount val="7"/>
                <c:pt idx="0">
                  <c:v> 2019년 </c:v>
                </c:pt>
                <c:pt idx="1">
                  <c:v> 2020년 </c:v>
                </c:pt>
                <c:pt idx="2">
                  <c:v> 2021년 </c:v>
                </c:pt>
                <c:pt idx="3">
                  <c:v> 2022년 </c:v>
                </c:pt>
                <c:pt idx="4">
                  <c:v> 2023년 </c:v>
                </c:pt>
                <c:pt idx="5">
                  <c:v> 2024년 </c:v>
                </c:pt>
                <c:pt idx="6">
                  <c:v> 2025년 </c:v>
                </c:pt>
              </c:strCache>
            </c:strRef>
          </c:cat>
          <c:val>
            <c:numRef>
              <c:f>'10. 체외진단'!$E$64:$K$64</c:f>
              <c:numCache>
                <c:formatCode>_(* #,##0.00_);_(* \(#,##0.00\);_(* "-"_);_(@_)</c:formatCode>
                <c:ptCount val="7"/>
                <c:pt idx="0" formatCode="0.00">
                  <c:v>16.649999999999999</c:v>
                </c:pt>
                <c:pt idx="1">
                  <c:v>18.63</c:v>
                </c:pt>
                <c:pt idx="2" formatCode="0.00">
                  <c:v>21.09</c:v>
                </c:pt>
                <c:pt idx="3" formatCode="0.00">
                  <c:v>22.79</c:v>
                </c:pt>
                <c:pt idx="4" formatCode="0.00">
                  <c:v>24.07</c:v>
                </c:pt>
                <c:pt idx="5" formatCode="0.00">
                  <c:v>25.32</c:v>
                </c:pt>
                <c:pt idx="6" formatCode="0.00">
                  <c:v>26.52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028-4BA6-8489-FF2DC7941A5E}"/>
            </c:ext>
          </c:extLst>
        </c:ser>
        <c:ser>
          <c:idx val="2"/>
          <c:order val="2"/>
          <c:tx>
            <c:strRef>
              <c:f>'10. 체외진단'!$D$65</c:f>
              <c:strCache>
                <c:ptCount val="1"/>
                <c:pt idx="0">
                  <c:v> 중앙집중식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'10. 체외진단'!$E$62:$K$62</c:f>
              <c:strCache>
                <c:ptCount val="7"/>
                <c:pt idx="0">
                  <c:v> 2019년 </c:v>
                </c:pt>
                <c:pt idx="1">
                  <c:v> 2020년 </c:v>
                </c:pt>
                <c:pt idx="2">
                  <c:v> 2021년 </c:v>
                </c:pt>
                <c:pt idx="3">
                  <c:v> 2022년 </c:v>
                </c:pt>
                <c:pt idx="4">
                  <c:v> 2023년 </c:v>
                </c:pt>
                <c:pt idx="5">
                  <c:v> 2024년 </c:v>
                </c:pt>
                <c:pt idx="6">
                  <c:v> 2025년 </c:v>
                </c:pt>
              </c:strCache>
            </c:strRef>
          </c:cat>
          <c:val>
            <c:numRef>
              <c:f>'10. 체외진단'!$E$65:$K$65</c:f>
              <c:numCache>
                <c:formatCode>_(* #,##0.00_);_(* \(#,##0.00\);_(* "-"_);_(@_)</c:formatCode>
                <c:ptCount val="7"/>
                <c:pt idx="0" formatCode="0.00">
                  <c:v>36.83</c:v>
                </c:pt>
                <c:pt idx="1">
                  <c:v>41.25</c:v>
                </c:pt>
                <c:pt idx="2" formatCode="0.00">
                  <c:v>47.36</c:v>
                </c:pt>
                <c:pt idx="3" formatCode="0.00">
                  <c:v>51.41</c:v>
                </c:pt>
                <c:pt idx="4" formatCode="0.00">
                  <c:v>54.4</c:v>
                </c:pt>
                <c:pt idx="5" formatCode="0.00">
                  <c:v>57.1</c:v>
                </c:pt>
                <c:pt idx="6" formatCode="0.00">
                  <c:v>59.08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028-4BA6-8489-FF2DC7941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-759902928"/>
        <c:axId val="-759913808"/>
      </c:barChart>
      <c:catAx>
        <c:axId val="-759902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59913808"/>
        <c:crosses val="autoZero"/>
        <c:auto val="1"/>
        <c:lblAlgn val="ctr"/>
        <c:lblOffset val="100"/>
        <c:noMultiLvlLbl val="0"/>
      </c:catAx>
      <c:valAx>
        <c:axId val="-759913808"/>
        <c:scaling>
          <c:orientation val="minMax"/>
          <c:max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59902928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593746852368296"/>
          <c:y val="0.86443792082729043"/>
          <c:w val="0.48577313849629078"/>
          <c:h val="8.09941736945016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933114411718118E-2"/>
          <c:y val="0.17245357271684444"/>
          <c:w val="0.94752367576784446"/>
          <c:h val="0.57656744970057106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'10. 체외진단'!$D$91</c:f>
              <c:strCache>
                <c:ptCount val="1"/>
                <c:pt idx="0">
                  <c:v> 북아메리카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'10. 체외진단'!$E$90:$K$90</c:f>
              <c:strCache>
                <c:ptCount val="7"/>
                <c:pt idx="0">
                  <c:v> 2019년 </c:v>
                </c:pt>
                <c:pt idx="1">
                  <c:v> 2020년 </c:v>
                </c:pt>
                <c:pt idx="2">
                  <c:v> 2021년 </c:v>
                </c:pt>
                <c:pt idx="3">
                  <c:v> 2022년 </c:v>
                </c:pt>
                <c:pt idx="4">
                  <c:v> 2023년 </c:v>
                </c:pt>
                <c:pt idx="5">
                  <c:v> 2024년 </c:v>
                </c:pt>
                <c:pt idx="6">
                  <c:v> 2025년 </c:v>
                </c:pt>
              </c:strCache>
            </c:strRef>
          </c:cat>
          <c:val>
            <c:numRef>
              <c:f>'10. 체외진단'!$E$91:$K$91</c:f>
              <c:numCache>
                <c:formatCode>_(* #,##0.00_);_(* \(#,##0.00\);_(* "-"_);_(@_)</c:formatCode>
                <c:ptCount val="7"/>
                <c:pt idx="0" formatCode="0.00">
                  <c:v>27.45</c:v>
                </c:pt>
                <c:pt idx="1">
                  <c:v>32.22</c:v>
                </c:pt>
                <c:pt idx="2" formatCode="0.00">
                  <c:v>35.18</c:v>
                </c:pt>
                <c:pt idx="3" formatCode="0.00">
                  <c:v>38.57</c:v>
                </c:pt>
                <c:pt idx="4" formatCode="0.00">
                  <c:v>40.54</c:v>
                </c:pt>
                <c:pt idx="5" formatCode="0.00">
                  <c:v>42.29</c:v>
                </c:pt>
                <c:pt idx="6" formatCode="0.00">
                  <c:v>44.58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E3-4976-AE21-EF293F343E6E}"/>
            </c:ext>
          </c:extLst>
        </c:ser>
        <c:ser>
          <c:idx val="0"/>
          <c:order val="1"/>
          <c:tx>
            <c:strRef>
              <c:f>'10. 체외진단'!$D$92</c:f>
              <c:strCache>
                <c:ptCount val="1"/>
                <c:pt idx="0">
                  <c:v> 유럽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'10. 체외진단'!$E$90:$K$90</c:f>
              <c:strCache>
                <c:ptCount val="7"/>
                <c:pt idx="0">
                  <c:v> 2019년 </c:v>
                </c:pt>
                <c:pt idx="1">
                  <c:v> 2020년 </c:v>
                </c:pt>
                <c:pt idx="2">
                  <c:v> 2021년 </c:v>
                </c:pt>
                <c:pt idx="3">
                  <c:v> 2022년 </c:v>
                </c:pt>
                <c:pt idx="4">
                  <c:v> 2023년 </c:v>
                </c:pt>
                <c:pt idx="5">
                  <c:v> 2024년 </c:v>
                </c:pt>
                <c:pt idx="6">
                  <c:v> 2025년 </c:v>
                </c:pt>
              </c:strCache>
            </c:strRef>
          </c:cat>
          <c:val>
            <c:numRef>
              <c:f>'10. 체외진단'!$E$92:$K$92</c:f>
              <c:numCache>
                <c:formatCode>_(* #,##0.00_);_(* \(#,##0.00\);_(* "-"_);_(@_)</c:formatCode>
                <c:ptCount val="7"/>
                <c:pt idx="0" formatCode="0.00">
                  <c:v>18.420000000000002</c:v>
                </c:pt>
                <c:pt idx="1">
                  <c:v>21.05</c:v>
                </c:pt>
                <c:pt idx="2" formatCode="0.00">
                  <c:v>23.13</c:v>
                </c:pt>
                <c:pt idx="3" formatCode="0.00">
                  <c:v>24.49</c:v>
                </c:pt>
                <c:pt idx="4" formatCode="0.00">
                  <c:v>25.75</c:v>
                </c:pt>
                <c:pt idx="5" formatCode="0.00">
                  <c:v>26.29</c:v>
                </c:pt>
                <c:pt idx="6" formatCode="0.00">
                  <c:v>26.75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E3-4976-AE21-EF293F343E6E}"/>
            </c:ext>
          </c:extLst>
        </c:ser>
        <c:ser>
          <c:idx val="1"/>
          <c:order val="2"/>
          <c:tx>
            <c:strRef>
              <c:f>'10. 체외진단'!$D$93</c:f>
              <c:strCache>
                <c:ptCount val="1"/>
                <c:pt idx="0">
                  <c:v> 아시아-태평양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'10. 체외진단'!$E$90:$K$90</c:f>
              <c:strCache>
                <c:ptCount val="7"/>
                <c:pt idx="0">
                  <c:v> 2019년 </c:v>
                </c:pt>
                <c:pt idx="1">
                  <c:v> 2020년 </c:v>
                </c:pt>
                <c:pt idx="2">
                  <c:v> 2021년 </c:v>
                </c:pt>
                <c:pt idx="3">
                  <c:v> 2022년 </c:v>
                </c:pt>
                <c:pt idx="4">
                  <c:v> 2023년 </c:v>
                </c:pt>
                <c:pt idx="5">
                  <c:v> 2024년 </c:v>
                </c:pt>
                <c:pt idx="6">
                  <c:v> 2025년 </c:v>
                </c:pt>
              </c:strCache>
            </c:strRef>
          </c:cat>
          <c:val>
            <c:numRef>
              <c:f>'10. 체외진단'!$E$93:$K$93</c:f>
              <c:numCache>
                <c:formatCode>_(* #,##0.00_);_(* \(#,##0.00\);_(* "-"_);_(@_)</c:formatCode>
                <c:ptCount val="7"/>
                <c:pt idx="0" formatCode="0.00">
                  <c:v>17.29</c:v>
                </c:pt>
                <c:pt idx="1">
                  <c:v>18.899999999999999</c:v>
                </c:pt>
                <c:pt idx="2" formatCode="0.00">
                  <c:v>22.17</c:v>
                </c:pt>
                <c:pt idx="3" formatCode="0.00">
                  <c:v>24.49</c:v>
                </c:pt>
                <c:pt idx="4" formatCode="0.00">
                  <c:v>26.3</c:v>
                </c:pt>
                <c:pt idx="5" formatCode="0.00">
                  <c:v>27.43</c:v>
                </c:pt>
                <c:pt idx="6" formatCode="0.00">
                  <c:v>28.83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E3-4976-AE21-EF293F343E6E}"/>
            </c:ext>
          </c:extLst>
        </c:ser>
        <c:ser>
          <c:idx val="3"/>
          <c:order val="3"/>
          <c:tx>
            <c:strRef>
              <c:f>'10. 체외진단'!$D$94</c:f>
              <c:strCache>
                <c:ptCount val="1"/>
                <c:pt idx="0">
                  <c:v> 그외 국가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'10. 체외진단'!$E$90:$K$90</c:f>
              <c:strCache>
                <c:ptCount val="7"/>
                <c:pt idx="0">
                  <c:v> 2019년 </c:v>
                </c:pt>
                <c:pt idx="1">
                  <c:v> 2020년 </c:v>
                </c:pt>
                <c:pt idx="2">
                  <c:v> 2021년 </c:v>
                </c:pt>
                <c:pt idx="3">
                  <c:v> 2022년 </c:v>
                </c:pt>
                <c:pt idx="4">
                  <c:v> 2023년 </c:v>
                </c:pt>
                <c:pt idx="5">
                  <c:v> 2024년 </c:v>
                </c:pt>
                <c:pt idx="6">
                  <c:v> 2025년 </c:v>
                </c:pt>
              </c:strCache>
            </c:strRef>
          </c:cat>
          <c:val>
            <c:numRef>
              <c:f>'10. 체외진단'!$E$94:$K$94</c:f>
              <c:numCache>
                <c:formatCode>_(* #,##0.00_);_(* \(#,##0.00\);_(* "-"_);_(@_)</c:formatCode>
                <c:ptCount val="7"/>
                <c:pt idx="0" formatCode="0.00">
                  <c:v>12.03</c:v>
                </c:pt>
                <c:pt idx="1">
                  <c:v>13.75</c:v>
                </c:pt>
                <c:pt idx="2" formatCode="0.00">
                  <c:v>15.9</c:v>
                </c:pt>
                <c:pt idx="3" formatCode="0.00">
                  <c:v>16.68</c:v>
                </c:pt>
                <c:pt idx="4" formatCode="0.00">
                  <c:v>16.98</c:v>
                </c:pt>
                <c:pt idx="5" formatCode="0.00">
                  <c:v>18.29</c:v>
                </c:pt>
                <c:pt idx="6" formatCode="0.00">
                  <c:v>18.72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E3-4976-AE21-EF293F343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-759902928"/>
        <c:axId val="-759913808"/>
      </c:barChart>
      <c:catAx>
        <c:axId val="-759902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59913808"/>
        <c:crosses val="autoZero"/>
        <c:auto val="1"/>
        <c:lblAlgn val="ctr"/>
        <c:lblOffset val="100"/>
        <c:noMultiLvlLbl val="0"/>
      </c:catAx>
      <c:valAx>
        <c:axId val="-759913808"/>
        <c:scaling>
          <c:orientation val="minMax"/>
          <c:max val="1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59902928"/>
        <c:crosses val="autoZero"/>
        <c:crossBetween val="between"/>
        <c:majorUnit val="3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3569055538208147"/>
          <c:y val="0.89382063916171006"/>
          <c:w val="0.30373713277079262"/>
          <c:h val="8.09942004642404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985398789805585E-2"/>
          <c:y val="4.9913713396968026E-2"/>
          <c:w val="0.9333726259678593"/>
          <c:h val="0.8116009855191488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'11. 헬스케어 디지털 트윈'!$D$6</c:f>
              <c:strCache>
                <c:ptCount val="1"/>
                <c:pt idx="0">
                  <c:v> 시장규모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'11. 헬스케어 디지털 트윈'!$E$5:$M$5</c:f>
              <c:strCache>
                <c:ptCount val="9"/>
                <c:pt idx="0">
                  <c:v> 2017년 </c:v>
                </c:pt>
                <c:pt idx="1">
                  <c:v> 2018년 </c:v>
                </c:pt>
                <c:pt idx="2">
                  <c:v> 2019년 </c:v>
                </c:pt>
                <c:pt idx="3">
                  <c:v> 2020년 </c:v>
                </c:pt>
                <c:pt idx="4">
                  <c:v> 2021년 </c:v>
                </c:pt>
                <c:pt idx="5">
                  <c:v> 2022년 </c:v>
                </c:pt>
                <c:pt idx="6">
                  <c:v> 2023년 </c:v>
                </c:pt>
                <c:pt idx="7">
                  <c:v> 2024년 </c:v>
                </c:pt>
                <c:pt idx="8">
                  <c:v> 2025년 </c:v>
                </c:pt>
              </c:strCache>
            </c:strRef>
          </c:cat>
          <c:val>
            <c:numRef>
              <c:f>'11. 헬스케어 디지털 트윈'!$E$6:$M$6</c:f>
              <c:numCache>
                <c:formatCode>_(* #,##0.00_);_(* \(#,##0.00\);_(* "-"_);_(@_)</c:formatCode>
                <c:ptCount val="9"/>
                <c:pt idx="0">
                  <c:v>0.4</c:v>
                </c:pt>
                <c:pt idx="1">
                  <c:v>0.5</c:v>
                </c:pt>
                <c:pt idx="2">
                  <c:v>0.6</c:v>
                </c:pt>
                <c:pt idx="3">
                  <c:v>0.9</c:v>
                </c:pt>
                <c:pt idx="4">
                  <c:v>1.6</c:v>
                </c:pt>
                <c:pt idx="5">
                  <c:v>1.8</c:v>
                </c:pt>
                <c:pt idx="6">
                  <c:v>2</c:v>
                </c:pt>
                <c:pt idx="7" formatCode="_(* #,##0.0_);_(* \(#,##0.0\);_(* &quot;-&quot;_);_(@_)">
                  <c:v>2.2000000000000002</c:v>
                </c:pt>
                <c:pt idx="8">
                  <c:v>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49-4997-A651-E76295CBF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759903472"/>
        <c:axId val="-759919792"/>
      </c:barChart>
      <c:catAx>
        <c:axId val="-759903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59919792"/>
        <c:crosses val="autoZero"/>
        <c:auto val="1"/>
        <c:lblAlgn val="ctr"/>
        <c:lblOffset val="100"/>
        <c:noMultiLvlLbl val="0"/>
      </c:catAx>
      <c:valAx>
        <c:axId val="-759919792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59903472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933114411718118E-2"/>
          <c:y val="5.9575492607562862E-2"/>
          <c:w val="0.94752367576784446"/>
          <c:h val="0.68944588501446569"/>
        </c:manualLayout>
      </c:layout>
      <c:lineChart>
        <c:grouping val="standard"/>
        <c:varyColors val="0"/>
        <c:ser>
          <c:idx val="0"/>
          <c:order val="0"/>
          <c:tx>
            <c:strRef>
              <c:f>'11. 헬스케어 디지털 트윈'!$D$31</c:f>
              <c:strCache>
                <c:ptCount val="1"/>
                <c:pt idx="0">
                  <c:v> Maufacturing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'11. 헬스케어 디지털 트윈'!$E$30:$M$30</c:f>
              <c:strCache>
                <c:ptCount val="9"/>
                <c:pt idx="0">
                  <c:v> 2017년 </c:v>
                </c:pt>
                <c:pt idx="1">
                  <c:v> 2018년 </c:v>
                </c:pt>
                <c:pt idx="2">
                  <c:v> 2019년 </c:v>
                </c:pt>
                <c:pt idx="3">
                  <c:v> 2020년 </c:v>
                </c:pt>
                <c:pt idx="4">
                  <c:v> 2021년 </c:v>
                </c:pt>
                <c:pt idx="5">
                  <c:v> 2022년 </c:v>
                </c:pt>
                <c:pt idx="6">
                  <c:v> 2023년 </c:v>
                </c:pt>
                <c:pt idx="7">
                  <c:v> 2024년 </c:v>
                </c:pt>
                <c:pt idx="8">
                  <c:v> 2025년 </c:v>
                </c:pt>
              </c:strCache>
            </c:strRef>
          </c:cat>
          <c:val>
            <c:numRef>
              <c:f>'11. 헬스케어 디지털 트윈'!$E$31:$M$31</c:f>
              <c:numCache>
                <c:formatCode>#,##0.00</c:formatCode>
                <c:ptCount val="9"/>
                <c:pt idx="0">
                  <c:v>0.34</c:v>
                </c:pt>
                <c:pt idx="1">
                  <c:v>0.56000000000000005</c:v>
                </c:pt>
                <c:pt idx="2">
                  <c:v>0.63</c:v>
                </c:pt>
                <c:pt idx="3">
                  <c:v>0.99</c:v>
                </c:pt>
                <c:pt idx="4">
                  <c:v>1.24</c:v>
                </c:pt>
                <c:pt idx="5">
                  <c:v>1.35</c:v>
                </c:pt>
                <c:pt idx="6">
                  <c:v>1.47</c:v>
                </c:pt>
                <c:pt idx="7">
                  <c:v>1.58</c:v>
                </c:pt>
                <c:pt idx="8">
                  <c:v>1.69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3D-48A2-A99E-81E3C3FA1A6D}"/>
            </c:ext>
          </c:extLst>
        </c:ser>
        <c:ser>
          <c:idx val="1"/>
          <c:order val="1"/>
          <c:tx>
            <c:strRef>
              <c:f>'11. 헬스케어 디지털 트윈'!$D$32</c:f>
              <c:strCache>
                <c:ptCount val="1"/>
                <c:pt idx="0">
                  <c:v> transportation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'11. 헬스케어 디지털 트윈'!$E$30:$M$30</c:f>
              <c:strCache>
                <c:ptCount val="9"/>
                <c:pt idx="0">
                  <c:v> 2017년 </c:v>
                </c:pt>
                <c:pt idx="1">
                  <c:v> 2018년 </c:v>
                </c:pt>
                <c:pt idx="2">
                  <c:v> 2019년 </c:v>
                </c:pt>
                <c:pt idx="3">
                  <c:v> 2020년 </c:v>
                </c:pt>
                <c:pt idx="4">
                  <c:v> 2021년 </c:v>
                </c:pt>
                <c:pt idx="5">
                  <c:v> 2022년 </c:v>
                </c:pt>
                <c:pt idx="6">
                  <c:v> 2023년 </c:v>
                </c:pt>
                <c:pt idx="7">
                  <c:v> 2024년 </c:v>
                </c:pt>
                <c:pt idx="8">
                  <c:v> 2025년 </c:v>
                </c:pt>
              </c:strCache>
            </c:strRef>
          </c:cat>
          <c:val>
            <c:numRef>
              <c:f>'11. 헬스케어 디지털 트윈'!$E$32:$M$32</c:f>
              <c:numCache>
                <c:formatCode>#,##0.00</c:formatCode>
                <c:ptCount val="9"/>
                <c:pt idx="0">
                  <c:v>0.28000000000000003</c:v>
                </c:pt>
                <c:pt idx="1">
                  <c:v>0.51</c:v>
                </c:pt>
                <c:pt idx="2">
                  <c:v>0.56000000000000005</c:v>
                </c:pt>
                <c:pt idx="3">
                  <c:v>0.68</c:v>
                </c:pt>
                <c:pt idx="4">
                  <c:v>0.96</c:v>
                </c:pt>
                <c:pt idx="5">
                  <c:v>1.18</c:v>
                </c:pt>
                <c:pt idx="6">
                  <c:v>1.3</c:v>
                </c:pt>
                <c:pt idx="7">
                  <c:v>1.47</c:v>
                </c:pt>
                <c:pt idx="8">
                  <c:v>1.63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3D-48A2-A99E-81E3C3FA1A6D}"/>
            </c:ext>
          </c:extLst>
        </c:ser>
        <c:ser>
          <c:idx val="2"/>
          <c:order val="2"/>
          <c:tx>
            <c:strRef>
              <c:f>'11. 헬스케어 디지털 트윈'!$D$33</c:f>
              <c:strCache>
                <c:ptCount val="1"/>
                <c:pt idx="0">
                  <c:v> Energy &amp; Utilities 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'11. 헬스케어 디지털 트윈'!$E$30:$M$30</c:f>
              <c:strCache>
                <c:ptCount val="9"/>
                <c:pt idx="0">
                  <c:v> 2017년 </c:v>
                </c:pt>
                <c:pt idx="1">
                  <c:v> 2018년 </c:v>
                </c:pt>
                <c:pt idx="2">
                  <c:v> 2019년 </c:v>
                </c:pt>
                <c:pt idx="3">
                  <c:v> 2020년 </c:v>
                </c:pt>
                <c:pt idx="4">
                  <c:v> 2021년 </c:v>
                </c:pt>
                <c:pt idx="5">
                  <c:v> 2022년 </c:v>
                </c:pt>
                <c:pt idx="6">
                  <c:v> 2023년 </c:v>
                </c:pt>
                <c:pt idx="7">
                  <c:v> 2024년 </c:v>
                </c:pt>
                <c:pt idx="8">
                  <c:v> 2025년 </c:v>
                </c:pt>
              </c:strCache>
            </c:strRef>
          </c:cat>
          <c:val>
            <c:numRef>
              <c:f>'11. 헬스케어 디지털 트윈'!$E$33:$M$33</c:f>
              <c:numCache>
                <c:formatCode>#,##0.00</c:formatCode>
                <c:ptCount val="9"/>
                <c:pt idx="0">
                  <c:v>0.23</c:v>
                </c:pt>
                <c:pt idx="1">
                  <c:v>0.28000000000000003</c:v>
                </c:pt>
                <c:pt idx="2">
                  <c:v>0.34</c:v>
                </c:pt>
                <c:pt idx="3">
                  <c:v>0.56000000000000005</c:v>
                </c:pt>
                <c:pt idx="4">
                  <c:v>0.79</c:v>
                </c:pt>
                <c:pt idx="5">
                  <c:v>1.1299999999999999</c:v>
                </c:pt>
                <c:pt idx="6">
                  <c:v>1.24</c:v>
                </c:pt>
                <c:pt idx="7">
                  <c:v>1.69</c:v>
                </c:pt>
                <c:pt idx="8">
                  <c:v>2.14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0D-44D3-A10A-A78E54501034}"/>
            </c:ext>
          </c:extLst>
        </c:ser>
        <c:ser>
          <c:idx val="3"/>
          <c:order val="3"/>
          <c:tx>
            <c:strRef>
              <c:f>'11. 헬스케어 디지털 트윈'!$D$34</c:f>
              <c:strCache>
                <c:ptCount val="1"/>
                <c:pt idx="0">
                  <c:v> Healthcare 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'11. 헬스케어 디지털 트윈'!$E$30:$M$30</c:f>
              <c:strCache>
                <c:ptCount val="9"/>
                <c:pt idx="0">
                  <c:v> 2017년 </c:v>
                </c:pt>
                <c:pt idx="1">
                  <c:v> 2018년 </c:v>
                </c:pt>
                <c:pt idx="2">
                  <c:v> 2019년 </c:v>
                </c:pt>
                <c:pt idx="3">
                  <c:v> 2020년 </c:v>
                </c:pt>
                <c:pt idx="4">
                  <c:v> 2021년 </c:v>
                </c:pt>
                <c:pt idx="5">
                  <c:v> 2022년 </c:v>
                </c:pt>
                <c:pt idx="6">
                  <c:v> 2023년 </c:v>
                </c:pt>
                <c:pt idx="7">
                  <c:v> 2024년 </c:v>
                </c:pt>
                <c:pt idx="8">
                  <c:v> 2025년 </c:v>
                </c:pt>
              </c:strCache>
            </c:strRef>
          </c:cat>
          <c:val>
            <c:numRef>
              <c:f>'11. 헬스케어 디지털 트윈'!$E$34:$M$34</c:f>
              <c:numCache>
                <c:formatCode>#,##0.00</c:formatCode>
                <c:ptCount val="9"/>
                <c:pt idx="0">
                  <c:v>0.23</c:v>
                </c:pt>
                <c:pt idx="1">
                  <c:v>0.28000000000000003</c:v>
                </c:pt>
                <c:pt idx="2">
                  <c:v>0.34</c:v>
                </c:pt>
                <c:pt idx="3">
                  <c:v>0.51</c:v>
                </c:pt>
                <c:pt idx="4">
                  <c:v>0.9</c:v>
                </c:pt>
                <c:pt idx="5">
                  <c:v>1.01</c:v>
                </c:pt>
                <c:pt idx="6">
                  <c:v>1.1299999999999999</c:v>
                </c:pt>
                <c:pt idx="7">
                  <c:v>1.24</c:v>
                </c:pt>
                <c:pt idx="8">
                  <c:v>1.35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0D-44D3-A10A-A78E54501034}"/>
            </c:ext>
          </c:extLst>
        </c:ser>
        <c:ser>
          <c:idx val="4"/>
          <c:order val="4"/>
          <c:tx>
            <c:strRef>
              <c:f>'11. 헬스케어 디지털 트윈'!$D$35</c:f>
              <c:strCache>
                <c:ptCount val="1"/>
                <c:pt idx="0">
                  <c:v> Consumer 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'11. 헬스케어 디지털 트윈'!$E$30:$M$30</c:f>
              <c:strCache>
                <c:ptCount val="9"/>
                <c:pt idx="0">
                  <c:v> 2017년 </c:v>
                </c:pt>
                <c:pt idx="1">
                  <c:v> 2018년 </c:v>
                </c:pt>
                <c:pt idx="2">
                  <c:v> 2019년 </c:v>
                </c:pt>
                <c:pt idx="3">
                  <c:v> 2020년 </c:v>
                </c:pt>
                <c:pt idx="4">
                  <c:v> 2021년 </c:v>
                </c:pt>
                <c:pt idx="5">
                  <c:v> 2022년 </c:v>
                </c:pt>
                <c:pt idx="6">
                  <c:v> 2023년 </c:v>
                </c:pt>
                <c:pt idx="7">
                  <c:v> 2024년 </c:v>
                </c:pt>
                <c:pt idx="8">
                  <c:v> 2025년 </c:v>
                </c:pt>
              </c:strCache>
            </c:strRef>
          </c:cat>
          <c:val>
            <c:numRef>
              <c:f>'11. 헬스케어 디지털 트윈'!$E$35:$M$35</c:f>
              <c:numCache>
                <c:formatCode>#,##0.00</c:formatCode>
                <c:ptCount val="9"/>
                <c:pt idx="0">
                  <c:v>0.11</c:v>
                </c:pt>
                <c:pt idx="1">
                  <c:v>0.23</c:v>
                </c:pt>
                <c:pt idx="2">
                  <c:v>0.28000000000000003</c:v>
                </c:pt>
                <c:pt idx="3">
                  <c:v>0.34</c:v>
                </c:pt>
                <c:pt idx="4">
                  <c:v>0.45</c:v>
                </c:pt>
                <c:pt idx="5">
                  <c:v>1.41</c:v>
                </c:pt>
                <c:pt idx="6">
                  <c:v>1.97</c:v>
                </c:pt>
                <c:pt idx="7">
                  <c:v>2.54</c:v>
                </c:pt>
                <c:pt idx="8">
                  <c:v>3.1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C0D-44D3-A10A-A78E54501034}"/>
            </c:ext>
          </c:extLst>
        </c:ser>
        <c:ser>
          <c:idx val="5"/>
          <c:order val="5"/>
          <c:tx>
            <c:strRef>
              <c:f>'11. 헬스케어 디지털 트윈'!$D$36</c:f>
              <c:strCache>
                <c:ptCount val="1"/>
                <c:pt idx="0">
                  <c:v> Other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'11. 헬스케어 디지털 트윈'!$E$30:$M$30</c:f>
              <c:strCache>
                <c:ptCount val="9"/>
                <c:pt idx="0">
                  <c:v> 2017년 </c:v>
                </c:pt>
                <c:pt idx="1">
                  <c:v> 2018년 </c:v>
                </c:pt>
                <c:pt idx="2">
                  <c:v> 2019년 </c:v>
                </c:pt>
                <c:pt idx="3">
                  <c:v> 2020년 </c:v>
                </c:pt>
                <c:pt idx="4">
                  <c:v> 2021년 </c:v>
                </c:pt>
                <c:pt idx="5">
                  <c:v> 2022년 </c:v>
                </c:pt>
                <c:pt idx="6">
                  <c:v> 2023년 </c:v>
                </c:pt>
                <c:pt idx="7">
                  <c:v> 2024년 </c:v>
                </c:pt>
                <c:pt idx="8">
                  <c:v> 2025년 </c:v>
                </c:pt>
              </c:strCache>
            </c:strRef>
          </c:cat>
          <c:val>
            <c:numRef>
              <c:f>'11. 헬스케어 디지털 트윈'!$E$36:$M$36</c:f>
              <c:numCache>
                <c:formatCode>#,##0.00</c:formatCode>
                <c:ptCount val="9"/>
                <c:pt idx="0">
                  <c:v>0.09</c:v>
                </c:pt>
                <c:pt idx="1">
                  <c:v>0.17</c:v>
                </c:pt>
                <c:pt idx="2">
                  <c:v>0.28000000000000003</c:v>
                </c:pt>
                <c:pt idx="3">
                  <c:v>0.45</c:v>
                </c:pt>
                <c:pt idx="4">
                  <c:v>0.45</c:v>
                </c:pt>
                <c:pt idx="5">
                  <c:v>0.79</c:v>
                </c:pt>
                <c:pt idx="6">
                  <c:v>0.9</c:v>
                </c:pt>
                <c:pt idx="7">
                  <c:v>1.24</c:v>
                </c:pt>
                <c:pt idx="8">
                  <c:v>1.58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C0D-44D3-A10A-A78E54501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759902928"/>
        <c:axId val="-759913808"/>
      </c:lineChart>
      <c:catAx>
        <c:axId val="-759902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59913808"/>
        <c:crosses val="autoZero"/>
        <c:auto val="1"/>
        <c:lblAlgn val="ctr"/>
        <c:lblOffset val="100"/>
        <c:noMultiLvlLbl val="0"/>
      </c:catAx>
      <c:valAx>
        <c:axId val="-759913808"/>
        <c:scaling>
          <c:orientation val="minMax"/>
          <c:max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5990292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985398789805585E-2"/>
          <c:y val="7.9850913889907574E-2"/>
          <c:w val="0.9333726259678593"/>
          <c:h val="0.7816638766901080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'12. Bio-CDMO'!$D$6:$D$7</c:f>
              <c:strCache>
                <c:ptCount val="1"/>
                <c:pt idx="0">
                  <c:v> 시장규모   전년대비성장률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'12. Bio-CDMO'!$E$5:$K$5</c:f>
              <c:strCache>
                <c:ptCount val="7"/>
                <c:pt idx="0">
                  <c:v> 2020년 </c:v>
                </c:pt>
                <c:pt idx="1">
                  <c:v> 2021년 </c:v>
                </c:pt>
                <c:pt idx="2">
                  <c:v> 2022년 </c:v>
                </c:pt>
                <c:pt idx="3">
                  <c:v> 2023년 </c:v>
                </c:pt>
                <c:pt idx="4">
                  <c:v> 2024년 </c:v>
                </c:pt>
                <c:pt idx="5">
                  <c:v> 2025년 </c:v>
                </c:pt>
                <c:pt idx="6">
                  <c:v> 2026년 </c:v>
                </c:pt>
              </c:strCache>
            </c:strRef>
          </c:cat>
          <c:val>
            <c:numRef>
              <c:f>'12. Bio-CDMO'!$E$6:$K$6</c:f>
              <c:numCache>
                <c:formatCode>_(* #,##0.00_);_(* \(#,##0.00\);_(* "-"_);_(@_)</c:formatCode>
                <c:ptCount val="7"/>
                <c:pt idx="0">
                  <c:v>11.38</c:v>
                </c:pt>
                <c:pt idx="1">
                  <c:v>12.79</c:v>
                </c:pt>
                <c:pt idx="2">
                  <c:v>14.32</c:v>
                </c:pt>
                <c:pt idx="3">
                  <c:v>15.73</c:v>
                </c:pt>
                <c:pt idx="4">
                  <c:v>17.25</c:v>
                </c:pt>
                <c:pt idx="5" formatCode="_(* #,##0.0_);_(* \(#,##0.0\);_(* &quot;-&quot;_);_(@_)">
                  <c:v>18.88</c:v>
                </c:pt>
                <c:pt idx="6">
                  <c:v>20.309999999999999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78-40C5-8FEE-77AC8682D4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-759903472"/>
        <c:axId val="-759919792"/>
      </c:barChart>
      <c:catAx>
        <c:axId val="-759903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59919792"/>
        <c:crosses val="autoZero"/>
        <c:auto val="1"/>
        <c:lblAlgn val="ctr"/>
        <c:lblOffset val="100"/>
        <c:noMultiLvlLbl val="0"/>
      </c:catAx>
      <c:valAx>
        <c:axId val="-759919792"/>
        <c:scaling>
          <c:orientation val="minMax"/>
          <c:max val="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599034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933114411718118E-2"/>
          <c:y val="0.17245357271684444"/>
          <c:w val="0.94752367576784446"/>
          <c:h val="0.5765674497005710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'12. Bio-CDMO'!$D$30</c:f>
              <c:strCache>
                <c:ptCount val="1"/>
                <c:pt idx="0">
                  <c:v> 완제의약품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cat>
            <c:strRef>
              <c:f>'12. Bio-CDMO'!$E$29:$K$29</c:f>
              <c:strCache>
                <c:ptCount val="7"/>
                <c:pt idx="0">
                  <c:v> 2020년 </c:v>
                </c:pt>
                <c:pt idx="1">
                  <c:v> 2021년 </c:v>
                </c:pt>
                <c:pt idx="2">
                  <c:v> 2022년 </c:v>
                </c:pt>
                <c:pt idx="3">
                  <c:v> 2023년 </c:v>
                </c:pt>
                <c:pt idx="4">
                  <c:v> 2024년 </c:v>
                </c:pt>
                <c:pt idx="5">
                  <c:v> 2025년 </c:v>
                </c:pt>
                <c:pt idx="6">
                  <c:v> 2026년 </c:v>
                </c:pt>
              </c:strCache>
            </c:strRef>
          </c:cat>
          <c:val>
            <c:numRef>
              <c:f>'12. Bio-CDMO'!$E$30:$K$30</c:f>
              <c:numCache>
                <c:formatCode>#,##0.00</c:formatCode>
                <c:ptCount val="7"/>
                <c:pt idx="0">
                  <c:v>4.91</c:v>
                </c:pt>
                <c:pt idx="1">
                  <c:v>5.59</c:v>
                </c:pt>
                <c:pt idx="2">
                  <c:v>6.19</c:v>
                </c:pt>
                <c:pt idx="3">
                  <c:v>6.78</c:v>
                </c:pt>
                <c:pt idx="4">
                  <c:v>7.24</c:v>
                </c:pt>
                <c:pt idx="5">
                  <c:v>7.98</c:v>
                </c:pt>
                <c:pt idx="6">
                  <c:v>9.0500000000000007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92-45C9-8164-ECA0190AAD1F}"/>
            </c:ext>
          </c:extLst>
        </c:ser>
        <c:ser>
          <c:idx val="1"/>
          <c:order val="1"/>
          <c:tx>
            <c:strRef>
              <c:f>'12. Bio-CDMO'!$D$31</c:f>
              <c:strCache>
                <c:ptCount val="1"/>
                <c:pt idx="0">
                  <c:v> 원료의약품 </c:v>
                </c:pt>
              </c:strCache>
            </c:strRef>
          </c:tx>
          <c:spPr>
            <a:solidFill>
              <a:srgbClr val="F4A42A"/>
            </a:solidFill>
            <a:ln>
              <a:noFill/>
            </a:ln>
            <a:effectLst/>
          </c:spPr>
          <c:invertIfNegative val="0"/>
          <c:cat>
            <c:strRef>
              <c:f>'12. Bio-CDMO'!$E$29:$K$29</c:f>
              <c:strCache>
                <c:ptCount val="7"/>
                <c:pt idx="0">
                  <c:v> 2020년 </c:v>
                </c:pt>
                <c:pt idx="1">
                  <c:v> 2021년 </c:v>
                </c:pt>
                <c:pt idx="2">
                  <c:v> 2022년 </c:v>
                </c:pt>
                <c:pt idx="3">
                  <c:v> 2023년 </c:v>
                </c:pt>
                <c:pt idx="4">
                  <c:v> 2024년 </c:v>
                </c:pt>
                <c:pt idx="5">
                  <c:v> 2025년 </c:v>
                </c:pt>
                <c:pt idx="6">
                  <c:v> 2026년 </c:v>
                </c:pt>
              </c:strCache>
            </c:strRef>
          </c:cat>
          <c:val>
            <c:numRef>
              <c:f>'12. Bio-CDMO'!$E$31:$K$31</c:f>
              <c:numCache>
                <c:formatCode>#,##0.00</c:formatCode>
                <c:ptCount val="7"/>
                <c:pt idx="0">
                  <c:v>6.47</c:v>
                </c:pt>
                <c:pt idx="1">
                  <c:v>7.2</c:v>
                </c:pt>
                <c:pt idx="2">
                  <c:v>8.1300000000000008</c:v>
                </c:pt>
                <c:pt idx="3">
                  <c:v>8.9499999999999993</c:v>
                </c:pt>
                <c:pt idx="4">
                  <c:v>10.01</c:v>
                </c:pt>
                <c:pt idx="5">
                  <c:v>10.9</c:v>
                </c:pt>
                <c:pt idx="6">
                  <c:v>11.26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92-45C9-8164-ECA0190AA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759902928"/>
        <c:axId val="-759913808"/>
      </c:barChart>
      <c:catAx>
        <c:axId val="-759902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59913808"/>
        <c:crosses val="autoZero"/>
        <c:auto val="1"/>
        <c:lblAlgn val="ctr"/>
        <c:lblOffset val="100"/>
        <c:noMultiLvlLbl val="0"/>
      </c:catAx>
      <c:valAx>
        <c:axId val="-759913808"/>
        <c:scaling>
          <c:orientation val="minMax"/>
          <c:max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59902928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933114411718118E-2"/>
          <c:y val="0.17245357271684444"/>
          <c:w val="0.94752367576784446"/>
          <c:h val="0.5765674497005710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'12. Bio-CDMO'!$D$53</c:f>
              <c:strCache>
                <c:ptCount val="1"/>
                <c:pt idx="0">
                  <c:v> 미생물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'12. Bio-CDMO'!$E$52:$K$52</c:f>
              <c:strCache>
                <c:ptCount val="7"/>
                <c:pt idx="0">
                  <c:v> 2020년 </c:v>
                </c:pt>
                <c:pt idx="1">
                  <c:v> 2021년 </c:v>
                </c:pt>
                <c:pt idx="2">
                  <c:v> 2022년 </c:v>
                </c:pt>
                <c:pt idx="3">
                  <c:v> 2023년 </c:v>
                </c:pt>
                <c:pt idx="4">
                  <c:v> 2024년 </c:v>
                </c:pt>
                <c:pt idx="5">
                  <c:v> 2025년 </c:v>
                </c:pt>
                <c:pt idx="6">
                  <c:v> 2026년 </c:v>
                </c:pt>
              </c:strCache>
            </c:strRef>
          </c:cat>
          <c:val>
            <c:numRef>
              <c:f>'12. Bio-CDMO'!$E$53:$K$53</c:f>
              <c:numCache>
                <c:formatCode>#,##0.00</c:formatCode>
                <c:ptCount val="7"/>
                <c:pt idx="0">
                  <c:v>3.87</c:v>
                </c:pt>
                <c:pt idx="1">
                  <c:v>4.22</c:v>
                </c:pt>
                <c:pt idx="2">
                  <c:v>4.58</c:v>
                </c:pt>
                <c:pt idx="3">
                  <c:v>4.88</c:v>
                </c:pt>
                <c:pt idx="4">
                  <c:v>5.26</c:v>
                </c:pt>
                <c:pt idx="5">
                  <c:v>5.57</c:v>
                </c:pt>
                <c:pt idx="6">
                  <c:v>5.89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74A-46D0-9A2C-BAF29D83FA35}"/>
            </c:ext>
          </c:extLst>
        </c:ser>
        <c:ser>
          <c:idx val="1"/>
          <c:order val="1"/>
          <c:tx>
            <c:strRef>
              <c:f>'12. Bio-CDMO'!$D$54</c:f>
              <c:strCache>
                <c:ptCount val="1"/>
                <c:pt idx="0">
                  <c:v> 포유류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'12. Bio-CDMO'!$E$52:$K$52</c:f>
              <c:strCache>
                <c:ptCount val="7"/>
                <c:pt idx="0">
                  <c:v> 2020년 </c:v>
                </c:pt>
                <c:pt idx="1">
                  <c:v> 2021년 </c:v>
                </c:pt>
                <c:pt idx="2">
                  <c:v> 2022년 </c:v>
                </c:pt>
                <c:pt idx="3">
                  <c:v> 2023년 </c:v>
                </c:pt>
                <c:pt idx="4">
                  <c:v> 2024년 </c:v>
                </c:pt>
                <c:pt idx="5">
                  <c:v> 2025년 </c:v>
                </c:pt>
                <c:pt idx="6">
                  <c:v> 2026년 </c:v>
                </c:pt>
              </c:strCache>
            </c:strRef>
          </c:cat>
          <c:val>
            <c:numRef>
              <c:f>'12. Bio-CDMO'!$E$54:$K$54</c:f>
              <c:numCache>
                <c:formatCode>#,##0.00</c:formatCode>
                <c:ptCount val="7"/>
                <c:pt idx="0">
                  <c:v>6.49</c:v>
                </c:pt>
                <c:pt idx="1">
                  <c:v>7.36</c:v>
                </c:pt>
                <c:pt idx="2">
                  <c:v>8.3000000000000007</c:v>
                </c:pt>
                <c:pt idx="3">
                  <c:v>9.1300000000000008</c:v>
                </c:pt>
                <c:pt idx="4">
                  <c:v>9.92</c:v>
                </c:pt>
                <c:pt idx="5">
                  <c:v>10.76</c:v>
                </c:pt>
                <c:pt idx="6">
                  <c:v>11.38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74A-46D0-9A2C-BAF29D83FA35}"/>
            </c:ext>
          </c:extLst>
        </c:ser>
        <c:ser>
          <c:idx val="2"/>
          <c:order val="2"/>
          <c:tx>
            <c:strRef>
              <c:f>'12. Bio-CDMO'!$D$55</c:f>
              <c:strCache>
                <c:ptCount val="1"/>
                <c:pt idx="0">
                  <c:v> 바이러스 벡터 및 기타 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'12. Bio-CDMO'!$E$55:$K$55</c:f>
              <c:numCache>
                <c:formatCode>#,##0.00</c:formatCode>
                <c:ptCount val="7"/>
                <c:pt idx="0">
                  <c:v>1.02</c:v>
                </c:pt>
                <c:pt idx="1">
                  <c:v>1.22</c:v>
                </c:pt>
                <c:pt idx="2">
                  <c:v>1.43</c:v>
                </c:pt>
                <c:pt idx="3">
                  <c:v>1.73</c:v>
                </c:pt>
                <c:pt idx="4">
                  <c:v>2.0699999999999998</c:v>
                </c:pt>
                <c:pt idx="5">
                  <c:v>2.5499999999999998</c:v>
                </c:pt>
                <c:pt idx="6">
                  <c:v>3.05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74A-46D0-9A2C-BAF29D83F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759902928"/>
        <c:axId val="-759913808"/>
      </c:barChart>
      <c:catAx>
        <c:axId val="-759902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59913808"/>
        <c:crosses val="autoZero"/>
        <c:auto val="1"/>
        <c:lblAlgn val="ctr"/>
        <c:lblOffset val="100"/>
        <c:noMultiLvlLbl val="0"/>
      </c:catAx>
      <c:valAx>
        <c:axId val="-759913808"/>
        <c:scaling>
          <c:orientation val="minMax"/>
          <c:max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59902928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2020</a:t>
            </a:r>
            <a:r>
              <a:rPr lang="ko-KR" altLang="en-US"/>
              <a:t>년</a:t>
            </a:r>
          </a:p>
        </c:rich>
      </c:tx>
      <c:layout>
        <c:manualLayout>
          <c:xMode val="edge"/>
          <c:yMode val="edge"/>
          <c:x val="0.31565341611299624"/>
          <c:y val="1.98830376396861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0.11750960272164203"/>
          <c:y val="0.16921592258703685"/>
          <c:w val="0.34381823650970117"/>
          <c:h val="0.67677883517963777"/>
        </c:manualLayout>
      </c:layout>
      <c:doughnutChart>
        <c:varyColors val="1"/>
        <c:ser>
          <c:idx val="0"/>
          <c:order val="0"/>
          <c:tx>
            <c:strRef>
              <c:f>'12. Bio-CDMO'!$E$76</c:f>
              <c:strCache>
                <c:ptCount val="1"/>
                <c:pt idx="0">
                  <c:v> 2020년 시장 점유율 </c:v>
                </c:pt>
              </c:strCache>
            </c:strRef>
          </c:tx>
          <c:dPt>
            <c:idx val="0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997-42E1-9CBB-A92DE5F6CAC3}"/>
              </c:ext>
            </c:extLst>
          </c:dPt>
          <c:dPt>
            <c:idx val="1"/>
            <c:bubble3D val="0"/>
            <c:spPr>
              <a:solidFill>
                <a:srgbClr val="F4A42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997-42E1-9CBB-A92DE5F6CAC3}"/>
              </c:ext>
            </c:extLst>
          </c:dPt>
          <c:dPt>
            <c:idx val="2"/>
            <c:bubble3D val="0"/>
            <c:spPr>
              <a:solidFill>
                <a:srgbClr val="F4806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997-42E1-9CBB-A92DE5F6CAC3}"/>
              </c:ext>
            </c:extLst>
          </c:dPt>
          <c:dPt>
            <c:idx val="3"/>
            <c:bubble3D val="0"/>
            <c:spPr>
              <a:solidFill>
                <a:srgbClr val="F2665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997-42E1-9CBB-A92DE5F6CAC3}"/>
              </c:ext>
            </c:extLst>
          </c:dPt>
          <c:dPt>
            <c:idx val="4"/>
            <c:bubble3D val="0"/>
            <c:spPr>
              <a:solidFill>
                <a:srgbClr val="7E8DC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997-42E1-9CBB-A92DE5F6CAC3}"/>
              </c:ext>
            </c:extLst>
          </c:dPt>
          <c:dPt>
            <c:idx val="5"/>
            <c:bubble3D val="0"/>
            <c:spPr>
              <a:solidFill>
                <a:srgbClr val="95C55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997-42E1-9CBB-A92DE5F6CAC3}"/>
              </c:ext>
            </c:extLst>
          </c:dPt>
          <c:dPt>
            <c:idx val="6"/>
            <c:bubble3D val="0"/>
            <c:spPr>
              <a:solidFill>
                <a:srgbClr val="CCFFC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997-42E1-9CBB-A92DE5F6CAC3}"/>
              </c:ext>
            </c:extLst>
          </c:dPt>
          <c:dPt>
            <c:idx val="7"/>
            <c:bubble3D val="0"/>
            <c:spPr>
              <a:solidFill>
                <a:srgbClr val="3DA4D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C997-42E1-9CBB-A92DE5F6CAC3}"/>
              </c:ext>
            </c:extLst>
          </c:dPt>
          <c:dLbls>
            <c:dLbl>
              <c:idx val="4"/>
              <c:layout>
                <c:manualLayout>
                  <c:x val="-1.5631912134242338E-3"/>
                  <c:y val="1.19298225838117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997-42E1-9CBB-A92DE5F6CAC3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'12. Bio-CDMO'!$D$77:$D$83</c:f>
              <c:strCache>
                <c:ptCount val="7"/>
                <c:pt idx="0">
                  <c:v> Lonza </c:v>
                </c:pt>
                <c:pt idx="1">
                  <c:v> Samsung Biologics </c:v>
                </c:pt>
                <c:pt idx="2">
                  <c:v> Catalent Biologics </c:v>
                </c:pt>
                <c:pt idx="3">
                  <c:v> Boehringer Ingelheim BioXcellence </c:v>
                </c:pt>
                <c:pt idx="4">
                  <c:v> Thermo Fisher Scientific </c:v>
                </c:pt>
                <c:pt idx="5">
                  <c:v> WuXi Biologics </c:v>
                </c:pt>
                <c:pt idx="6">
                  <c:v>  Others  </c:v>
                </c:pt>
              </c:strCache>
            </c:strRef>
          </c:cat>
          <c:val>
            <c:numRef>
              <c:f>'12. Bio-CDMO'!$E$77:$E$83</c:f>
              <c:numCache>
                <c:formatCode>#,##0.0</c:formatCode>
                <c:ptCount val="7"/>
                <c:pt idx="0">
                  <c:v>25.2</c:v>
                </c:pt>
                <c:pt idx="1">
                  <c:v>9.1</c:v>
                </c:pt>
                <c:pt idx="2">
                  <c:v>9</c:v>
                </c:pt>
                <c:pt idx="3">
                  <c:v>8.1999999999999993</c:v>
                </c:pt>
                <c:pt idx="4">
                  <c:v>7.9</c:v>
                </c:pt>
                <c:pt idx="5">
                  <c:v>7.6</c:v>
                </c:pt>
                <c:pt idx="6">
                  <c:v>32.9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997-42E1-9CBB-A92DE5F6CA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7624092519540682"/>
          <c:y val="9.8397552413722486E-2"/>
          <c:w val="0.39677505715025169"/>
          <c:h val="0.84767839703263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985398789805585E-2"/>
          <c:y val="7.9850913889907574E-2"/>
          <c:w val="0.9333726259678593"/>
          <c:h val="0.7816638766901080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'13. 백신'!$D$7</c:f>
              <c:strCache>
                <c:ptCount val="1"/>
                <c:pt idx="0">
                  <c:v> 시장규모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'13. 백신'!$E$6:$K$6</c:f>
              <c:strCache>
                <c:ptCount val="7"/>
                <c:pt idx="0">
                  <c:v> 2021년 </c:v>
                </c:pt>
                <c:pt idx="1">
                  <c:v> 2022년 </c:v>
                </c:pt>
                <c:pt idx="2">
                  <c:v> 2023년 </c:v>
                </c:pt>
                <c:pt idx="3">
                  <c:v> 2024년 </c:v>
                </c:pt>
                <c:pt idx="4">
                  <c:v> 2025년 </c:v>
                </c:pt>
                <c:pt idx="5">
                  <c:v> 2026년 </c:v>
                </c:pt>
                <c:pt idx="6">
                  <c:v> 2027년 </c:v>
                </c:pt>
              </c:strCache>
            </c:strRef>
          </c:cat>
          <c:val>
            <c:numRef>
              <c:f>'13. 백신'!$E$7:$K$7</c:f>
              <c:numCache>
                <c:formatCode>General</c:formatCode>
                <c:ptCount val="7"/>
                <c:pt idx="0">
                  <c:v>36.68</c:v>
                </c:pt>
                <c:pt idx="1">
                  <c:v>38.83</c:v>
                </c:pt>
                <c:pt idx="2">
                  <c:v>41.37</c:v>
                </c:pt>
                <c:pt idx="3">
                  <c:v>44.73</c:v>
                </c:pt>
                <c:pt idx="4">
                  <c:v>48.79</c:v>
                </c:pt>
                <c:pt idx="5">
                  <c:v>53.65</c:v>
                </c:pt>
                <c:pt idx="6">
                  <c:v>59.17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4F-4C80-930C-56C30FC12F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-759903472"/>
        <c:axId val="-759919792"/>
      </c:barChart>
      <c:catAx>
        <c:axId val="-759903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59919792"/>
        <c:crosses val="autoZero"/>
        <c:auto val="1"/>
        <c:lblAlgn val="ctr"/>
        <c:lblOffset val="100"/>
        <c:noMultiLvlLbl val="0"/>
      </c:catAx>
      <c:valAx>
        <c:axId val="-759919792"/>
        <c:scaling>
          <c:orientation val="minMax"/>
          <c:max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59903472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0456947086359796E-2"/>
          <c:y val="9.7352806731244981E-2"/>
          <c:w val="0.90625379379692483"/>
          <c:h val="0.646885639473543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'13. 백신'!$D$30</c:f>
              <c:strCache>
                <c:ptCount val="1"/>
                <c:pt idx="0">
                  <c:v> 바이러스유사입자(VLPs)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cat>
            <c:strRef>
              <c:f>'13. 백신'!$E$29:$K$29</c:f>
              <c:strCache>
                <c:ptCount val="7"/>
                <c:pt idx="0">
                  <c:v> 2021년 </c:v>
                </c:pt>
                <c:pt idx="1">
                  <c:v> 2022년 </c:v>
                </c:pt>
                <c:pt idx="2">
                  <c:v> 2023년 </c:v>
                </c:pt>
                <c:pt idx="3">
                  <c:v> 2024년 </c:v>
                </c:pt>
                <c:pt idx="4">
                  <c:v> 2025년 </c:v>
                </c:pt>
                <c:pt idx="5">
                  <c:v> 2026년 </c:v>
                </c:pt>
                <c:pt idx="6">
                  <c:v> 2027년 </c:v>
                </c:pt>
              </c:strCache>
            </c:strRef>
          </c:cat>
          <c:val>
            <c:numRef>
              <c:f>'13. 백신'!$E$30:$K$30</c:f>
              <c:numCache>
                <c:formatCode>General</c:formatCode>
                <c:ptCount val="7"/>
                <c:pt idx="0">
                  <c:v>5.3</c:v>
                </c:pt>
                <c:pt idx="1">
                  <c:v>5.57</c:v>
                </c:pt>
                <c:pt idx="2">
                  <c:v>5.95</c:v>
                </c:pt>
                <c:pt idx="3">
                  <c:v>6.44</c:v>
                </c:pt>
                <c:pt idx="4">
                  <c:v>6.95</c:v>
                </c:pt>
                <c:pt idx="5">
                  <c:v>7.42</c:v>
                </c:pt>
                <c:pt idx="6">
                  <c:v>7.83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83-4D2B-A6E7-19F8021A3B58}"/>
            </c:ext>
          </c:extLst>
        </c:ser>
        <c:ser>
          <c:idx val="1"/>
          <c:order val="1"/>
          <c:tx>
            <c:strRef>
              <c:f>'13. 백신'!$D$31</c:f>
              <c:strCache>
                <c:ptCount val="1"/>
                <c:pt idx="0">
                  <c:v> 불활성화(Inactivated)  </c:v>
                </c:pt>
              </c:strCache>
            </c:strRef>
          </c:tx>
          <c:spPr>
            <a:solidFill>
              <a:srgbClr val="F4A42A"/>
            </a:solidFill>
            <a:ln>
              <a:noFill/>
            </a:ln>
            <a:effectLst/>
          </c:spPr>
          <c:invertIfNegative val="0"/>
          <c:cat>
            <c:strRef>
              <c:f>'13. 백신'!$E$29:$K$29</c:f>
              <c:strCache>
                <c:ptCount val="7"/>
                <c:pt idx="0">
                  <c:v> 2021년 </c:v>
                </c:pt>
                <c:pt idx="1">
                  <c:v> 2022년 </c:v>
                </c:pt>
                <c:pt idx="2">
                  <c:v> 2023년 </c:v>
                </c:pt>
                <c:pt idx="3">
                  <c:v> 2024년 </c:v>
                </c:pt>
                <c:pt idx="4">
                  <c:v> 2025년 </c:v>
                </c:pt>
                <c:pt idx="5">
                  <c:v> 2026년 </c:v>
                </c:pt>
                <c:pt idx="6">
                  <c:v> 2027년 </c:v>
                </c:pt>
              </c:strCache>
            </c:strRef>
          </c:cat>
          <c:val>
            <c:numRef>
              <c:f>'13. 백신'!$E$31:$K$31</c:f>
              <c:numCache>
                <c:formatCode>General</c:formatCode>
                <c:ptCount val="7"/>
                <c:pt idx="0">
                  <c:v>7.81</c:v>
                </c:pt>
                <c:pt idx="1">
                  <c:v>8.06</c:v>
                </c:pt>
                <c:pt idx="2">
                  <c:v>8.36</c:v>
                </c:pt>
                <c:pt idx="3">
                  <c:v>8.85</c:v>
                </c:pt>
                <c:pt idx="4">
                  <c:v>9.34</c:v>
                </c:pt>
                <c:pt idx="5">
                  <c:v>9.6999999999999993</c:v>
                </c:pt>
                <c:pt idx="6">
                  <c:v>9.91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83-4D2B-A6E7-19F8021A3B58}"/>
            </c:ext>
          </c:extLst>
        </c:ser>
        <c:ser>
          <c:idx val="2"/>
          <c:order val="2"/>
          <c:tx>
            <c:strRef>
              <c:f>'13. 백신'!$D$32</c:f>
              <c:strCache>
                <c:ptCount val="1"/>
                <c:pt idx="0">
                  <c:v> 약독화(Live Attenuated) </c:v>
                </c:pt>
              </c:strCache>
            </c:strRef>
          </c:tx>
          <c:spPr>
            <a:solidFill>
              <a:srgbClr val="FF5050"/>
            </a:solidFill>
            <a:ln>
              <a:noFill/>
            </a:ln>
            <a:effectLst/>
          </c:spPr>
          <c:invertIfNegative val="0"/>
          <c:cat>
            <c:strRef>
              <c:f>'13. 백신'!$E$29:$K$29</c:f>
              <c:strCache>
                <c:ptCount val="7"/>
                <c:pt idx="0">
                  <c:v> 2021년 </c:v>
                </c:pt>
                <c:pt idx="1">
                  <c:v> 2022년 </c:v>
                </c:pt>
                <c:pt idx="2">
                  <c:v> 2023년 </c:v>
                </c:pt>
                <c:pt idx="3">
                  <c:v> 2024년 </c:v>
                </c:pt>
                <c:pt idx="4">
                  <c:v> 2025년 </c:v>
                </c:pt>
                <c:pt idx="5">
                  <c:v> 2026년 </c:v>
                </c:pt>
                <c:pt idx="6">
                  <c:v> 2027년 </c:v>
                </c:pt>
              </c:strCache>
            </c:strRef>
          </c:cat>
          <c:val>
            <c:numRef>
              <c:f>'13. 백신'!$E$32:$K$32</c:f>
              <c:numCache>
                <c:formatCode>General</c:formatCode>
                <c:ptCount val="7"/>
                <c:pt idx="0">
                  <c:v>4.95</c:v>
                </c:pt>
                <c:pt idx="1">
                  <c:v>5.1100000000000003</c:v>
                </c:pt>
                <c:pt idx="2">
                  <c:v>5.22</c:v>
                </c:pt>
                <c:pt idx="3">
                  <c:v>5.34</c:v>
                </c:pt>
                <c:pt idx="4">
                  <c:v>5.42</c:v>
                </c:pt>
                <c:pt idx="5">
                  <c:v>5.45</c:v>
                </c:pt>
                <c:pt idx="6">
                  <c:v>5.41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83-4D2B-A6E7-19F8021A3B58}"/>
            </c:ext>
          </c:extLst>
        </c:ser>
        <c:ser>
          <c:idx val="3"/>
          <c:order val="3"/>
          <c:tx>
            <c:strRef>
              <c:f>'13. 백신'!$D$33</c:f>
              <c:strCache>
                <c:ptCount val="1"/>
                <c:pt idx="0">
                  <c:v> 혼합(Combination)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'13. 백신'!$E$29:$K$29</c:f>
              <c:strCache>
                <c:ptCount val="7"/>
                <c:pt idx="0">
                  <c:v> 2021년 </c:v>
                </c:pt>
                <c:pt idx="1">
                  <c:v> 2022년 </c:v>
                </c:pt>
                <c:pt idx="2">
                  <c:v> 2023년 </c:v>
                </c:pt>
                <c:pt idx="3">
                  <c:v> 2024년 </c:v>
                </c:pt>
                <c:pt idx="4">
                  <c:v> 2025년 </c:v>
                </c:pt>
                <c:pt idx="5">
                  <c:v> 2026년 </c:v>
                </c:pt>
                <c:pt idx="6">
                  <c:v> 2027년 </c:v>
                </c:pt>
              </c:strCache>
            </c:strRef>
          </c:cat>
          <c:val>
            <c:numRef>
              <c:f>'13. 백신'!$E$33:$K$33</c:f>
              <c:numCache>
                <c:formatCode>General</c:formatCode>
                <c:ptCount val="7"/>
                <c:pt idx="0">
                  <c:v>1.32</c:v>
                </c:pt>
                <c:pt idx="1">
                  <c:v>1.32</c:v>
                </c:pt>
                <c:pt idx="2">
                  <c:v>1.33</c:v>
                </c:pt>
                <c:pt idx="3">
                  <c:v>1.38</c:v>
                </c:pt>
                <c:pt idx="4">
                  <c:v>1.42</c:v>
                </c:pt>
                <c:pt idx="5">
                  <c:v>1.45</c:v>
                </c:pt>
                <c:pt idx="6">
                  <c:v>1.46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83-4D2B-A6E7-19F8021A3B58}"/>
            </c:ext>
          </c:extLst>
        </c:ser>
        <c:ser>
          <c:idx val="4"/>
          <c:order val="4"/>
          <c:tx>
            <c:strRef>
              <c:f>'13. 백신'!$D$34</c:f>
              <c:strCache>
                <c:ptCount val="1"/>
                <c:pt idx="0">
                  <c:v> 아단위/결합/톡소이드(Subunit/Conjugate/Toxoid)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'13. 백신'!$E$29:$K$29</c:f>
              <c:strCache>
                <c:ptCount val="7"/>
                <c:pt idx="0">
                  <c:v> 2021년 </c:v>
                </c:pt>
                <c:pt idx="1">
                  <c:v> 2022년 </c:v>
                </c:pt>
                <c:pt idx="2">
                  <c:v> 2023년 </c:v>
                </c:pt>
                <c:pt idx="3">
                  <c:v> 2024년 </c:v>
                </c:pt>
                <c:pt idx="4">
                  <c:v> 2025년 </c:v>
                </c:pt>
                <c:pt idx="5">
                  <c:v> 2026년 </c:v>
                </c:pt>
                <c:pt idx="6">
                  <c:v> 2027년 </c:v>
                </c:pt>
              </c:strCache>
            </c:strRef>
          </c:cat>
          <c:val>
            <c:numRef>
              <c:f>'13. 백신'!$E$34:$K$34</c:f>
              <c:numCache>
                <c:formatCode>General</c:formatCode>
                <c:ptCount val="7"/>
                <c:pt idx="0">
                  <c:v>14.33</c:v>
                </c:pt>
                <c:pt idx="1">
                  <c:v>15.13</c:v>
                </c:pt>
                <c:pt idx="2">
                  <c:v>15.71</c:v>
                </c:pt>
                <c:pt idx="3">
                  <c:v>16.32</c:v>
                </c:pt>
                <c:pt idx="4">
                  <c:v>16.829999999999998</c:v>
                </c:pt>
                <c:pt idx="5">
                  <c:v>17.13</c:v>
                </c:pt>
                <c:pt idx="6">
                  <c:v>17.190000000000001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683-4D2B-A6E7-19F8021A3B58}"/>
            </c:ext>
          </c:extLst>
        </c:ser>
        <c:ser>
          <c:idx val="5"/>
          <c:order val="5"/>
          <c:tx>
            <c:strRef>
              <c:f>'13. 백신'!$D$35</c:f>
              <c:strCache>
                <c:ptCount val="1"/>
                <c:pt idx="0">
                  <c:v> 재조합(Recombinant)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'13. 백신'!$E$29:$K$29</c:f>
              <c:strCache>
                <c:ptCount val="7"/>
                <c:pt idx="0">
                  <c:v> 2021년 </c:v>
                </c:pt>
                <c:pt idx="1">
                  <c:v> 2022년 </c:v>
                </c:pt>
                <c:pt idx="2">
                  <c:v> 2023년 </c:v>
                </c:pt>
                <c:pt idx="3">
                  <c:v> 2024년 </c:v>
                </c:pt>
                <c:pt idx="4">
                  <c:v> 2025년 </c:v>
                </c:pt>
                <c:pt idx="5">
                  <c:v> 2026년 </c:v>
                </c:pt>
                <c:pt idx="6">
                  <c:v> 2027년 </c:v>
                </c:pt>
              </c:strCache>
            </c:strRef>
          </c:cat>
          <c:val>
            <c:numRef>
              <c:f>'13. 백신'!$E$35:$K$35</c:f>
              <c:numCache>
                <c:formatCode>General</c:formatCode>
                <c:ptCount val="7"/>
                <c:pt idx="0">
                  <c:v>2.97</c:v>
                </c:pt>
                <c:pt idx="1">
                  <c:v>3.63</c:v>
                </c:pt>
                <c:pt idx="2">
                  <c:v>4.8</c:v>
                </c:pt>
                <c:pt idx="3">
                  <c:v>6.41</c:v>
                </c:pt>
                <c:pt idx="4">
                  <c:v>8.83</c:v>
                </c:pt>
                <c:pt idx="5">
                  <c:v>12.5</c:v>
                </c:pt>
                <c:pt idx="6">
                  <c:v>17.38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683-4D2B-A6E7-19F8021A3B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759902928"/>
        <c:axId val="-759913808"/>
      </c:barChart>
      <c:catAx>
        <c:axId val="-759902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59913808"/>
        <c:crosses val="autoZero"/>
        <c:auto val="1"/>
        <c:lblAlgn val="ctr"/>
        <c:lblOffset val="100"/>
        <c:noMultiLvlLbl val="0"/>
      </c:catAx>
      <c:valAx>
        <c:axId val="-759913808"/>
        <c:scaling>
          <c:orientation val="minMax"/>
          <c:max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5990292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legend>
      <c:legendPos val="b"/>
      <c:layout>
        <c:manualLayout>
          <c:xMode val="edge"/>
          <c:yMode val="edge"/>
          <c:x val="5.3051706291022474E-3"/>
          <c:y val="0.9030497094277643"/>
          <c:w val="0.99293746556159357"/>
          <c:h val="9.69502905722356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67396626011905"/>
          <c:y val="0.11215710883421287"/>
          <c:w val="0.60217699400689229"/>
          <c:h val="0.79246446154021888"/>
        </c:manualLayout>
      </c:layout>
      <c:doughnutChart>
        <c:varyColors val="1"/>
        <c:ser>
          <c:idx val="0"/>
          <c:order val="0"/>
          <c:tx>
            <c:strRef>
              <c:f>'13. 백신'!$E$83</c:f>
              <c:strCache>
                <c:ptCount val="1"/>
                <c:pt idx="0">
                  <c:v> 2021년 시장 점유율(%) </c:v>
                </c:pt>
              </c:strCache>
            </c:strRef>
          </c:tx>
          <c:dPt>
            <c:idx val="0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499-4C4E-921F-26EC17F3962D}"/>
              </c:ext>
            </c:extLst>
          </c:dPt>
          <c:dPt>
            <c:idx val="1"/>
            <c:bubble3D val="0"/>
            <c:spPr>
              <a:solidFill>
                <a:srgbClr val="F4A42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499-4C4E-921F-26EC17F3962D}"/>
              </c:ext>
            </c:extLst>
          </c:dPt>
          <c:dPt>
            <c:idx val="2"/>
            <c:bubble3D val="0"/>
            <c:spPr>
              <a:solidFill>
                <a:srgbClr val="F4806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9-4C4E-921F-26EC17F3962D}"/>
              </c:ext>
            </c:extLst>
          </c:dPt>
          <c:dPt>
            <c:idx val="3"/>
            <c:bubble3D val="0"/>
            <c:spPr>
              <a:solidFill>
                <a:srgbClr val="F2665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499-4C4E-921F-26EC17F3962D}"/>
              </c:ext>
            </c:extLst>
          </c:dPt>
          <c:dPt>
            <c:idx val="4"/>
            <c:bubble3D val="0"/>
            <c:spPr>
              <a:solidFill>
                <a:srgbClr val="7E8DC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499-4C4E-921F-26EC17F3962D}"/>
              </c:ext>
            </c:extLst>
          </c:dPt>
          <c:dPt>
            <c:idx val="5"/>
            <c:bubble3D val="0"/>
            <c:spPr>
              <a:solidFill>
                <a:srgbClr val="95C55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499-4C4E-921F-26EC17F3962D}"/>
              </c:ext>
            </c:extLst>
          </c:dPt>
          <c:dPt>
            <c:idx val="6"/>
            <c:bubble3D val="0"/>
            <c:spPr>
              <a:solidFill>
                <a:srgbClr val="CCFFC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499-4C4E-921F-26EC17F3962D}"/>
              </c:ext>
            </c:extLst>
          </c:dPt>
          <c:dPt>
            <c:idx val="7"/>
            <c:bubble3D val="0"/>
            <c:spPr>
              <a:solidFill>
                <a:srgbClr val="3DA4D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499-4C4E-921F-26EC17F3962D}"/>
              </c:ext>
            </c:extLst>
          </c:dPt>
          <c:dLbls>
            <c:dLbl>
              <c:idx val="2"/>
              <c:layout>
                <c:manualLayout>
                  <c:x val="-8.2674778632041632E-2"/>
                  <c:y val="4.1555054566647397E-17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314085498415266"/>
                      <c:h val="0.2469305422292280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B499-4C4E-921F-26EC17F3962D}"/>
                </c:ext>
              </c:extLst>
            </c:dLbl>
            <c:dLbl>
              <c:idx val="4"/>
              <c:layout>
                <c:manualLayout>
                  <c:x val="-1.5631912134242338E-3"/>
                  <c:y val="1.19298225838117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499-4C4E-921F-26EC17F3962D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'13. 백신'!$D$84:$D$87</c:f>
              <c:strCache>
                <c:ptCount val="4"/>
                <c:pt idx="0">
                  <c:v> 북아메리카 </c:v>
                </c:pt>
                <c:pt idx="1">
                  <c:v> 유럽 </c:v>
                </c:pt>
                <c:pt idx="2">
                  <c:v> 아시아태평양 </c:v>
                </c:pt>
                <c:pt idx="3">
                  <c:v> 그외 지역  </c:v>
                </c:pt>
              </c:strCache>
            </c:strRef>
          </c:cat>
          <c:val>
            <c:numRef>
              <c:f>'13. 백신'!$E$84:$E$87</c:f>
              <c:numCache>
                <c:formatCode>#,##0.0</c:formatCode>
                <c:ptCount val="4"/>
                <c:pt idx="0">
                  <c:v>49</c:v>
                </c:pt>
                <c:pt idx="1">
                  <c:v>24</c:v>
                </c:pt>
                <c:pt idx="2">
                  <c:v>12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499-4C4E-921F-26EC17F39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87434186363859"/>
          <c:y val="6.6827691694697877E-2"/>
          <c:w val="0.55729469127625431"/>
          <c:h val="0.87324117844425819"/>
        </c:manualLayout>
      </c:layout>
      <c:doughnutChart>
        <c:varyColors val="1"/>
        <c:ser>
          <c:idx val="1"/>
          <c:order val="1"/>
          <c:tx>
            <c:strRef>
              <c:f>'13. 백신'!$F$56</c:f>
              <c:strCache>
                <c:ptCount val="1"/>
                <c:pt idx="0">
                  <c:v> 점유율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35D-48A8-A065-6E804DCF4F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35D-48A8-A065-6E804DCF4F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35D-48A8-A065-6E804DCF4F6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35D-48A8-A065-6E804DCF4F6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BD29-44FC-AE7D-37BD207D332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'13. 백신'!$D$57:$D$61</c:f>
              <c:strCache>
                <c:ptCount val="5"/>
                <c:pt idx="0">
                  <c:v> Bacterial Fermentation </c:v>
                </c:pt>
                <c:pt idx="1">
                  <c:v>Yeast Fermentation
</c:v>
                </c:pt>
                <c:pt idx="2">
                  <c:v>Cell Culture</c:v>
                </c:pt>
                <c:pt idx="3">
                  <c:v>Egg-based</c:v>
                </c:pt>
                <c:pt idx="4">
                  <c:v>Combination</c:v>
                </c:pt>
              </c:strCache>
            </c:strRef>
          </c:cat>
          <c:val>
            <c:numRef>
              <c:f>'13. 백신'!$F$57:$F$61</c:f>
              <c:numCache>
                <c:formatCode>0.0%</c:formatCode>
                <c:ptCount val="5"/>
                <c:pt idx="0">
                  <c:v>0.38195201744820068</c:v>
                </c:pt>
                <c:pt idx="1">
                  <c:v>0.11314067611777537</c:v>
                </c:pt>
                <c:pt idx="2">
                  <c:v>0.24536532170119957</c:v>
                </c:pt>
                <c:pt idx="3">
                  <c:v>0.11205016357688115</c:v>
                </c:pt>
                <c:pt idx="4">
                  <c:v>0.14721919302071976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D29-44FC-AE7D-37BD207D33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'13. 백신'!$E$56</c15:sqref>
                        </c15:formulaRef>
                      </c:ext>
                    </c:extLst>
                    <c:strCache>
                      <c:ptCount val="1"/>
                      <c:pt idx="0">
                        <c:v> 시장 규모 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4">
                        <a:lumMod val="40000"/>
                        <a:lumOff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1-BD29-44FC-AE7D-37BD207D3329}"/>
                    </c:ext>
                  </c:extLst>
                </c:dPt>
                <c:dPt>
                  <c:idx val="1"/>
                  <c:bubble3D val="0"/>
                  <c:spPr>
                    <a:solidFill>
                      <a:srgbClr val="F4A42A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3-BD29-44FC-AE7D-37BD207D3329}"/>
                    </c:ext>
                  </c:extLst>
                </c:dPt>
                <c:dPt>
                  <c:idx val="2"/>
                  <c:bubble3D val="0"/>
                  <c:spPr>
                    <a:solidFill>
                      <a:srgbClr val="F4806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5-BD29-44FC-AE7D-37BD207D3329}"/>
                    </c:ext>
                  </c:extLst>
                </c:dPt>
                <c:dPt>
                  <c:idx val="3"/>
                  <c:bubble3D val="0"/>
                  <c:spPr>
                    <a:solidFill>
                      <a:srgbClr val="F2665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7-BD29-44FC-AE7D-37BD207D3329}"/>
                    </c:ext>
                  </c:extLst>
                </c:dPt>
                <c:dPt>
                  <c:idx val="4"/>
                  <c:bubble3D val="0"/>
                  <c:spPr>
                    <a:solidFill>
                      <a:srgbClr val="7E8DC7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9-BD29-44FC-AE7D-37BD207D3329}"/>
                    </c:ext>
                  </c:extLst>
                </c:dPt>
                <c:dPt>
                  <c:idx val="5"/>
                  <c:bubble3D val="0"/>
                  <c:spPr>
                    <a:solidFill>
                      <a:srgbClr val="95C55F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B-BD29-44FC-AE7D-37BD207D3329}"/>
                    </c:ext>
                  </c:extLst>
                </c:dPt>
                <c:dPt>
                  <c:idx val="6"/>
                  <c:bubble3D val="0"/>
                  <c:spPr>
                    <a:solidFill>
                      <a:srgbClr val="CCFFCC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D-BD29-44FC-AE7D-37BD207D3329}"/>
                    </c:ext>
                  </c:extLst>
                </c:dPt>
                <c:dPt>
                  <c:idx val="7"/>
                  <c:bubble3D val="0"/>
                  <c:spPr>
                    <a:solidFill>
                      <a:srgbClr val="3DA4D9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F-BD29-44FC-AE7D-37BD207D3329}"/>
                    </c:ext>
                  </c:extLst>
                </c:dPt>
                <c:dLbls>
                  <c:dLbl>
                    <c:idx val="4"/>
                    <c:layout>
                      <c:manualLayout>
                        <c:x val="-1.5631912134242338E-3"/>
                        <c:y val="1.19298225838117E-2"/>
                      </c:manualLayout>
                    </c:layout>
                    <c:showLegendKey val="0"/>
                    <c:showVal val="0"/>
                    <c:showCatName val="0"/>
                    <c:showSerName val="0"/>
                    <c:showPercent val="1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9-BD29-44FC-AE7D-37BD207D3329}"/>
                      </c:ext>
                    </c:extLst>
                  </c:dLbl>
                  <c:numFmt formatCode="0.0%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1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'13. 백신'!$D$57:$D$61</c15:sqref>
                        </c15:formulaRef>
                      </c:ext>
                    </c:extLst>
                    <c:strCache>
                      <c:ptCount val="5"/>
                      <c:pt idx="0">
                        <c:v> Bacterial Fermentation </c:v>
                      </c:pt>
                      <c:pt idx="1">
                        <c:v>Yeast Fermentation
</c:v>
                      </c:pt>
                      <c:pt idx="2">
                        <c:v>Cell Culture</c:v>
                      </c:pt>
                      <c:pt idx="3">
                        <c:v>Egg-based</c:v>
                      </c:pt>
                      <c:pt idx="4">
                        <c:v>Combination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'13. 백신'!$E$57:$E$61</c15:sqref>
                        </c15:formulaRef>
                      </c:ext>
                    </c:extLst>
                    <c:numCache>
                      <c:formatCode>#,##0.00</c:formatCode>
                      <c:ptCount val="5"/>
                      <c:pt idx="0">
                        <c:v>14.01</c:v>
                      </c:pt>
                      <c:pt idx="1">
                        <c:v>4.1500000000000004</c:v>
                      </c:pt>
                      <c:pt idx="2">
                        <c:v>9</c:v>
                      </c:pt>
                      <c:pt idx="3">
                        <c:v>4.1100000000000003</c:v>
                      </c:pt>
                      <c:pt idx="4">
                        <c:v>5.4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0-BD29-44FC-AE7D-37BD207D3329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67396626011905"/>
          <c:y val="4.1323920768728192E-2"/>
          <c:w val="0.61195845649564151"/>
          <c:h val="0.8632977706245119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'13. 백신'!$D$110</c:f>
              <c:strCache>
                <c:ptCount val="1"/>
                <c:pt idx="0">
                  <c:v>GlaxoSmithKline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47D-40B3-A810-0C8DA3D3685E}"/>
              </c:ext>
            </c:extLst>
          </c:dPt>
          <c:dPt>
            <c:idx val="1"/>
            <c:invertIfNegative val="0"/>
            <c:bubble3D val="0"/>
            <c:spPr>
              <a:solidFill>
                <a:srgbClr val="F4A42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47D-40B3-A810-0C8DA3D3685E}"/>
              </c:ext>
            </c:extLst>
          </c:dPt>
          <c:dPt>
            <c:idx val="2"/>
            <c:invertIfNegative val="0"/>
            <c:bubble3D val="0"/>
            <c:spPr>
              <a:solidFill>
                <a:srgbClr val="F4806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47D-40B3-A810-0C8DA3D3685E}"/>
              </c:ext>
            </c:extLst>
          </c:dPt>
          <c:dPt>
            <c:idx val="3"/>
            <c:invertIfNegative val="0"/>
            <c:bubble3D val="0"/>
            <c:spPr>
              <a:solidFill>
                <a:srgbClr val="F2665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47D-40B3-A810-0C8DA3D3685E}"/>
              </c:ext>
            </c:extLst>
          </c:dPt>
          <c:dPt>
            <c:idx val="4"/>
            <c:invertIfNegative val="0"/>
            <c:bubble3D val="0"/>
            <c:spPr>
              <a:solidFill>
                <a:srgbClr val="7E8DC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47D-40B3-A810-0C8DA3D3685E}"/>
              </c:ext>
            </c:extLst>
          </c:dPt>
          <c:dPt>
            <c:idx val="5"/>
            <c:invertIfNegative val="0"/>
            <c:bubble3D val="0"/>
            <c:spPr>
              <a:solidFill>
                <a:srgbClr val="95C55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47D-40B3-A810-0C8DA3D3685E}"/>
              </c:ext>
            </c:extLst>
          </c:dPt>
          <c:dPt>
            <c:idx val="6"/>
            <c:invertIfNegative val="0"/>
            <c:bubble3D val="0"/>
            <c:spPr>
              <a:solidFill>
                <a:srgbClr val="CCFFC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547D-40B3-A810-0C8DA3D3685E}"/>
              </c:ext>
            </c:extLst>
          </c:dPt>
          <c:dPt>
            <c:idx val="7"/>
            <c:invertIfNegative val="0"/>
            <c:bubble3D val="0"/>
            <c:spPr>
              <a:solidFill>
                <a:srgbClr val="3DA4D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547D-40B3-A810-0C8DA3D3685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'13. 백신'!$E$109</c:f>
              <c:strCache>
                <c:ptCount val="1"/>
                <c:pt idx="0">
                  <c:v> 2021년 시장 점유율(%) </c:v>
                </c:pt>
              </c:strCache>
            </c:strRef>
          </c:cat>
          <c:val>
            <c:numRef>
              <c:f>'13. 백신'!$E$110</c:f>
              <c:numCache>
                <c:formatCode>#,##0.0</c:formatCode>
                <c:ptCount val="1"/>
                <c:pt idx="0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47D-40B3-A810-0C8DA3D3685E}"/>
            </c:ext>
          </c:extLst>
        </c:ser>
        <c:ser>
          <c:idx val="1"/>
          <c:order val="1"/>
          <c:tx>
            <c:strRef>
              <c:f>'13. 백신'!$D$111</c:f>
              <c:strCache>
                <c:ptCount val="1"/>
                <c:pt idx="0">
                  <c:v>Merck &amp; Co.</c:v>
                </c:pt>
              </c:strCache>
            </c:strRef>
          </c:tx>
          <c:spPr>
            <a:solidFill>
              <a:schemeClr val="accent2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'13. 백신'!$E$109</c:f>
              <c:strCache>
                <c:ptCount val="1"/>
                <c:pt idx="0">
                  <c:v> 2021년 시장 점유율(%) </c:v>
                </c:pt>
              </c:strCache>
            </c:strRef>
          </c:cat>
          <c:val>
            <c:numRef>
              <c:f>'13. 백신'!$E$111</c:f>
              <c:numCache>
                <c:formatCode>#,##0.0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547D-40B3-A810-0C8DA3D3685E}"/>
            </c:ext>
          </c:extLst>
        </c:ser>
        <c:ser>
          <c:idx val="2"/>
          <c:order val="2"/>
          <c:tx>
            <c:strRef>
              <c:f>'13. 백신'!$D$112</c:f>
              <c:strCache>
                <c:ptCount val="1"/>
                <c:pt idx="0">
                  <c:v>Pfizer </c:v>
                </c:pt>
              </c:strCache>
            </c:strRef>
          </c:tx>
          <c:spPr>
            <a:solidFill>
              <a:schemeClr val="accent3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'13. 백신'!$E$109</c:f>
              <c:strCache>
                <c:ptCount val="1"/>
                <c:pt idx="0">
                  <c:v> 2021년 시장 점유율(%) </c:v>
                </c:pt>
              </c:strCache>
            </c:strRef>
          </c:cat>
          <c:val>
            <c:numRef>
              <c:f>'13. 백신'!$E$112</c:f>
              <c:numCache>
                <c:formatCode>#,##0.0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547D-40B3-A810-0C8DA3D3685E}"/>
            </c:ext>
          </c:extLst>
        </c:ser>
        <c:ser>
          <c:idx val="3"/>
          <c:order val="3"/>
          <c:tx>
            <c:strRef>
              <c:f>'13. 백신'!$D$113</c:f>
              <c:strCache>
                <c:ptCount val="1"/>
                <c:pt idx="0">
                  <c:v> Sanofi Pasteur </c:v>
                </c:pt>
              </c:strCache>
            </c:strRef>
          </c:tx>
          <c:spPr>
            <a:solidFill>
              <a:schemeClr val="accent4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'13. 백신'!$E$109</c:f>
              <c:strCache>
                <c:ptCount val="1"/>
                <c:pt idx="0">
                  <c:v> 2021년 시장 점유율(%) </c:v>
                </c:pt>
              </c:strCache>
            </c:strRef>
          </c:cat>
          <c:val>
            <c:numRef>
              <c:f>'13. 백신'!$E$113</c:f>
              <c:numCache>
                <c:formatCode>#,##0.0</c:formatCode>
                <c:ptCount val="1"/>
                <c:pt idx="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47D-40B3-A810-0C8DA3D3685E}"/>
            </c:ext>
          </c:extLst>
        </c:ser>
        <c:ser>
          <c:idx val="4"/>
          <c:order val="4"/>
          <c:tx>
            <c:strRef>
              <c:f>'13. 백신'!$D$114</c:f>
              <c:strCache>
                <c:ptCount val="1"/>
                <c:pt idx="0">
                  <c:v>Others*</c:v>
                </c:pt>
              </c:strCache>
            </c:strRef>
          </c:tx>
          <c:spPr>
            <a:solidFill>
              <a:schemeClr val="accent5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'13. 백신'!$E$109</c:f>
              <c:strCache>
                <c:ptCount val="1"/>
                <c:pt idx="0">
                  <c:v> 2021년 시장 점유율(%) </c:v>
                </c:pt>
              </c:strCache>
            </c:strRef>
          </c:cat>
          <c:val>
            <c:numRef>
              <c:f>'13. 백신'!$E$114</c:f>
              <c:numCache>
                <c:formatCode>#,##0.0</c:formatCode>
                <c:ptCount val="1"/>
                <c:pt idx="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547D-40B3-A810-0C8DA3D36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897036671"/>
        <c:axId val="897022527"/>
      </c:barChart>
      <c:catAx>
        <c:axId val="8970366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97022527"/>
        <c:crosses val="autoZero"/>
        <c:auto val="1"/>
        <c:lblAlgn val="ctr"/>
        <c:lblOffset val="100"/>
        <c:noMultiLvlLbl val="0"/>
      </c:catAx>
      <c:valAx>
        <c:axId val="897022527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97036671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985398789805585E-2"/>
          <c:y val="7.9850913889907574E-2"/>
          <c:w val="0.9333726259678593"/>
          <c:h val="0.781663876690108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'13. 백신'!$E$137:$K$137</c:f>
              <c:strCache>
                <c:ptCount val="7"/>
                <c:pt idx="0">
                  <c:v> 2021년 </c:v>
                </c:pt>
                <c:pt idx="1">
                  <c:v> 2022년 </c:v>
                </c:pt>
                <c:pt idx="2">
                  <c:v> 2023년 </c:v>
                </c:pt>
                <c:pt idx="3">
                  <c:v> 2024년 </c:v>
                </c:pt>
                <c:pt idx="4">
                  <c:v> 2025년 </c:v>
                </c:pt>
                <c:pt idx="5">
                  <c:v> 2026년 </c:v>
                </c:pt>
                <c:pt idx="6">
                  <c:v> 2027년 </c:v>
                </c:pt>
              </c:strCache>
            </c:strRef>
          </c:cat>
          <c:val>
            <c:numRef>
              <c:f>'13. 백신'!$E$138:$K$138</c:f>
              <c:numCache>
                <c:formatCode>General</c:formatCode>
                <c:ptCount val="7"/>
                <c:pt idx="0">
                  <c:v>115.4</c:v>
                </c:pt>
                <c:pt idx="1">
                  <c:v>119.23</c:v>
                </c:pt>
                <c:pt idx="2">
                  <c:v>120.2</c:v>
                </c:pt>
                <c:pt idx="3">
                  <c:v>101.12</c:v>
                </c:pt>
                <c:pt idx="4">
                  <c:v>90.91</c:v>
                </c:pt>
                <c:pt idx="5">
                  <c:v>83.98</c:v>
                </c:pt>
                <c:pt idx="6">
                  <c:v>78.08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A3-4581-A68B-77D688939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-759903472"/>
        <c:axId val="-759919792"/>
      </c:barChart>
      <c:catAx>
        <c:axId val="-759903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59919792"/>
        <c:crosses val="autoZero"/>
        <c:auto val="1"/>
        <c:lblAlgn val="ctr"/>
        <c:lblOffset val="100"/>
        <c:noMultiLvlLbl val="0"/>
      </c:catAx>
      <c:valAx>
        <c:axId val="-759919792"/>
        <c:scaling>
          <c:orientation val="minMax"/>
          <c:max val="1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59903472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67396626011905"/>
          <c:y val="0.11215710883421287"/>
          <c:w val="0.60217699400689229"/>
          <c:h val="0.79246446154021888"/>
        </c:manualLayout>
      </c:layout>
      <c:doughnutChart>
        <c:varyColors val="1"/>
        <c:ser>
          <c:idx val="0"/>
          <c:order val="0"/>
          <c:tx>
            <c:strRef>
              <c:f>'13. 백신'!$E$214</c:f>
              <c:strCache>
                <c:ptCount val="1"/>
                <c:pt idx="0">
                  <c:v> 2021년 시장 점유율(%) </c:v>
                </c:pt>
              </c:strCache>
            </c:strRef>
          </c:tx>
          <c:dPt>
            <c:idx val="0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B04-4690-903F-34105304CBE1}"/>
              </c:ext>
            </c:extLst>
          </c:dPt>
          <c:dPt>
            <c:idx val="1"/>
            <c:bubble3D val="0"/>
            <c:spPr>
              <a:solidFill>
                <a:srgbClr val="F4A42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B04-4690-903F-34105304CBE1}"/>
              </c:ext>
            </c:extLst>
          </c:dPt>
          <c:dPt>
            <c:idx val="2"/>
            <c:bubble3D val="0"/>
            <c:spPr>
              <a:solidFill>
                <a:srgbClr val="F4806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B04-4690-903F-34105304CBE1}"/>
              </c:ext>
            </c:extLst>
          </c:dPt>
          <c:dPt>
            <c:idx val="3"/>
            <c:bubble3D val="0"/>
            <c:spPr>
              <a:solidFill>
                <a:srgbClr val="F2665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B04-4690-903F-34105304CBE1}"/>
              </c:ext>
            </c:extLst>
          </c:dPt>
          <c:dPt>
            <c:idx val="4"/>
            <c:bubble3D val="0"/>
            <c:spPr>
              <a:solidFill>
                <a:srgbClr val="7E8DC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B04-4690-903F-34105304CBE1}"/>
              </c:ext>
            </c:extLst>
          </c:dPt>
          <c:dPt>
            <c:idx val="5"/>
            <c:bubble3D val="0"/>
            <c:spPr>
              <a:solidFill>
                <a:srgbClr val="95C55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B04-4690-903F-34105304CBE1}"/>
              </c:ext>
            </c:extLst>
          </c:dPt>
          <c:dPt>
            <c:idx val="6"/>
            <c:bubble3D val="0"/>
            <c:spPr>
              <a:solidFill>
                <a:srgbClr val="CCFFC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B04-4690-903F-34105304CBE1}"/>
              </c:ext>
            </c:extLst>
          </c:dPt>
          <c:dPt>
            <c:idx val="7"/>
            <c:bubble3D val="0"/>
            <c:spPr>
              <a:solidFill>
                <a:srgbClr val="3DA4D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B04-4690-903F-34105304CBE1}"/>
              </c:ext>
            </c:extLst>
          </c:dPt>
          <c:dLbls>
            <c:dLbl>
              <c:idx val="2"/>
              <c:layout>
                <c:manualLayout>
                  <c:x val="-8.2674778632041632E-2"/>
                  <c:y val="4.1555054566647397E-17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314085498415266"/>
                      <c:h val="0.2469305422292280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4B04-4690-903F-34105304CBE1}"/>
                </c:ext>
              </c:extLst>
            </c:dLbl>
            <c:dLbl>
              <c:idx val="4"/>
              <c:layout>
                <c:manualLayout>
                  <c:x val="-1.5631912134242338E-3"/>
                  <c:y val="1.19298225838117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B04-4690-903F-34105304CBE1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'13. 백신'!$D$215:$D$218</c:f>
              <c:strCache>
                <c:ptCount val="4"/>
                <c:pt idx="0">
                  <c:v> 북아메리카 </c:v>
                </c:pt>
                <c:pt idx="1">
                  <c:v> 유럽 </c:v>
                </c:pt>
                <c:pt idx="2">
                  <c:v> 아시아태평양 </c:v>
                </c:pt>
                <c:pt idx="3">
                  <c:v> 그외 지역  </c:v>
                </c:pt>
              </c:strCache>
            </c:strRef>
          </c:cat>
          <c:val>
            <c:numRef>
              <c:f>'13. 백신'!$E$215:$E$218</c:f>
              <c:numCache>
                <c:formatCode>#,##0.0</c:formatCode>
                <c:ptCount val="4"/>
                <c:pt idx="0">
                  <c:v>46.2</c:v>
                </c:pt>
                <c:pt idx="1">
                  <c:v>23.7</c:v>
                </c:pt>
                <c:pt idx="2">
                  <c:v>15.2</c:v>
                </c:pt>
                <c:pt idx="3">
                  <c:v>14.8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B04-4690-903F-34105304C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87434186363859"/>
          <c:y val="6.6827691694697877E-2"/>
          <c:w val="0.55729469127625431"/>
          <c:h val="0.87324117844425819"/>
        </c:manualLayout>
      </c:layout>
      <c:doughnutChart>
        <c:varyColors val="1"/>
        <c:ser>
          <c:idx val="0"/>
          <c:order val="0"/>
          <c:tx>
            <c:strRef>
              <c:f>'13. 백신'!$F$187</c:f>
              <c:strCache>
                <c:ptCount val="1"/>
                <c:pt idx="0">
                  <c:v> 점유율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CD4B-4044-A23F-F596951F18E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CD4B-4044-A23F-F596951F18E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F7A-456E-B94C-08755117D716}"/>
              </c:ext>
            </c:extLst>
          </c:dPt>
          <c:dLbls>
            <c:dLbl>
              <c:idx val="1"/>
              <c:layout>
                <c:manualLayout>
                  <c:x val="-8.5427119904249879E-2"/>
                  <c:y val="-4.4270816085435006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CD4B-4044-A23F-F596951F18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'13. 백신'!$D$188:$D$190</c:f>
              <c:strCache>
                <c:ptCount val="3"/>
                <c:pt idx="0">
                  <c:v> Bacterial Fermentation </c:v>
                </c:pt>
                <c:pt idx="1">
                  <c:v>Cell Culture</c:v>
                </c:pt>
                <c:pt idx="2">
                  <c:v>기타 </c:v>
                </c:pt>
              </c:strCache>
            </c:strRef>
          </c:cat>
          <c:val>
            <c:numRef>
              <c:f>'13. 백신'!$F$188:$F$190</c:f>
              <c:numCache>
                <c:formatCode>0.0%</c:formatCode>
                <c:ptCount val="3"/>
                <c:pt idx="0">
                  <c:v>0.47660311958405549</c:v>
                </c:pt>
                <c:pt idx="1">
                  <c:v>0.46421143847487006</c:v>
                </c:pt>
                <c:pt idx="2">
                  <c:v>5.9185441941074529E-2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D4B-4044-A23F-F596951F18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  <c:extLst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67396626011905"/>
          <c:y val="4.1323920768728192E-2"/>
          <c:w val="0.61195845649564151"/>
          <c:h val="0.8632977706245119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'13. 백신'!$D$241</c:f>
              <c:strCache>
                <c:ptCount val="1"/>
                <c:pt idx="0">
                  <c:v>Pfizer/BioNTech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E3-40F7-82CB-A462F51FF791}"/>
              </c:ext>
            </c:extLst>
          </c:dPt>
          <c:dPt>
            <c:idx val="1"/>
            <c:invertIfNegative val="0"/>
            <c:bubble3D val="0"/>
            <c:spPr>
              <a:solidFill>
                <a:srgbClr val="F4A42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E3-40F7-82CB-A462F51FF791}"/>
              </c:ext>
            </c:extLst>
          </c:dPt>
          <c:dPt>
            <c:idx val="2"/>
            <c:invertIfNegative val="0"/>
            <c:bubble3D val="0"/>
            <c:spPr>
              <a:solidFill>
                <a:srgbClr val="F4806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1E3-40F7-82CB-A462F51FF791}"/>
              </c:ext>
            </c:extLst>
          </c:dPt>
          <c:dPt>
            <c:idx val="3"/>
            <c:invertIfNegative val="0"/>
            <c:bubble3D val="0"/>
            <c:spPr>
              <a:solidFill>
                <a:srgbClr val="F2665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1E3-40F7-82CB-A462F51FF791}"/>
              </c:ext>
            </c:extLst>
          </c:dPt>
          <c:dPt>
            <c:idx val="4"/>
            <c:invertIfNegative val="0"/>
            <c:bubble3D val="0"/>
            <c:spPr>
              <a:solidFill>
                <a:srgbClr val="7E8DC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1E3-40F7-82CB-A462F51FF791}"/>
              </c:ext>
            </c:extLst>
          </c:dPt>
          <c:dPt>
            <c:idx val="5"/>
            <c:invertIfNegative val="0"/>
            <c:bubble3D val="0"/>
            <c:spPr>
              <a:solidFill>
                <a:srgbClr val="95C55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1E3-40F7-82CB-A462F51FF791}"/>
              </c:ext>
            </c:extLst>
          </c:dPt>
          <c:dPt>
            <c:idx val="6"/>
            <c:invertIfNegative val="0"/>
            <c:bubble3D val="0"/>
            <c:spPr>
              <a:solidFill>
                <a:srgbClr val="CCFFC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71E3-40F7-82CB-A462F51FF791}"/>
              </c:ext>
            </c:extLst>
          </c:dPt>
          <c:dPt>
            <c:idx val="7"/>
            <c:invertIfNegative val="0"/>
            <c:bubble3D val="0"/>
            <c:spPr>
              <a:solidFill>
                <a:srgbClr val="3DA4D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71E3-40F7-82CB-A462F51FF79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'13. 백신'!$E$240</c:f>
              <c:strCache>
                <c:ptCount val="1"/>
                <c:pt idx="0">
                  <c:v> 2021년 시장 점유율(%) </c:v>
                </c:pt>
              </c:strCache>
            </c:strRef>
          </c:cat>
          <c:val>
            <c:numRef>
              <c:f>'13. 백신'!$E$241</c:f>
              <c:numCache>
                <c:formatCode>#,##0.0</c:formatCode>
                <c:ptCount val="1"/>
                <c:pt idx="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1E3-40F7-82CB-A462F51FF791}"/>
            </c:ext>
          </c:extLst>
        </c:ser>
        <c:ser>
          <c:idx val="1"/>
          <c:order val="1"/>
          <c:tx>
            <c:strRef>
              <c:f>'13. 백신'!$D$242</c:f>
              <c:strCache>
                <c:ptCount val="1"/>
                <c:pt idx="0">
                  <c:v>Moderna</c:v>
                </c:pt>
              </c:strCache>
            </c:strRef>
          </c:tx>
          <c:spPr>
            <a:solidFill>
              <a:schemeClr val="accent2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'13. 백신'!$E$240</c:f>
              <c:strCache>
                <c:ptCount val="1"/>
                <c:pt idx="0">
                  <c:v> 2021년 시장 점유율(%) </c:v>
                </c:pt>
              </c:strCache>
            </c:strRef>
          </c:cat>
          <c:val>
            <c:numRef>
              <c:f>'13. 백신'!$E$242</c:f>
              <c:numCache>
                <c:formatCode>#,##0.0</c:formatCode>
                <c:ptCount val="1"/>
                <c:pt idx="0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1E3-40F7-82CB-A462F51FF791}"/>
            </c:ext>
          </c:extLst>
        </c:ser>
        <c:ser>
          <c:idx val="2"/>
          <c:order val="2"/>
          <c:tx>
            <c:strRef>
              <c:f>'13. 백신'!$D$243</c:f>
              <c:strCache>
                <c:ptCount val="1"/>
                <c:pt idx="0">
                  <c:v>Sinovac Biotech</c:v>
                </c:pt>
              </c:strCache>
            </c:strRef>
          </c:tx>
          <c:spPr>
            <a:solidFill>
              <a:schemeClr val="accent3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'13. 백신'!$E$240</c:f>
              <c:strCache>
                <c:ptCount val="1"/>
                <c:pt idx="0">
                  <c:v> 2021년 시장 점유율(%) </c:v>
                </c:pt>
              </c:strCache>
            </c:strRef>
          </c:cat>
          <c:val>
            <c:numRef>
              <c:f>'13. 백신'!$E$243</c:f>
              <c:numCache>
                <c:formatCode>#,##0.0</c:formatCode>
                <c:ptCount val="1"/>
                <c:pt idx="0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71E3-40F7-82CB-A462F51FF791}"/>
            </c:ext>
          </c:extLst>
        </c:ser>
        <c:ser>
          <c:idx val="3"/>
          <c:order val="3"/>
          <c:tx>
            <c:strRef>
              <c:f>'13. 백신'!$D$244</c:f>
              <c:strCache>
                <c:ptCount val="1"/>
                <c:pt idx="0">
                  <c:v> Sinopharm </c:v>
                </c:pt>
              </c:strCache>
            </c:strRef>
          </c:tx>
          <c:spPr>
            <a:solidFill>
              <a:schemeClr val="accent4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'13. 백신'!$E$240</c:f>
              <c:strCache>
                <c:ptCount val="1"/>
                <c:pt idx="0">
                  <c:v> 2021년 시장 점유율(%) </c:v>
                </c:pt>
              </c:strCache>
            </c:strRef>
          </c:cat>
          <c:val>
            <c:numRef>
              <c:f>'13. 백신'!$E$244</c:f>
              <c:numCache>
                <c:formatCode>#,##0.0</c:formatCode>
                <c:ptCount val="1"/>
                <c:pt idx="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71E3-40F7-82CB-A462F51FF791}"/>
            </c:ext>
          </c:extLst>
        </c:ser>
        <c:ser>
          <c:idx val="4"/>
          <c:order val="4"/>
          <c:tx>
            <c:strRef>
              <c:f>'13. 백신'!$D$245</c:f>
              <c:strCache>
                <c:ptCount val="1"/>
                <c:pt idx="0">
                  <c:v>Others*</c:v>
                </c:pt>
              </c:strCache>
            </c:strRef>
          </c:tx>
          <c:spPr>
            <a:solidFill>
              <a:schemeClr val="accent5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'13. 백신'!$E$240</c:f>
              <c:strCache>
                <c:ptCount val="1"/>
                <c:pt idx="0">
                  <c:v> 2021년 시장 점유율(%) </c:v>
                </c:pt>
              </c:strCache>
            </c:strRef>
          </c:cat>
          <c:val>
            <c:numRef>
              <c:f>'13. 백신'!$E$245</c:f>
              <c:numCache>
                <c:formatCode>#,##0.0</c:formatCode>
                <c:ptCount val="1"/>
                <c:pt idx="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71E3-40F7-82CB-A462F51FF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897030431"/>
        <c:axId val="897031263"/>
      </c:barChart>
      <c:catAx>
        <c:axId val="8970304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97031263"/>
        <c:crosses val="autoZero"/>
        <c:auto val="1"/>
        <c:lblAlgn val="ctr"/>
        <c:lblOffset val="100"/>
        <c:noMultiLvlLbl val="0"/>
      </c:catAx>
      <c:valAx>
        <c:axId val="897031263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970304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67397894292888"/>
          <c:y val="0.10971483213687996"/>
          <c:w val="0.60149696093700233"/>
          <c:h val="0.84261358806385345"/>
        </c:manualLayout>
      </c:layout>
      <c:doughnutChart>
        <c:varyColors val="1"/>
        <c:ser>
          <c:idx val="0"/>
          <c:order val="0"/>
          <c:tx>
            <c:strRef>
              <c:f>'13. 백신'!$F$160</c:f>
              <c:strCache>
                <c:ptCount val="1"/>
                <c:pt idx="0">
                  <c:v> 점유율 </c:v>
                </c:pt>
              </c:strCache>
            </c:strRef>
          </c:tx>
          <c:dPt>
            <c:idx val="0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0B7-4BEF-B418-91BEE6BD0F23}"/>
              </c:ext>
            </c:extLst>
          </c:dPt>
          <c:dPt>
            <c:idx val="1"/>
            <c:bubble3D val="0"/>
            <c:spPr>
              <a:solidFill>
                <a:srgbClr val="F4A42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0B7-4BEF-B418-91BEE6BD0F23}"/>
              </c:ext>
            </c:extLst>
          </c:dPt>
          <c:dPt>
            <c:idx val="2"/>
            <c:bubble3D val="0"/>
            <c:spPr>
              <a:solidFill>
                <a:srgbClr val="F4806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0B7-4BEF-B418-91BEE6BD0F23}"/>
              </c:ext>
            </c:extLst>
          </c:dPt>
          <c:dPt>
            <c:idx val="3"/>
            <c:bubble3D val="0"/>
            <c:spPr>
              <a:solidFill>
                <a:srgbClr val="F2665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0B7-4BEF-B418-91BEE6BD0F23}"/>
              </c:ext>
            </c:extLst>
          </c:dPt>
          <c:dPt>
            <c:idx val="4"/>
            <c:bubble3D val="0"/>
            <c:spPr>
              <a:solidFill>
                <a:srgbClr val="7E8DC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0B7-4BEF-B418-91BEE6BD0F23}"/>
              </c:ext>
            </c:extLst>
          </c:dPt>
          <c:dPt>
            <c:idx val="5"/>
            <c:bubble3D val="0"/>
            <c:spPr>
              <a:solidFill>
                <a:srgbClr val="95C55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0B7-4BEF-B418-91BEE6BD0F23}"/>
              </c:ext>
            </c:extLst>
          </c:dPt>
          <c:dPt>
            <c:idx val="6"/>
            <c:bubble3D val="0"/>
            <c:spPr>
              <a:solidFill>
                <a:srgbClr val="CCFFC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0B7-4BEF-B418-91BEE6BD0F23}"/>
              </c:ext>
            </c:extLst>
          </c:dPt>
          <c:dPt>
            <c:idx val="7"/>
            <c:bubble3D val="0"/>
            <c:spPr>
              <a:solidFill>
                <a:srgbClr val="3DA4D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0B7-4BEF-B418-91BEE6BD0F23}"/>
              </c:ext>
            </c:extLst>
          </c:dPt>
          <c:dLbls>
            <c:dLbl>
              <c:idx val="0"/>
              <c:layout>
                <c:manualLayout>
                  <c:x val="9.8602052987550957E-3"/>
                  <c:y val="-2.8626411520724742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50136752875340396"/>
                      <c:h val="0.1962479881439931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0B7-4BEF-B418-91BEE6BD0F23}"/>
                </c:ext>
              </c:extLst>
            </c:dLbl>
            <c:dLbl>
              <c:idx val="1"/>
              <c:layout>
                <c:manualLayout>
                  <c:x val="7.1159332999868985E-2"/>
                  <c:y val="2.2666698764386841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9442466222675193"/>
                      <c:h val="0.1962479881439931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40B7-4BEF-B418-91BEE6BD0F23}"/>
                </c:ext>
              </c:extLst>
            </c:dLbl>
            <c:dLbl>
              <c:idx val="2"/>
              <c:layout>
                <c:manualLayout>
                  <c:x val="8.9477046273445257E-2"/>
                  <c:y val="9.1071343202715316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314085498415266"/>
                      <c:h val="0.2469305422292280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40B7-4BEF-B418-91BEE6BD0F23}"/>
                </c:ext>
              </c:extLst>
            </c:dLbl>
            <c:dLbl>
              <c:idx val="3"/>
              <c:layout>
                <c:manualLayout>
                  <c:x val="-2.6800703939412002E-2"/>
                  <c:y val="4.3520286596709923E-8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9024145036837848"/>
                      <c:h val="0.1962479881439931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40B7-4BEF-B418-91BEE6BD0F23}"/>
                </c:ext>
              </c:extLst>
            </c:dLbl>
            <c:dLbl>
              <c:idx val="4"/>
              <c:layout>
                <c:manualLayout>
                  <c:x val="-1.5631912134242338E-3"/>
                  <c:y val="1.19298225838117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0B7-4BEF-B418-91BEE6BD0F23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'13. 백신'!$D$161:$D$164</c:f>
              <c:strCache>
                <c:ptCount val="4"/>
                <c:pt idx="0">
                  <c:v> 바이러스벡터Viral Vector) </c:v>
                </c:pt>
                <c:pt idx="1">
                  <c:v> 불활성화(Inactivated)  </c:v>
                </c:pt>
                <c:pt idx="2">
                  <c:v> 아단위(Subunit) </c:v>
                </c:pt>
                <c:pt idx="3">
                  <c:v> 재조합(Recombinant) </c:v>
                </c:pt>
              </c:strCache>
            </c:strRef>
          </c:cat>
          <c:val>
            <c:numRef>
              <c:f>'13. 백신'!$F$161:$F$164</c:f>
              <c:numCache>
                <c:formatCode>0.0%</c:formatCode>
                <c:ptCount val="4"/>
                <c:pt idx="0">
                  <c:v>3.2582322357019064E-2</c:v>
                </c:pt>
                <c:pt idx="1">
                  <c:v>0.41230502599653374</c:v>
                </c:pt>
                <c:pt idx="2">
                  <c:v>1.0745233968804158E-2</c:v>
                </c:pt>
                <c:pt idx="3">
                  <c:v>0.54436741767764296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0B7-4BEF-B418-91BEE6BD0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985398789805585E-2"/>
          <c:y val="7.9850913889907574E-2"/>
          <c:w val="0.9333726259678593"/>
          <c:h val="0.7816638766901080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'14.디지털헬스'!$D$7</c:f>
              <c:strCache>
                <c:ptCount val="1"/>
                <c:pt idx="0">
                  <c:v> 시장규모 </c:v>
                </c:pt>
              </c:strCache>
            </c:strRef>
          </c:tx>
          <c:spPr>
            <a:solidFill>
              <a:srgbClr val="95C55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'14.디지털헬스'!$E$6:$J$6</c:f>
              <c:strCache>
                <c:ptCount val="6"/>
                <c:pt idx="0">
                  <c:v> 2021년 </c:v>
                </c:pt>
                <c:pt idx="1">
                  <c:v> 2022년 </c:v>
                </c:pt>
                <c:pt idx="2">
                  <c:v> 2023년 </c:v>
                </c:pt>
                <c:pt idx="3">
                  <c:v> 2024년 </c:v>
                </c:pt>
                <c:pt idx="4">
                  <c:v> 2025년 </c:v>
                </c:pt>
                <c:pt idx="5">
                  <c:v> 2026년 </c:v>
                </c:pt>
              </c:strCache>
            </c:strRef>
          </c:cat>
          <c:val>
            <c:numRef>
              <c:f>'14.디지털헬스'!$E$7:$J$7</c:f>
              <c:numCache>
                <c:formatCode>_(* #,##0.0_);_(* \(#,##0.0\);_(* "-"_);_(@_)</c:formatCode>
                <c:ptCount val="6"/>
                <c:pt idx="0">
                  <c:v>178.37</c:v>
                </c:pt>
                <c:pt idx="1">
                  <c:v>205.14</c:v>
                </c:pt>
                <c:pt idx="2">
                  <c:v>236.92</c:v>
                </c:pt>
                <c:pt idx="3">
                  <c:v>274.83000000000004</c:v>
                </c:pt>
                <c:pt idx="4">
                  <c:v>320.16999999999996</c:v>
                </c:pt>
                <c:pt idx="5">
                  <c:v>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FD-4146-945F-57EC26904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-759903472"/>
        <c:axId val="-759919792"/>
      </c:barChart>
      <c:catAx>
        <c:axId val="-759903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59919792"/>
        <c:crosses val="autoZero"/>
        <c:auto val="1"/>
        <c:lblAlgn val="ctr"/>
        <c:lblOffset val="100"/>
        <c:noMultiLvlLbl val="0"/>
      </c:catAx>
      <c:valAx>
        <c:axId val="-759919792"/>
        <c:scaling>
          <c:orientation val="minMax"/>
          <c:max val="4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759903472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925499697153239E-2"/>
          <c:y val="6.8828598604007377E-2"/>
          <c:w val="0.92497193620028262"/>
          <c:h val="0.6572545725050148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'14.디지털헬스'!$D$30</c:f>
              <c:strCache>
                <c:ptCount val="1"/>
                <c:pt idx="0">
                  <c:v>Healthcare IT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'14.디지털헬스'!$E$29:$J$29</c:f>
              <c:strCache>
                <c:ptCount val="6"/>
                <c:pt idx="0">
                  <c:v> 2021년 </c:v>
                </c:pt>
                <c:pt idx="1">
                  <c:v> 2022년 </c:v>
                </c:pt>
                <c:pt idx="2">
                  <c:v> 2023년 </c:v>
                </c:pt>
                <c:pt idx="3">
                  <c:v> 2024년 </c:v>
                </c:pt>
                <c:pt idx="4">
                  <c:v> 2025년 </c:v>
                </c:pt>
                <c:pt idx="5">
                  <c:v> 2026년 </c:v>
                </c:pt>
              </c:strCache>
            </c:strRef>
          </c:cat>
          <c:val>
            <c:numRef>
              <c:f>'14.디지털헬스'!$E$30:$J$30</c:f>
              <c:numCache>
                <c:formatCode>0.00</c:formatCode>
                <c:ptCount val="6"/>
                <c:pt idx="0">
                  <c:v>142.69999999999999</c:v>
                </c:pt>
                <c:pt idx="1">
                  <c:v>165.54</c:v>
                </c:pt>
                <c:pt idx="2">
                  <c:v>191.91</c:v>
                </c:pt>
                <c:pt idx="3">
                  <c:v>221.24</c:v>
                </c:pt>
                <c:pt idx="4">
                  <c:v>256.14</c:v>
                </c:pt>
                <c:pt idx="5">
                  <c:v>294.67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9-44EA-8B90-BD5DE25EDD2C}"/>
            </c:ext>
          </c:extLst>
        </c:ser>
        <c:ser>
          <c:idx val="1"/>
          <c:order val="1"/>
          <c:tx>
            <c:strRef>
              <c:f>'14.디지털헬스'!$D$31</c:f>
              <c:strCache>
                <c:ptCount val="1"/>
                <c:pt idx="0">
                  <c:v> Telehealth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'14.디지털헬스'!$E$29:$J$29</c:f>
              <c:strCache>
                <c:ptCount val="6"/>
                <c:pt idx="0">
                  <c:v> 2021년 </c:v>
                </c:pt>
                <c:pt idx="1">
                  <c:v> 2022년 </c:v>
                </c:pt>
                <c:pt idx="2">
                  <c:v> 2023년 </c:v>
                </c:pt>
                <c:pt idx="3">
                  <c:v> 2024년 </c:v>
                </c:pt>
                <c:pt idx="4">
                  <c:v> 2025년 </c:v>
                </c:pt>
                <c:pt idx="5">
                  <c:v> 2026년 </c:v>
                </c:pt>
              </c:strCache>
            </c:strRef>
          </c:cat>
          <c:val>
            <c:numRef>
              <c:f>'14.디지털헬스'!$E$31:$J$31</c:f>
              <c:numCache>
                <c:formatCode>0.00</c:formatCode>
                <c:ptCount val="6"/>
                <c:pt idx="0">
                  <c:v>35.67</c:v>
                </c:pt>
                <c:pt idx="1">
                  <c:v>39.6</c:v>
                </c:pt>
                <c:pt idx="2">
                  <c:v>45.01</c:v>
                </c:pt>
                <c:pt idx="3">
                  <c:v>53.59</c:v>
                </c:pt>
                <c:pt idx="4">
                  <c:v>64.03</c:v>
                </c:pt>
                <c:pt idx="5">
                  <c:v>78.33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9-44EA-8B90-BD5DE25EDD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97017119"/>
        <c:axId val="897030015"/>
      </c:barChart>
      <c:catAx>
        <c:axId val="897017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97030015"/>
        <c:crosses val="autoZero"/>
        <c:auto val="1"/>
        <c:lblAlgn val="ctr"/>
        <c:lblOffset val="100"/>
        <c:noMultiLvlLbl val="0"/>
      </c:catAx>
      <c:valAx>
        <c:axId val="897030015"/>
        <c:scaling>
          <c:orientation val="minMax"/>
          <c:max val="4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97017119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13" Type="http://schemas.openxmlformats.org/officeDocument/2006/relationships/chart" Target="../charts/chart15.xml"/><Relationship Id="rId18" Type="http://schemas.openxmlformats.org/officeDocument/2006/relationships/chart" Target="../charts/chart20.xml"/><Relationship Id="rId3" Type="http://schemas.openxmlformats.org/officeDocument/2006/relationships/chart" Target="../charts/chart5.xml"/><Relationship Id="rId21" Type="http://schemas.openxmlformats.org/officeDocument/2006/relationships/chart" Target="../charts/chart23.xml"/><Relationship Id="rId7" Type="http://schemas.openxmlformats.org/officeDocument/2006/relationships/chart" Target="../charts/chart9.xml"/><Relationship Id="rId12" Type="http://schemas.openxmlformats.org/officeDocument/2006/relationships/chart" Target="../charts/chart14.xml"/><Relationship Id="rId17" Type="http://schemas.openxmlformats.org/officeDocument/2006/relationships/chart" Target="../charts/chart19.xml"/><Relationship Id="rId2" Type="http://schemas.openxmlformats.org/officeDocument/2006/relationships/chart" Target="../charts/chart4.xml"/><Relationship Id="rId16" Type="http://schemas.openxmlformats.org/officeDocument/2006/relationships/chart" Target="../charts/chart18.xml"/><Relationship Id="rId20" Type="http://schemas.openxmlformats.org/officeDocument/2006/relationships/chart" Target="../charts/chart22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11" Type="http://schemas.openxmlformats.org/officeDocument/2006/relationships/chart" Target="../charts/chart13.xml"/><Relationship Id="rId5" Type="http://schemas.openxmlformats.org/officeDocument/2006/relationships/chart" Target="../charts/chart7.xml"/><Relationship Id="rId15" Type="http://schemas.openxmlformats.org/officeDocument/2006/relationships/chart" Target="../charts/chart17.xml"/><Relationship Id="rId23" Type="http://schemas.openxmlformats.org/officeDocument/2006/relationships/chart" Target="../charts/chart25.xml"/><Relationship Id="rId10" Type="http://schemas.openxmlformats.org/officeDocument/2006/relationships/chart" Target="../charts/chart12.xml"/><Relationship Id="rId19" Type="http://schemas.openxmlformats.org/officeDocument/2006/relationships/chart" Target="../charts/chart21.xml"/><Relationship Id="rId4" Type="http://schemas.openxmlformats.org/officeDocument/2006/relationships/chart" Target="../charts/chart6.xml"/><Relationship Id="rId9" Type="http://schemas.openxmlformats.org/officeDocument/2006/relationships/chart" Target="../charts/chart11.xml"/><Relationship Id="rId14" Type="http://schemas.openxmlformats.org/officeDocument/2006/relationships/chart" Target="../charts/chart16.xml"/><Relationship Id="rId22" Type="http://schemas.openxmlformats.org/officeDocument/2006/relationships/chart" Target="../charts/chart24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3.xml"/><Relationship Id="rId13" Type="http://schemas.openxmlformats.org/officeDocument/2006/relationships/chart" Target="../charts/chart38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7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6" Type="http://schemas.openxmlformats.org/officeDocument/2006/relationships/chart" Target="../charts/chart31.xml"/><Relationship Id="rId11" Type="http://schemas.openxmlformats.org/officeDocument/2006/relationships/chart" Target="../charts/chart36.xml"/><Relationship Id="rId5" Type="http://schemas.openxmlformats.org/officeDocument/2006/relationships/chart" Target="../charts/chart30.xml"/><Relationship Id="rId10" Type="http://schemas.openxmlformats.org/officeDocument/2006/relationships/chart" Target="../charts/chart35.xml"/><Relationship Id="rId4" Type="http://schemas.openxmlformats.org/officeDocument/2006/relationships/chart" Target="../charts/chart29.xml"/><Relationship Id="rId9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Relationship Id="rId4" Type="http://schemas.openxmlformats.org/officeDocument/2006/relationships/chart" Target="../charts/chart42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38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gif"/><Relationship Id="rId3" Type="http://schemas.openxmlformats.org/officeDocument/2006/relationships/chart" Target="../charts/chart47.xml"/><Relationship Id="rId7" Type="http://schemas.openxmlformats.org/officeDocument/2006/relationships/image" Target="../media/image2.gif"/><Relationship Id="rId12" Type="http://schemas.openxmlformats.org/officeDocument/2006/relationships/chart" Target="../charts/chart49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6" Type="http://schemas.openxmlformats.org/officeDocument/2006/relationships/image" Target="../media/image1.gif"/><Relationship Id="rId11" Type="http://schemas.openxmlformats.org/officeDocument/2006/relationships/image" Target="../media/image6.gif"/><Relationship Id="rId5" Type="http://schemas.openxmlformats.org/officeDocument/2006/relationships/hyperlink" Target="https://www.nature.com/nrd" TargetMode="External"/><Relationship Id="rId10" Type="http://schemas.openxmlformats.org/officeDocument/2006/relationships/image" Target="../media/image5.gif"/><Relationship Id="rId4" Type="http://schemas.openxmlformats.org/officeDocument/2006/relationships/chart" Target="../charts/chart48.xml"/><Relationship Id="rId9" Type="http://schemas.openxmlformats.org/officeDocument/2006/relationships/image" Target="../media/image4.gif"/></Relationships>
</file>

<file path=xl/drawings/_rels/drawing4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gif"/><Relationship Id="rId3" Type="http://schemas.openxmlformats.org/officeDocument/2006/relationships/chart" Target="../charts/chart52.xml"/><Relationship Id="rId7" Type="http://schemas.openxmlformats.org/officeDocument/2006/relationships/image" Target="../media/image4.gif"/><Relationship Id="rId12" Type="http://schemas.openxmlformats.org/officeDocument/2006/relationships/chart" Target="../charts/chart54.xml"/><Relationship Id="rId2" Type="http://schemas.openxmlformats.org/officeDocument/2006/relationships/chart" Target="../charts/chart51.xml"/><Relationship Id="rId1" Type="http://schemas.openxmlformats.org/officeDocument/2006/relationships/chart" Target="../charts/chart50.xml"/><Relationship Id="rId6" Type="http://schemas.openxmlformats.org/officeDocument/2006/relationships/image" Target="../media/image3.gif"/><Relationship Id="rId11" Type="http://schemas.openxmlformats.org/officeDocument/2006/relationships/chart" Target="../charts/chart53.xml"/><Relationship Id="rId5" Type="http://schemas.openxmlformats.org/officeDocument/2006/relationships/image" Target="../media/image1.gif"/><Relationship Id="rId10" Type="http://schemas.openxmlformats.org/officeDocument/2006/relationships/image" Target="../media/image7.png"/><Relationship Id="rId4" Type="http://schemas.openxmlformats.org/officeDocument/2006/relationships/image" Target="../media/image2.gif"/><Relationship Id="rId9" Type="http://schemas.openxmlformats.org/officeDocument/2006/relationships/image" Target="../media/image6.gif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Relationship Id="rId6" Type="http://schemas.openxmlformats.org/officeDocument/2006/relationships/chart" Target="../charts/chart60.xml"/><Relationship Id="rId5" Type="http://schemas.openxmlformats.org/officeDocument/2006/relationships/chart" Target="../charts/chart59.xml"/><Relationship Id="rId4" Type="http://schemas.openxmlformats.org/officeDocument/2006/relationships/chart" Target="../charts/chart58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5" Type="http://schemas.openxmlformats.org/officeDocument/2006/relationships/chart" Target="../charts/chart65.xml"/><Relationship Id="rId4" Type="http://schemas.openxmlformats.org/officeDocument/2006/relationships/chart" Target="../charts/chart64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8.xml"/><Relationship Id="rId2" Type="http://schemas.openxmlformats.org/officeDocument/2006/relationships/chart" Target="../charts/chart67.xml"/><Relationship Id="rId1" Type="http://schemas.openxmlformats.org/officeDocument/2006/relationships/chart" Target="../charts/chart66.xml"/><Relationship Id="rId5" Type="http://schemas.openxmlformats.org/officeDocument/2006/relationships/chart" Target="../charts/chart70.xml"/><Relationship Id="rId4" Type="http://schemas.openxmlformats.org/officeDocument/2006/relationships/chart" Target="../charts/chart69.xml"/></Relationships>
</file>

<file path=xl/drawings/_rels/drawing6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3.xml"/><Relationship Id="rId2" Type="http://schemas.openxmlformats.org/officeDocument/2006/relationships/chart" Target="../charts/chart72.xml"/><Relationship Id="rId1" Type="http://schemas.openxmlformats.org/officeDocument/2006/relationships/chart" Target="../charts/chart71.xml"/><Relationship Id="rId4" Type="http://schemas.openxmlformats.org/officeDocument/2006/relationships/chart" Target="../charts/chart74.xml"/></Relationships>
</file>

<file path=xl/drawings/_rels/drawing6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6.xml"/><Relationship Id="rId1" Type="http://schemas.openxmlformats.org/officeDocument/2006/relationships/chart" Target="../charts/chart75.xml"/></Relationships>
</file>

<file path=xl/drawings/_rels/drawing6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9.xml"/><Relationship Id="rId2" Type="http://schemas.openxmlformats.org/officeDocument/2006/relationships/chart" Target="../charts/chart78.xml"/><Relationship Id="rId1" Type="http://schemas.openxmlformats.org/officeDocument/2006/relationships/chart" Target="../charts/chart77.xml"/><Relationship Id="rId4" Type="http://schemas.openxmlformats.org/officeDocument/2006/relationships/chart" Target="../charts/chart80.xml"/></Relationships>
</file>

<file path=xl/drawings/_rels/drawing7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8.xml"/><Relationship Id="rId3" Type="http://schemas.openxmlformats.org/officeDocument/2006/relationships/chart" Target="../charts/chart83.xml"/><Relationship Id="rId7" Type="http://schemas.openxmlformats.org/officeDocument/2006/relationships/chart" Target="../charts/chart87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Relationship Id="rId6" Type="http://schemas.openxmlformats.org/officeDocument/2006/relationships/chart" Target="../charts/chart86.xml"/><Relationship Id="rId11" Type="http://schemas.openxmlformats.org/officeDocument/2006/relationships/chart" Target="../charts/chart90.xml"/><Relationship Id="rId5" Type="http://schemas.openxmlformats.org/officeDocument/2006/relationships/chart" Target="../charts/chart85.xml"/><Relationship Id="rId10" Type="http://schemas.openxmlformats.org/officeDocument/2006/relationships/image" Target="../media/image8.png"/><Relationship Id="rId4" Type="http://schemas.openxmlformats.org/officeDocument/2006/relationships/chart" Target="../charts/chart84.xml"/><Relationship Id="rId9" Type="http://schemas.openxmlformats.org/officeDocument/2006/relationships/chart" Target="../charts/chart89.xml"/></Relationships>
</file>

<file path=xl/drawings/_rels/drawing7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171450</xdr:colOff>
      <xdr:row>3</xdr:row>
      <xdr:rowOff>123825</xdr:rowOff>
    </xdr:from>
    <xdr:to>
      <xdr:col>18</xdr:col>
      <xdr:colOff>628650</xdr:colOff>
      <xdr:row>16</xdr:row>
      <xdr:rowOff>142875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57150</xdr:colOff>
      <xdr:row>3</xdr:row>
      <xdr:rowOff>142875</xdr:rowOff>
    </xdr:from>
    <xdr:to>
      <xdr:col>25</xdr:col>
      <xdr:colOff>514350</xdr:colOff>
      <xdr:row>16</xdr:row>
      <xdr:rowOff>161925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29</xdr:row>
      <xdr:rowOff>0</xdr:rowOff>
    </xdr:from>
    <xdr:to>
      <xdr:col>10</xdr:col>
      <xdr:colOff>0</xdr:colOff>
      <xdr:row>44</xdr:row>
      <xdr:rowOff>0</xdr:rowOff>
    </xdr:to>
    <xdr:graphicFrame macro="">
      <xdr:nvGraphicFramePr>
        <xdr:cNvPr id="2" name="투자-01-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29</xdr:row>
      <xdr:rowOff>0</xdr:rowOff>
    </xdr:from>
    <xdr:to>
      <xdr:col>18</xdr:col>
      <xdr:colOff>0</xdr:colOff>
      <xdr:row>44</xdr:row>
      <xdr:rowOff>0</xdr:rowOff>
    </xdr:to>
    <xdr:graphicFrame macro="">
      <xdr:nvGraphicFramePr>
        <xdr:cNvPr id="3" name="투자-01-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0</xdr:colOff>
      <xdr:row>29</xdr:row>
      <xdr:rowOff>0</xdr:rowOff>
    </xdr:from>
    <xdr:to>
      <xdr:col>26</xdr:col>
      <xdr:colOff>0</xdr:colOff>
      <xdr:row>44</xdr:row>
      <xdr:rowOff>0</xdr:rowOff>
    </xdr:to>
    <xdr:graphicFrame macro="">
      <xdr:nvGraphicFramePr>
        <xdr:cNvPr id="4" name="투자-01-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54</xdr:row>
      <xdr:rowOff>0</xdr:rowOff>
    </xdr:from>
    <xdr:to>
      <xdr:col>18</xdr:col>
      <xdr:colOff>0</xdr:colOff>
      <xdr:row>69</xdr:row>
      <xdr:rowOff>0</xdr:rowOff>
    </xdr:to>
    <xdr:graphicFrame macro="">
      <xdr:nvGraphicFramePr>
        <xdr:cNvPr id="5" name="투자-02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0</xdr:colOff>
      <xdr:row>136</xdr:row>
      <xdr:rowOff>0</xdr:rowOff>
    </xdr:from>
    <xdr:to>
      <xdr:col>18</xdr:col>
      <xdr:colOff>0</xdr:colOff>
      <xdr:row>151</xdr:row>
      <xdr:rowOff>0</xdr:rowOff>
    </xdr:to>
    <xdr:graphicFrame macro="">
      <xdr:nvGraphicFramePr>
        <xdr:cNvPr id="6" name="투자-0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0</xdr:colOff>
      <xdr:row>162</xdr:row>
      <xdr:rowOff>0</xdr:rowOff>
    </xdr:from>
    <xdr:to>
      <xdr:col>18</xdr:col>
      <xdr:colOff>0</xdr:colOff>
      <xdr:row>177</xdr:row>
      <xdr:rowOff>0</xdr:rowOff>
    </xdr:to>
    <xdr:graphicFrame macro="">
      <xdr:nvGraphicFramePr>
        <xdr:cNvPr id="7" name="투자-0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0</xdr:colOff>
      <xdr:row>225</xdr:row>
      <xdr:rowOff>107156</xdr:rowOff>
    </xdr:from>
    <xdr:to>
      <xdr:col>18</xdr:col>
      <xdr:colOff>0</xdr:colOff>
      <xdr:row>237</xdr:row>
      <xdr:rowOff>212911</xdr:rowOff>
    </xdr:to>
    <xdr:graphicFrame macro="">
      <xdr:nvGraphicFramePr>
        <xdr:cNvPr id="8" name="투자-0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0</xdr:colOff>
      <xdr:row>318</xdr:row>
      <xdr:rowOff>0</xdr:rowOff>
    </xdr:from>
    <xdr:to>
      <xdr:col>18</xdr:col>
      <xdr:colOff>0</xdr:colOff>
      <xdr:row>333</xdr:row>
      <xdr:rowOff>0</xdr:rowOff>
    </xdr:to>
    <xdr:graphicFrame macro="">
      <xdr:nvGraphicFramePr>
        <xdr:cNvPr id="9" name="투자-1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0</xdr:colOff>
      <xdr:row>344</xdr:row>
      <xdr:rowOff>0</xdr:rowOff>
    </xdr:from>
    <xdr:to>
      <xdr:col>10</xdr:col>
      <xdr:colOff>0</xdr:colOff>
      <xdr:row>359</xdr:row>
      <xdr:rowOff>0</xdr:rowOff>
    </xdr:to>
    <xdr:graphicFrame macro="">
      <xdr:nvGraphicFramePr>
        <xdr:cNvPr id="10" name="투자-12-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35719</xdr:colOff>
      <xdr:row>343</xdr:row>
      <xdr:rowOff>190500</xdr:rowOff>
    </xdr:from>
    <xdr:to>
      <xdr:col>18</xdr:col>
      <xdr:colOff>35719</xdr:colOff>
      <xdr:row>358</xdr:row>
      <xdr:rowOff>190501</xdr:rowOff>
    </xdr:to>
    <xdr:graphicFrame macro="">
      <xdr:nvGraphicFramePr>
        <xdr:cNvPr id="11" name="투자-12-2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0</xdr:colOff>
      <xdr:row>375</xdr:row>
      <xdr:rowOff>0</xdr:rowOff>
    </xdr:from>
    <xdr:to>
      <xdr:col>18</xdr:col>
      <xdr:colOff>0</xdr:colOff>
      <xdr:row>390</xdr:row>
      <xdr:rowOff>0</xdr:rowOff>
    </xdr:to>
    <xdr:graphicFrame macro="">
      <xdr:nvGraphicFramePr>
        <xdr:cNvPr id="12" name="투자-13-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0</xdr:colOff>
      <xdr:row>400</xdr:row>
      <xdr:rowOff>0</xdr:rowOff>
    </xdr:from>
    <xdr:to>
      <xdr:col>10</xdr:col>
      <xdr:colOff>0</xdr:colOff>
      <xdr:row>415</xdr:row>
      <xdr:rowOff>0</xdr:rowOff>
    </xdr:to>
    <xdr:graphicFrame macro="">
      <xdr:nvGraphicFramePr>
        <xdr:cNvPr id="13" name="투자-14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</xdr:col>
      <xdr:colOff>0</xdr:colOff>
      <xdr:row>430</xdr:row>
      <xdr:rowOff>0</xdr:rowOff>
    </xdr:from>
    <xdr:to>
      <xdr:col>18</xdr:col>
      <xdr:colOff>0</xdr:colOff>
      <xdr:row>445</xdr:row>
      <xdr:rowOff>0</xdr:rowOff>
    </xdr:to>
    <xdr:graphicFrame macro="">
      <xdr:nvGraphicFramePr>
        <xdr:cNvPr id="14" name="투자-15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</xdr:col>
      <xdr:colOff>0</xdr:colOff>
      <xdr:row>460</xdr:row>
      <xdr:rowOff>0</xdr:rowOff>
    </xdr:from>
    <xdr:to>
      <xdr:col>18</xdr:col>
      <xdr:colOff>0</xdr:colOff>
      <xdr:row>475</xdr:row>
      <xdr:rowOff>0</xdr:rowOff>
    </xdr:to>
    <xdr:graphicFrame macro="">
      <xdr:nvGraphicFramePr>
        <xdr:cNvPr id="15" name="투자-16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</xdr:col>
      <xdr:colOff>0</xdr:colOff>
      <xdr:row>490</xdr:row>
      <xdr:rowOff>0</xdr:rowOff>
    </xdr:from>
    <xdr:to>
      <xdr:col>18</xdr:col>
      <xdr:colOff>0</xdr:colOff>
      <xdr:row>505</xdr:row>
      <xdr:rowOff>0</xdr:rowOff>
    </xdr:to>
    <xdr:graphicFrame macro="">
      <xdr:nvGraphicFramePr>
        <xdr:cNvPr id="16" name="투자-17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</xdr:col>
      <xdr:colOff>0</xdr:colOff>
      <xdr:row>520</xdr:row>
      <xdr:rowOff>0</xdr:rowOff>
    </xdr:from>
    <xdr:to>
      <xdr:col>18</xdr:col>
      <xdr:colOff>0</xdr:colOff>
      <xdr:row>535</xdr:row>
      <xdr:rowOff>0</xdr:rowOff>
    </xdr:to>
    <xdr:graphicFrame macro="">
      <xdr:nvGraphicFramePr>
        <xdr:cNvPr id="17" name="투자-18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</xdr:col>
      <xdr:colOff>0</xdr:colOff>
      <xdr:row>550</xdr:row>
      <xdr:rowOff>0</xdr:rowOff>
    </xdr:from>
    <xdr:to>
      <xdr:col>18</xdr:col>
      <xdr:colOff>0</xdr:colOff>
      <xdr:row>565</xdr:row>
      <xdr:rowOff>0</xdr:rowOff>
    </xdr:to>
    <xdr:graphicFrame macro="">
      <xdr:nvGraphicFramePr>
        <xdr:cNvPr id="18" name="투자-19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</xdr:col>
      <xdr:colOff>0</xdr:colOff>
      <xdr:row>580</xdr:row>
      <xdr:rowOff>0</xdr:rowOff>
    </xdr:from>
    <xdr:to>
      <xdr:col>18</xdr:col>
      <xdr:colOff>0</xdr:colOff>
      <xdr:row>595</xdr:row>
      <xdr:rowOff>0</xdr:rowOff>
    </xdr:to>
    <xdr:graphicFrame macro="">
      <xdr:nvGraphicFramePr>
        <xdr:cNvPr id="19" name="투자-20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3</xdr:col>
      <xdr:colOff>0</xdr:colOff>
      <xdr:row>610</xdr:row>
      <xdr:rowOff>0</xdr:rowOff>
    </xdr:from>
    <xdr:to>
      <xdr:col>18</xdr:col>
      <xdr:colOff>0</xdr:colOff>
      <xdr:row>625</xdr:row>
      <xdr:rowOff>0</xdr:rowOff>
    </xdr:to>
    <xdr:graphicFrame macro="">
      <xdr:nvGraphicFramePr>
        <xdr:cNvPr id="20" name="투자-21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</xdr:col>
      <xdr:colOff>0</xdr:colOff>
      <xdr:row>251</xdr:row>
      <xdr:rowOff>0</xdr:rowOff>
    </xdr:from>
    <xdr:to>
      <xdr:col>18</xdr:col>
      <xdr:colOff>0</xdr:colOff>
      <xdr:row>266</xdr:row>
      <xdr:rowOff>0</xdr:rowOff>
    </xdr:to>
    <xdr:graphicFrame macro="">
      <xdr:nvGraphicFramePr>
        <xdr:cNvPr id="21" name="투자-09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</xdr:col>
      <xdr:colOff>0</xdr:colOff>
      <xdr:row>195</xdr:row>
      <xdr:rowOff>0</xdr:rowOff>
    </xdr:from>
    <xdr:to>
      <xdr:col>18</xdr:col>
      <xdr:colOff>0</xdr:colOff>
      <xdr:row>210</xdr:row>
      <xdr:rowOff>0</xdr:rowOff>
    </xdr:to>
    <xdr:graphicFrame macro="">
      <xdr:nvGraphicFramePr>
        <xdr:cNvPr id="22" name="투자-07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</xdr:col>
      <xdr:colOff>0</xdr:colOff>
      <xdr:row>107</xdr:row>
      <xdr:rowOff>0</xdr:rowOff>
    </xdr:from>
    <xdr:to>
      <xdr:col>18</xdr:col>
      <xdr:colOff>0</xdr:colOff>
      <xdr:row>122</xdr:row>
      <xdr:rowOff>0</xdr:rowOff>
    </xdr:to>
    <xdr:graphicFrame macro="">
      <xdr:nvGraphicFramePr>
        <xdr:cNvPr id="23" name="투자-04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</xdr:col>
      <xdr:colOff>0</xdr:colOff>
      <xdr:row>277</xdr:row>
      <xdr:rowOff>0</xdr:rowOff>
    </xdr:from>
    <xdr:to>
      <xdr:col>18</xdr:col>
      <xdr:colOff>0</xdr:colOff>
      <xdr:row>292</xdr:row>
      <xdr:rowOff>0</xdr:rowOff>
    </xdr:to>
    <xdr:graphicFrame macro="">
      <xdr:nvGraphicFramePr>
        <xdr:cNvPr id="25" name="투자-09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0.74503</cdr:x>
      <cdr:y>0</cdr:y>
    </cdr:from>
    <cdr:to>
      <cdr:x>1</cdr:x>
      <cdr:y>0.10528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4207764" y="0"/>
          <a:ext cx="1440000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horzOverflow="clip" wrap="square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억원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0.74503</cdr:x>
      <cdr:y>0</cdr:y>
    </cdr:from>
    <cdr:to>
      <cdr:x>1</cdr:x>
      <cdr:y>0.10528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4207765" y="0"/>
          <a:ext cx="1440000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억원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0.74503</cdr:x>
      <cdr:y>0</cdr:y>
    </cdr:from>
    <cdr:to>
      <cdr:x>1</cdr:x>
      <cdr:y>0.10528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4207764" y="0"/>
          <a:ext cx="1440000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억원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0.88101</cdr:x>
      <cdr:y>0</cdr:y>
    </cdr:from>
    <cdr:to>
      <cdr:x>1</cdr:x>
      <cdr:y>0.10528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10662353" y="0"/>
          <a:ext cx="1440000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억원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0.88101</cdr:x>
      <cdr:y>0</cdr:y>
    </cdr:from>
    <cdr:to>
      <cdr:x>1</cdr:x>
      <cdr:y>0.10528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10662353" y="0"/>
          <a:ext cx="1440000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억원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0.88101</cdr:x>
      <cdr:y>0</cdr:y>
    </cdr:from>
    <cdr:to>
      <cdr:x>1</cdr:x>
      <cdr:y>0.10528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10662353" y="0"/>
          <a:ext cx="1440000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억원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0.74503</cdr:x>
      <cdr:y>0</cdr:y>
    </cdr:from>
    <cdr:to>
      <cdr:x>1</cdr:x>
      <cdr:y>0.10528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4207765" y="0"/>
          <a:ext cx="1440000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%)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0.88101</cdr:x>
      <cdr:y>0</cdr:y>
    </cdr:from>
    <cdr:to>
      <cdr:x>1</cdr:x>
      <cdr:y>0.10528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10662353" y="0"/>
          <a:ext cx="1440000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억원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0.74503</cdr:x>
      <cdr:y>0</cdr:y>
    </cdr:from>
    <cdr:to>
      <cdr:x>1</cdr:x>
      <cdr:y>0.10528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4207764" y="0"/>
          <a:ext cx="1440000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억원</a:t>
          </a:r>
          <a:r>
            <a:rPr lang="en-US" altLang="ko-KR" b="1">
              <a:solidFill>
                <a:schemeClr val="tx1"/>
              </a:solidFill>
            </a:rPr>
            <a:t>, %)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0.88101</cdr:x>
      <cdr:y>0</cdr:y>
    </cdr:from>
    <cdr:to>
      <cdr:x>1</cdr:x>
      <cdr:y>0.10528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10662353" y="0"/>
          <a:ext cx="1440000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억원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0.88101</cdr:x>
      <cdr:y>0</cdr:y>
    </cdr:from>
    <cdr:to>
      <cdr:x>1</cdr:x>
      <cdr:y>0.10528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10662353" y="0"/>
          <a:ext cx="1440000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억원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0.88101</cdr:x>
      <cdr:y>0</cdr:y>
    </cdr:from>
    <cdr:to>
      <cdr:x>1</cdr:x>
      <cdr:y>0.10528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10662353" y="0"/>
          <a:ext cx="1440000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억원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0.88101</cdr:x>
      <cdr:y>0</cdr:y>
    </cdr:from>
    <cdr:to>
      <cdr:x>1</cdr:x>
      <cdr:y>0.10528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10662353" y="0"/>
          <a:ext cx="1440000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억원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0.88101</cdr:x>
      <cdr:y>0</cdr:y>
    </cdr:from>
    <cdr:to>
      <cdr:x>1</cdr:x>
      <cdr:y>0.10528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10662353" y="0"/>
          <a:ext cx="1440000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억원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0.88101</cdr:x>
      <cdr:y>0</cdr:y>
    </cdr:from>
    <cdr:to>
      <cdr:x>1</cdr:x>
      <cdr:y>0.10528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10662353" y="0"/>
          <a:ext cx="1440000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억원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0.88101</cdr:x>
      <cdr:y>0</cdr:y>
    </cdr:from>
    <cdr:to>
      <cdr:x>1</cdr:x>
      <cdr:y>0.10528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10662353" y="0"/>
          <a:ext cx="1440000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억원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0.88101</cdr:x>
      <cdr:y>0</cdr:y>
    </cdr:from>
    <cdr:to>
      <cdr:x>1</cdr:x>
      <cdr:y>0.10528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10662353" y="0"/>
          <a:ext cx="1440000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억원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0.88101</cdr:x>
      <cdr:y>0</cdr:y>
    </cdr:from>
    <cdr:to>
      <cdr:x>1</cdr:x>
      <cdr:y>0.10528</cdr:y>
    </cdr:to>
    <cdr:sp macro="" textlink="">
      <cdr:nvSpPr>
        <cdr:cNvPr id="3" name="직사각형 2"/>
        <cdr:cNvSpPr/>
      </cdr:nvSpPr>
      <cdr:spPr>
        <a:xfrm xmlns:a="http://schemas.openxmlformats.org/drawingml/2006/main">
          <a:off x="10662353" y="0"/>
          <a:ext cx="1440000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억원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0.88101</cdr:x>
      <cdr:y>0</cdr:y>
    </cdr:from>
    <cdr:to>
      <cdr:x>1</cdr:x>
      <cdr:y>0.10528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10662353" y="0"/>
          <a:ext cx="1440000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억달러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0.88101</cdr:x>
      <cdr:y>0</cdr:y>
    </cdr:from>
    <cdr:to>
      <cdr:x>1</cdr:x>
      <cdr:y>0.10528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10662353" y="0"/>
          <a:ext cx="1440000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억원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85</xdr:row>
      <xdr:rowOff>0</xdr:rowOff>
    </xdr:from>
    <xdr:to>
      <xdr:col>10</xdr:col>
      <xdr:colOff>0</xdr:colOff>
      <xdr:row>100</xdr:row>
      <xdr:rowOff>0</xdr:rowOff>
    </xdr:to>
    <xdr:graphicFrame macro="">
      <xdr:nvGraphicFramePr>
        <xdr:cNvPr id="2" name="인력-04-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85</xdr:row>
      <xdr:rowOff>0</xdr:rowOff>
    </xdr:from>
    <xdr:to>
      <xdr:col>18</xdr:col>
      <xdr:colOff>0</xdr:colOff>
      <xdr:row>100</xdr:row>
      <xdr:rowOff>0</xdr:rowOff>
    </xdr:to>
    <xdr:graphicFrame macro="">
      <xdr:nvGraphicFramePr>
        <xdr:cNvPr id="3" name="인력-04-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11206</xdr:colOff>
      <xdr:row>228</xdr:row>
      <xdr:rowOff>212911</xdr:rowOff>
    </xdr:from>
    <xdr:to>
      <xdr:col>15</xdr:col>
      <xdr:colOff>705970</xdr:colOff>
      <xdr:row>242</xdr:row>
      <xdr:rowOff>156881</xdr:rowOff>
    </xdr:to>
    <xdr:graphicFrame macro="">
      <xdr:nvGraphicFramePr>
        <xdr:cNvPr id="4" name="인력-0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262</xdr:row>
      <xdr:rowOff>44824</xdr:rowOff>
    </xdr:from>
    <xdr:to>
      <xdr:col>18</xdr:col>
      <xdr:colOff>0</xdr:colOff>
      <xdr:row>276</xdr:row>
      <xdr:rowOff>100853</xdr:rowOff>
    </xdr:to>
    <xdr:graphicFrame macro="">
      <xdr:nvGraphicFramePr>
        <xdr:cNvPr id="5" name="인력-0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0</xdr:colOff>
      <xdr:row>290</xdr:row>
      <xdr:rowOff>0</xdr:rowOff>
    </xdr:from>
    <xdr:to>
      <xdr:col>7</xdr:col>
      <xdr:colOff>145677</xdr:colOff>
      <xdr:row>304</xdr:row>
      <xdr:rowOff>0</xdr:rowOff>
    </xdr:to>
    <xdr:graphicFrame macro="">
      <xdr:nvGraphicFramePr>
        <xdr:cNvPr id="6" name="인력-10-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605117</xdr:colOff>
      <xdr:row>290</xdr:row>
      <xdr:rowOff>22412</xdr:rowOff>
    </xdr:from>
    <xdr:to>
      <xdr:col>14</xdr:col>
      <xdr:colOff>605117</xdr:colOff>
      <xdr:row>304</xdr:row>
      <xdr:rowOff>22412</xdr:rowOff>
    </xdr:to>
    <xdr:graphicFrame macro="">
      <xdr:nvGraphicFramePr>
        <xdr:cNvPr id="7" name="인력-10-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0</xdr:colOff>
      <xdr:row>378</xdr:row>
      <xdr:rowOff>0</xdr:rowOff>
    </xdr:from>
    <xdr:to>
      <xdr:col>18</xdr:col>
      <xdr:colOff>0</xdr:colOff>
      <xdr:row>393</xdr:row>
      <xdr:rowOff>0</xdr:rowOff>
    </xdr:to>
    <xdr:graphicFrame macro="">
      <xdr:nvGraphicFramePr>
        <xdr:cNvPr id="8" name="인력-14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22412</xdr:colOff>
      <xdr:row>30</xdr:row>
      <xdr:rowOff>0</xdr:rowOff>
    </xdr:from>
    <xdr:to>
      <xdr:col>17</xdr:col>
      <xdr:colOff>605118</xdr:colOff>
      <xdr:row>43</xdr:row>
      <xdr:rowOff>168088</xdr:rowOff>
    </xdr:to>
    <xdr:graphicFrame macro="">
      <xdr:nvGraphicFramePr>
        <xdr:cNvPr id="9" name="인력-02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0</xdr:colOff>
      <xdr:row>54</xdr:row>
      <xdr:rowOff>22411</xdr:rowOff>
    </xdr:from>
    <xdr:to>
      <xdr:col>18</xdr:col>
      <xdr:colOff>0</xdr:colOff>
      <xdr:row>67</xdr:row>
      <xdr:rowOff>212911</xdr:rowOff>
    </xdr:to>
    <xdr:graphicFrame macro="">
      <xdr:nvGraphicFramePr>
        <xdr:cNvPr id="10" name="인력-03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0</xdr:colOff>
      <xdr:row>118</xdr:row>
      <xdr:rowOff>0</xdr:rowOff>
    </xdr:from>
    <xdr:to>
      <xdr:col>18</xdr:col>
      <xdr:colOff>0</xdr:colOff>
      <xdr:row>133</xdr:row>
      <xdr:rowOff>0</xdr:rowOff>
    </xdr:to>
    <xdr:graphicFrame macro="">
      <xdr:nvGraphicFramePr>
        <xdr:cNvPr id="11" name="인력-05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0</xdr:colOff>
      <xdr:row>151</xdr:row>
      <xdr:rowOff>0</xdr:rowOff>
    </xdr:from>
    <xdr:to>
      <xdr:col>18</xdr:col>
      <xdr:colOff>0</xdr:colOff>
      <xdr:row>166</xdr:row>
      <xdr:rowOff>0</xdr:rowOff>
    </xdr:to>
    <xdr:graphicFrame macro="">
      <xdr:nvGraphicFramePr>
        <xdr:cNvPr id="12" name="인력-06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0</xdr:colOff>
      <xdr:row>193</xdr:row>
      <xdr:rowOff>0</xdr:rowOff>
    </xdr:from>
    <xdr:to>
      <xdr:col>18</xdr:col>
      <xdr:colOff>0</xdr:colOff>
      <xdr:row>208</xdr:row>
      <xdr:rowOff>0</xdr:rowOff>
    </xdr:to>
    <xdr:graphicFrame macro="">
      <xdr:nvGraphicFramePr>
        <xdr:cNvPr id="13" name="인력-07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</xdr:col>
      <xdr:colOff>201703</xdr:colOff>
      <xdr:row>331</xdr:row>
      <xdr:rowOff>163605</xdr:rowOff>
    </xdr:from>
    <xdr:to>
      <xdr:col>16</xdr:col>
      <xdr:colOff>537882</xdr:colOff>
      <xdr:row>346</xdr:row>
      <xdr:rowOff>134469</xdr:rowOff>
    </xdr:to>
    <xdr:graphicFrame macro="">
      <xdr:nvGraphicFramePr>
        <xdr:cNvPr id="14" name="차트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0.74503</cdr:x>
      <cdr:y>0</cdr:y>
    </cdr:from>
    <cdr:to>
      <cdr:x>1</cdr:x>
      <cdr:y>0.10528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4207764" y="0"/>
          <a:ext cx="1440000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명</a:t>
          </a:r>
          <a:r>
            <a:rPr lang="en-US" altLang="ko-KR" b="1">
              <a:solidFill>
                <a:schemeClr val="tx1"/>
              </a:solidFill>
            </a:rPr>
            <a:t>,</a:t>
          </a:r>
          <a:r>
            <a:rPr lang="en-US" altLang="ko-KR" b="1" baseline="0">
              <a:solidFill>
                <a:schemeClr val="tx1"/>
              </a:solidFill>
            </a:rPr>
            <a:t> %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0.74503</cdr:x>
      <cdr:y>0</cdr:y>
    </cdr:from>
    <cdr:to>
      <cdr:x>1</cdr:x>
      <cdr:y>0.10528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4207765" y="0"/>
          <a:ext cx="1440000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명</a:t>
          </a:r>
          <a:r>
            <a:rPr lang="en-US" altLang="ko-KR" b="1">
              <a:solidFill>
                <a:schemeClr val="tx1"/>
              </a:solidFill>
            </a:rPr>
            <a:t>,</a:t>
          </a:r>
          <a:r>
            <a:rPr lang="en-US" altLang="ko-KR" b="1" baseline="0">
              <a:solidFill>
                <a:schemeClr val="tx1"/>
              </a:solidFill>
            </a:rPr>
            <a:t> %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0.88101</cdr:x>
      <cdr:y>0</cdr:y>
    </cdr:from>
    <cdr:to>
      <cdr:x>1</cdr:x>
      <cdr:y>0.10528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10662353" y="0"/>
          <a:ext cx="1440000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%)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0.74503</cdr:x>
      <cdr:y>0</cdr:y>
    </cdr:from>
    <cdr:to>
      <cdr:x>1</cdr:x>
      <cdr:y>0.11281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4207764" y="0"/>
          <a:ext cx="1440000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명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0.88101</cdr:x>
      <cdr:y>0</cdr:y>
    </cdr:from>
    <cdr:to>
      <cdr:x>1</cdr:x>
      <cdr:y>0.10528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10662353" y="0"/>
          <a:ext cx="1440000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명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0.88101</cdr:x>
      <cdr:y>0</cdr:y>
    </cdr:from>
    <cdr:to>
      <cdr:x>1</cdr:x>
      <cdr:y>0.10528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10662353" y="0"/>
          <a:ext cx="1440000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명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0.88101</cdr:x>
      <cdr:y>0</cdr:y>
    </cdr:from>
    <cdr:to>
      <cdr:x>1</cdr:x>
      <cdr:y>0.10528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10662353" y="0"/>
          <a:ext cx="1440000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명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0.88101</cdr:x>
      <cdr:y>0</cdr:y>
    </cdr:from>
    <cdr:to>
      <cdr:x>1</cdr:x>
      <cdr:y>0.10528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10662353" y="0"/>
          <a:ext cx="1440000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개</a:t>
          </a:r>
          <a:r>
            <a:rPr lang="en-US" altLang="ko-KR" b="1">
              <a:solidFill>
                <a:schemeClr val="tx1"/>
              </a:solidFill>
            </a:rPr>
            <a:t>, </a:t>
          </a:r>
          <a:r>
            <a:rPr lang="ko-KR" altLang="en-US" b="1">
              <a:solidFill>
                <a:schemeClr val="tx1"/>
              </a:solidFill>
            </a:rPr>
            <a:t>명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0.88101</cdr:x>
      <cdr:y>0</cdr:y>
    </cdr:from>
    <cdr:to>
      <cdr:x>1</cdr:x>
      <cdr:y>0.10528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10662353" y="0"/>
          <a:ext cx="1440000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명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0.88101</cdr:x>
      <cdr:y>0</cdr:y>
    </cdr:from>
    <cdr:to>
      <cdr:x>1</cdr:x>
      <cdr:y>0.10528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10662353" y="0"/>
          <a:ext cx="1440000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명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11</xdr:row>
      <xdr:rowOff>0</xdr:rowOff>
    </xdr:from>
    <xdr:to>
      <xdr:col>18</xdr:col>
      <xdr:colOff>0</xdr:colOff>
      <xdr:row>26</xdr:row>
      <xdr:rowOff>0</xdr:rowOff>
    </xdr:to>
    <xdr:graphicFrame macro="">
      <xdr:nvGraphicFramePr>
        <xdr:cNvPr id="2" name="바이오-0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42</xdr:row>
      <xdr:rowOff>0</xdr:rowOff>
    </xdr:from>
    <xdr:to>
      <xdr:col>18</xdr:col>
      <xdr:colOff>0</xdr:colOff>
      <xdr:row>57</xdr:row>
      <xdr:rowOff>0</xdr:rowOff>
    </xdr:to>
    <xdr:graphicFrame macro="">
      <xdr:nvGraphicFramePr>
        <xdr:cNvPr id="3" name="바이오-04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68</xdr:row>
      <xdr:rowOff>1</xdr:rowOff>
    </xdr:from>
    <xdr:to>
      <xdr:col>18</xdr:col>
      <xdr:colOff>0</xdr:colOff>
      <xdr:row>81</xdr:row>
      <xdr:rowOff>89648</xdr:rowOff>
    </xdr:to>
    <xdr:graphicFrame macro="">
      <xdr:nvGraphicFramePr>
        <xdr:cNvPr id="4" name="바이오-05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3</xdr:col>
      <xdr:colOff>1</xdr:colOff>
      <xdr:row>123</xdr:row>
      <xdr:rowOff>0</xdr:rowOff>
    </xdr:from>
    <xdr:to>
      <xdr:col>16</xdr:col>
      <xdr:colOff>705971</xdr:colOff>
      <xdr:row>138</xdr:row>
      <xdr:rowOff>0</xdr:rowOff>
    </xdr:to>
    <xdr:graphicFrame macro="">
      <xdr:nvGraphicFramePr>
        <xdr:cNvPr id="5" name="바이오-0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0.85694</cdr:x>
      <cdr:y>0</cdr:y>
    </cdr:from>
    <cdr:to>
      <cdr:x>0.97593</cdr:x>
      <cdr:y>0.10528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10371000" y="0"/>
          <a:ext cx="1440000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편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0.88101</cdr:x>
      <cdr:y>0</cdr:y>
    </cdr:from>
    <cdr:to>
      <cdr:x>1</cdr:x>
      <cdr:y>0.10528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10662353" y="0"/>
          <a:ext cx="1440000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건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100852</xdr:colOff>
      <xdr:row>38</xdr:row>
      <xdr:rowOff>11206</xdr:rowOff>
    </xdr:from>
    <xdr:to>
      <xdr:col>7</xdr:col>
      <xdr:colOff>1333500</xdr:colOff>
      <xdr:row>46</xdr:row>
      <xdr:rowOff>200585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59</xdr:row>
      <xdr:rowOff>0</xdr:rowOff>
    </xdr:from>
    <xdr:to>
      <xdr:col>7</xdr:col>
      <xdr:colOff>302558</xdr:colOff>
      <xdr:row>68</xdr:row>
      <xdr:rowOff>38099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462</xdr:row>
      <xdr:rowOff>0</xdr:rowOff>
    </xdr:from>
    <xdr:to>
      <xdr:col>18</xdr:col>
      <xdr:colOff>0</xdr:colOff>
      <xdr:row>477</xdr:row>
      <xdr:rowOff>0</xdr:rowOff>
    </xdr:to>
    <xdr:graphicFrame macro="">
      <xdr:nvGraphicFramePr>
        <xdr:cNvPr id="15" name="의약품-19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9</xdr:row>
      <xdr:rowOff>0</xdr:rowOff>
    </xdr:from>
    <xdr:to>
      <xdr:col>18</xdr:col>
      <xdr:colOff>0</xdr:colOff>
      <xdr:row>24</xdr:row>
      <xdr:rowOff>0</xdr:rowOff>
    </xdr:to>
    <xdr:graphicFrame macro="">
      <xdr:nvGraphicFramePr>
        <xdr:cNvPr id="3" name="의약품-0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68</xdr:row>
      <xdr:rowOff>0</xdr:rowOff>
    </xdr:from>
    <xdr:to>
      <xdr:col>18</xdr:col>
      <xdr:colOff>0</xdr:colOff>
      <xdr:row>83</xdr:row>
      <xdr:rowOff>0</xdr:rowOff>
    </xdr:to>
    <xdr:graphicFrame macro="">
      <xdr:nvGraphicFramePr>
        <xdr:cNvPr id="29" name="의약품-03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98</xdr:row>
      <xdr:rowOff>0</xdr:rowOff>
    </xdr:from>
    <xdr:to>
      <xdr:col>18</xdr:col>
      <xdr:colOff>0</xdr:colOff>
      <xdr:row>113</xdr:row>
      <xdr:rowOff>0</xdr:rowOff>
    </xdr:to>
    <xdr:graphicFrame macro="">
      <xdr:nvGraphicFramePr>
        <xdr:cNvPr id="31" name="의약품-04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19</xdr:col>
      <xdr:colOff>0</xdr:colOff>
      <xdr:row>474</xdr:row>
      <xdr:rowOff>0</xdr:rowOff>
    </xdr:from>
    <xdr:to>
      <xdr:col>19</xdr:col>
      <xdr:colOff>304800</xdr:colOff>
      <xdr:row>475</xdr:row>
      <xdr:rowOff>95250</xdr:rowOff>
    </xdr:to>
    <xdr:sp macro="" textlink="">
      <xdr:nvSpPr>
        <xdr:cNvPr id="6145" name="AutoShape 1" descr="Nature Reviews Drug Discovery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1180000}"/>
            </a:ext>
          </a:extLst>
        </xdr:cNvPr>
        <xdr:cNvSpPr>
          <a:spLocks noChangeAspect="1" noChangeArrowheads="1"/>
        </xdr:cNvSpPr>
      </xdr:nvSpPr>
      <xdr:spPr bwMode="auto">
        <a:xfrm>
          <a:off x="17135475" y="8994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0</xdr:colOff>
      <xdr:row>224</xdr:row>
      <xdr:rowOff>0</xdr:rowOff>
    </xdr:from>
    <xdr:to>
      <xdr:col>9</xdr:col>
      <xdr:colOff>9525</xdr:colOff>
      <xdr:row>224</xdr:row>
      <xdr:rowOff>9525</xdr:rowOff>
    </xdr:to>
    <xdr:pic>
      <xdr:nvPicPr>
        <xdr:cNvPr id="7" name="그림 6" descr="https://d.adroll.com/cm/aol/out?adroll_fpc=49bebeed5a33828177125b8b0ae3723d-1625029784745&amp;arrfrr=https%3A%2F%2Fwww.pharmexec.com%2Fview%2F2021-pharma-50&amp;xid_ch=f&amp;advertisable=R5SW7T3VQBDB5LRMR673KZ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91450" y="469392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224</xdr:row>
      <xdr:rowOff>0</xdr:rowOff>
    </xdr:from>
    <xdr:to>
      <xdr:col>9</xdr:col>
      <xdr:colOff>28575</xdr:colOff>
      <xdr:row>224</xdr:row>
      <xdr:rowOff>9525</xdr:rowOff>
    </xdr:to>
    <xdr:pic>
      <xdr:nvPicPr>
        <xdr:cNvPr id="8" name="그림 7" descr="https://d.adroll.com/cm/index/out?adroll_fpc=49bebeed5a33828177125b8b0ae3723d-1625029784745&amp;arrfrr=https%3A%2F%2Fwww.pharmexec.com%2Fview%2F2021-pharma-50&amp;xid_ch=f&amp;advertisable=R5SW7T3VQBDB5LRMR673KZ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10500" y="469392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38100</xdr:colOff>
      <xdr:row>224</xdr:row>
      <xdr:rowOff>0</xdr:rowOff>
    </xdr:from>
    <xdr:to>
      <xdr:col>9</xdr:col>
      <xdr:colOff>47625</xdr:colOff>
      <xdr:row>224</xdr:row>
      <xdr:rowOff>9525</xdr:rowOff>
    </xdr:to>
    <xdr:pic>
      <xdr:nvPicPr>
        <xdr:cNvPr id="9" name="그림 8" descr="https://d.adroll.com/cm/n/out?adroll_fpc=49bebeed5a33828177125b8b0ae3723d-1625029784745&amp;arrfrr=https%3A%2F%2Fwww.pharmexec.com%2Fview%2F2021-pharma-50&amp;xid_ch=f&amp;advertisable=R5SW7T3VQBDB5LRMR673KZ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29550" y="469392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57150</xdr:colOff>
      <xdr:row>224</xdr:row>
      <xdr:rowOff>0</xdr:rowOff>
    </xdr:from>
    <xdr:to>
      <xdr:col>9</xdr:col>
      <xdr:colOff>66675</xdr:colOff>
      <xdr:row>224</xdr:row>
      <xdr:rowOff>9525</xdr:rowOff>
    </xdr:to>
    <xdr:sp macro="" textlink="">
      <xdr:nvSpPr>
        <xdr:cNvPr id="6148" name="AutoShape 4" descr="https://d.adroll.com/cm/outbrain/out?adroll_fpc=49bebeed5a33828177125b8b0ae3723d-1625029784745&amp;arrfrr=https%3A%2F%2Fwww.pharmexec.com%2Fview%2F2021-pharma-50&amp;xid_ch=f&amp;advertisable=R5SW7T3VQBDB5LRMR673KZ">
          <a:extLst>
            <a:ext uri="{FF2B5EF4-FFF2-40B4-BE49-F238E27FC236}">
              <a16:creationId xmlns:a16="http://schemas.microsoft.com/office/drawing/2014/main" id="{00000000-0008-0000-0500-000004180000}"/>
            </a:ext>
          </a:extLst>
        </xdr:cNvPr>
        <xdr:cNvSpPr>
          <a:spLocks noChangeAspect="1" noChangeArrowheads="1"/>
        </xdr:cNvSpPr>
      </xdr:nvSpPr>
      <xdr:spPr bwMode="auto">
        <a:xfrm>
          <a:off x="7848600" y="469392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76200</xdr:colOff>
      <xdr:row>224</xdr:row>
      <xdr:rowOff>0</xdr:rowOff>
    </xdr:from>
    <xdr:to>
      <xdr:col>9</xdr:col>
      <xdr:colOff>85725</xdr:colOff>
      <xdr:row>224</xdr:row>
      <xdr:rowOff>9525</xdr:rowOff>
    </xdr:to>
    <xdr:sp macro="" textlink="">
      <xdr:nvSpPr>
        <xdr:cNvPr id="6149" name="AutoShape 5" descr="https://d.adroll.com/cm/pubmatic/out?adroll_fpc=49bebeed5a33828177125b8b0ae3723d-1625029784745&amp;arrfrr=https%3A%2F%2Fwww.pharmexec.com%2Fview%2F2021-pharma-50&amp;xid_ch=f&amp;advertisable=R5SW7T3VQBDB5LRMR673KZ">
          <a:extLst>
            <a:ext uri="{FF2B5EF4-FFF2-40B4-BE49-F238E27FC236}">
              <a16:creationId xmlns:a16="http://schemas.microsoft.com/office/drawing/2014/main" id="{00000000-0008-0000-0500-000005180000}"/>
            </a:ext>
          </a:extLst>
        </xdr:cNvPr>
        <xdr:cNvSpPr>
          <a:spLocks noChangeAspect="1" noChangeArrowheads="1"/>
        </xdr:cNvSpPr>
      </xdr:nvSpPr>
      <xdr:spPr bwMode="auto">
        <a:xfrm>
          <a:off x="7867650" y="469392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95250</xdr:colOff>
      <xdr:row>224</xdr:row>
      <xdr:rowOff>0</xdr:rowOff>
    </xdr:from>
    <xdr:to>
      <xdr:col>9</xdr:col>
      <xdr:colOff>104775</xdr:colOff>
      <xdr:row>224</xdr:row>
      <xdr:rowOff>9525</xdr:rowOff>
    </xdr:to>
    <xdr:sp macro="" textlink="">
      <xdr:nvSpPr>
        <xdr:cNvPr id="6150" name="AutoShape 6" descr="https://d.adroll.com/cm/r/out?adroll_fpc=49bebeed5a33828177125b8b0ae3723d-1625029784745&amp;arrfrr=https%3A%2F%2Fwww.pharmexec.com%2Fview%2F2021-pharma-50&amp;xid_ch=f&amp;advertisable=R5SW7T3VQBDB5LRMR673KZ">
          <a:extLst>
            <a:ext uri="{FF2B5EF4-FFF2-40B4-BE49-F238E27FC236}">
              <a16:creationId xmlns:a16="http://schemas.microsoft.com/office/drawing/2014/main" id="{00000000-0008-0000-0500-000006180000}"/>
            </a:ext>
          </a:extLst>
        </xdr:cNvPr>
        <xdr:cNvSpPr>
          <a:spLocks noChangeAspect="1" noChangeArrowheads="1"/>
        </xdr:cNvSpPr>
      </xdr:nvSpPr>
      <xdr:spPr bwMode="auto">
        <a:xfrm>
          <a:off x="7886700" y="469392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114300</xdr:colOff>
      <xdr:row>224</xdr:row>
      <xdr:rowOff>0</xdr:rowOff>
    </xdr:from>
    <xdr:to>
      <xdr:col>9</xdr:col>
      <xdr:colOff>123825</xdr:colOff>
      <xdr:row>224</xdr:row>
      <xdr:rowOff>9525</xdr:rowOff>
    </xdr:to>
    <xdr:sp macro="" textlink="">
      <xdr:nvSpPr>
        <xdr:cNvPr id="6151" name="AutoShape 7" descr="https://d.adroll.com/cm/taboola/out?adroll_fpc=49bebeed5a33828177125b8b0ae3723d-1625029784745&amp;arrfrr=https%3A%2F%2Fwww.pharmexec.com%2Fview%2F2021-pharma-50&amp;xid_ch=f&amp;advertisable=R5SW7T3VQBDB5LRMR673KZ">
          <a:extLst>
            <a:ext uri="{FF2B5EF4-FFF2-40B4-BE49-F238E27FC236}">
              <a16:creationId xmlns:a16="http://schemas.microsoft.com/office/drawing/2014/main" id="{00000000-0008-0000-0500-000007180000}"/>
            </a:ext>
          </a:extLst>
        </xdr:cNvPr>
        <xdr:cNvSpPr>
          <a:spLocks noChangeAspect="1" noChangeArrowheads="1"/>
        </xdr:cNvSpPr>
      </xdr:nvSpPr>
      <xdr:spPr bwMode="auto">
        <a:xfrm>
          <a:off x="7905750" y="469392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133350</xdr:colOff>
      <xdr:row>224</xdr:row>
      <xdr:rowOff>0</xdr:rowOff>
    </xdr:from>
    <xdr:to>
      <xdr:col>9</xdr:col>
      <xdr:colOff>142875</xdr:colOff>
      <xdr:row>224</xdr:row>
      <xdr:rowOff>9525</xdr:rowOff>
    </xdr:to>
    <xdr:pic>
      <xdr:nvPicPr>
        <xdr:cNvPr id="14" name="그림 13" descr="https://d.adroll.com/cm/triplelift/out?adroll_fpc=49bebeed5a33828177125b8b0ae3723d-1625029784745&amp;arrfrr=https%3A%2F%2Fwww.pharmexec.com%2Fview%2F2021-pharma-50&amp;xid_ch=f&amp;advertisable=R5SW7T3VQBDB5LRMR673KZ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24800" y="469392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225</xdr:row>
      <xdr:rowOff>0</xdr:rowOff>
    </xdr:from>
    <xdr:to>
      <xdr:col>9</xdr:col>
      <xdr:colOff>9525</xdr:colOff>
      <xdr:row>225</xdr:row>
      <xdr:rowOff>9525</xdr:rowOff>
    </xdr:to>
    <xdr:sp macro="" textlink="">
      <xdr:nvSpPr>
        <xdr:cNvPr id="6153" name="AutoShape 9" descr="https://d.adroll.com/cm/r/out?adroll_fpc=49bebeed5a33828177125b8b0ae3723d-1625029784745&amp;arrfrr=https%3A%2F%2Fwww.pharmexec.com%2Fview%2F2021-pharma-50&amp;xid_ch=f&amp;advertisable=R5SW7T3VQBDB5LRMR673KZ">
          <a:extLst>
            <a:ext uri="{FF2B5EF4-FFF2-40B4-BE49-F238E27FC236}">
              <a16:creationId xmlns:a16="http://schemas.microsoft.com/office/drawing/2014/main" id="{00000000-0008-0000-0500-000009180000}"/>
            </a:ext>
          </a:extLst>
        </xdr:cNvPr>
        <xdr:cNvSpPr>
          <a:spLocks noChangeAspect="1" noChangeArrowheads="1"/>
        </xdr:cNvSpPr>
      </xdr:nvSpPr>
      <xdr:spPr bwMode="auto">
        <a:xfrm>
          <a:off x="7791450" y="471582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19050</xdr:colOff>
      <xdr:row>225</xdr:row>
      <xdr:rowOff>0</xdr:rowOff>
    </xdr:from>
    <xdr:to>
      <xdr:col>9</xdr:col>
      <xdr:colOff>28575</xdr:colOff>
      <xdr:row>225</xdr:row>
      <xdr:rowOff>9525</xdr:rowOff>
    </xdr:to>
    <xdr:pic>
      <xdr:nvPicPr>
        <xdr:cNvPr id="16" name="그림 15" descr="https://d.adroll.com/cm/b/out?adroll_fpc=49bebeed5a33828177125b8b0ae3723d-1625029784745&amp;arrfrr=https%3A%2F%2Fwww.pharmexec.com%2Fview%2F2021-pharma-50&amp;xid_ch=f&amp;advertisable=R5SW7T3VQBDB5LRMR673KZ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10500" y="471582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38100</xdr:colOff>
      <xdr:row>225</xdr:row>
      <xdr:rowOff>0</xdr:rowOff>
    </xdr:from>
    <xdr:to>
      <xdr:col>9</xdr:col>
      <xdr:colOff>47625</xdr:colOff>
      <xdr:row>225</xdr:row>
      <xdr:rowOff>9525</xdr:rowOff>
    </xdr:to>
    <xdr:pic>
      <xdr:nvPicPr>
        <xdr:cNvPr id="17" name="그림 16" descr="https://d.adroll.com/cm/x/out?adroll_fpc=49bebeed5a33828177125b8b0ae3723d-1625029784745&amp;arrfrr=https%3A%2F%2Fwww.pharmexec.com%2Fview%2F2021-pharma-50&amp;xid_ch=f&amp;advertisable=R5SW7T3VQBDB5LRMR673KZ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29550" y="471582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57150</xdr:colOff>
      <xdr:row>225</xdr:row>
      <xdr:rowOff>0</xdr:rowOff>
    </xdr:from>
    <xdr:to>
      <xdr:col>9</xdr:col>
      <xdr:colOff>66675</xdr:colOff>
      <xdr:row>225</xdr:row>
      <xdr:rowOff>9525</xdr:rowOff>
    </xdr:to>
    <xdr:sp macro="" textlink="">
      <xdr:nvSpPr>
        <xdr:cNvPr id="6156" name="AutoShape 12" descr="https://d.adroll.com/cm/l/out?adroll_fpc=49bebeed5a33828177125b8b0ae3723d-1625029784745&amp;arrfrr=https%3A%2F%2Fwww.pharmexec.com%2Fview%2F2021-pharma-50&amp;xid_ch=f&amp;advertisable=R5SW7T3VQBDB5LRMR673KZ">
          <a:extLst>
            <a:ext uri="{FF2B5EF4-FFF2-40B4-BE49-F238E27FC236}">
              <a16:creationId xmlns:a16="http://schemas.microsoft.com/office/drawing/2014/main" id="{00000000-0008-0000-0500-00000C180000}"/>
            </a:ext>
          </a:extLst>
        </xdr:cNvPr>
        <xdr:cNvSpPr>
          <a:spLocks noChangeAspect="1" noChangeArrowheads="1"/>
        </xdr:cNvSpPr>
      </xdr:nvSpPr>
      <xdr:spPr bwMode="auto">
        <a:xfrm>
          <a:off x="7848600" y="471582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76200</xdr:colOff>
      <xdr:row>225</xdr:row>
      <xdr:rowOff>0</xdr:rowOff>
    </xdr:from>
    <xdr:to>
      <xdr:col>9</xdr:col>
      <xdr:colOff>85725</xdr:colOff>
      <xdr:row>225</xdr:row>
      <xdr:rowOff>9525</xdr:rowOff>
    </xdr:to>
    <xdr:pic>
      <xdr:nvPicPr>
        <xdr:cNvPr id="19" name="그림 18" descr="https://d.adroll.com/cm/o/out?adroll_fpc=49bebeed5a33828177125b8b0ae3723d-1625029784745&amp;arrfrr=https%3A%2F%2Fwww.pharmexec.com%2Fview%2F2021-pharma-50&amp;xid_ch=f&amp;advertisable=R5SW7T3VQBDB5LRMR673KZ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67650" y="471582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95250</xdr:colOff>
      <xdr:row>225</xdr:row>
      <xdr:rowOff>0</xdr:rowOff>
    </xdr:from>
    <xdr:to>
      <xdr:col>9</xdr:col>
      <xdr:colOff>104775</xdr:colOff>
      <xdr:row>225</xdr:row>
      <xdr:rowOff>9525</xdr:rowOff>
    </xdr:to>
    <xdr:pic>
      <xdr:nvPicPr>
        <xdr:cNvPr id="20" name="그림 19" descr="https://d.adroll.com/cm/g/out?adroll_fpc=49bebeed5a33828177125b8b0ae3723d-1625029784745&amp;arrfrr=https%3A%2F%2Fwww.pharmexec.com%2Fview%2F2021-pharma-50&amp;xid_ch=f&amp;advertisable=R5SW7T3VQBDB5LRMR673KZ&amp;google_nid=adroll5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86700" y="471582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0</xdr:colOff>
      <xdr:row>380</xdr:row>
      <xdr:rowOff>212911</xdr:rowOff>
    </xdr:from>
    <xdr:to>
      <xdr:col>17</xdr:col>
      <xdr:colOff>818030</xdr:colOff>
      <xdr:row>395</xdr:row>
      <xdr:rowOff>156881</xdr:rowOff>
    </xdr:to>
    <xdr:graphicFrame macro="">
      <xdr:nvGraphicFramePr>
        <xdr:cNvPr id="21" name="의약품-01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0.88101</cdr:x>
      <cdr:y>0</cdr:y>
    </cdr:from>
    <cdr:to>
      <cdr:x>1</cdr:x>
      <cdr:y>0.10528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10662353" y="0"/>
          <a:ext cx="1440000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건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0.88101</cdr:x>
      <cdr:y>0</cdr:y>
    </cdr:from>
    <cdr:to>
      <cdr:x>1</cdr:x>
      <cdr:y>0.10528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10662353" y="0"/>
          <a:ext cx="1440000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억원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0.88101</cdr:x>
      <cdr:y>0</cdr:y>
    </cdr:from>
    <cdr:to>
      <cdr:x>1</cdr:x>
      <cdr:y>0.10528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10662353" y="0"/>
          <a:ext cx="1440000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억원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</xdr:colOff>
      <xdr:row>8</xdr:row>
      <xdr:rowOff>0</xdr:rowOff>
    </xdr:from>
    <xdr:to>
      <xdr:col>15</xdr:col>
      <xdr:colOff>750094</xdr:colOff>
      <xdr:row>23</xdr:row>
      <xdr:rowOff>0</xdr:rowOff>
    </xdr:to>
    <xdr:graphicFrame macro="">
      <xdr:nvGraphicFramePr>
        <xdr:cNvPr id="2" name="의료기기-0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</xdr:colOff>
      <xdr:row>131</xdr:row>
      <xdr:rowOff>71437</xdr:rowOff>
    </xdr:from>
    <xdr:to>
      <xdr:col>15</xdr:col>
      <xdr:colOff>750093</xdr:colOff>
      <xdr:row>142</xdr:row>
      <xdr:rowOff>0</xdr:rowOff>
    </xdr:to>
    <xdr:graphicFrame macro="">
      <xdr:nvGraphicFramePr>
        <xdr:cNvPr id="4" name="의료기기-0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215</xdr:row>
      <xdr:rowOff>0</xdr:rowOff>
    </xdr:from>
    <xdr:to>
      <xdr:col>18</xdr:col>
      <xdr:colOff>0</xdr:colOff>
      <xdr:row>230</xdr:row>
      <xdr:rowOff>0</xdr:rowOff>
    </xdr:to>
    <xdr:graphicFrame macro="">
      <xdr:nvGraphicFramePr>
        <xdr:cNvPr id="3" name="의료기기-10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0</xdr:colOff>
      <xdr:row>151</xdr:row>
      <xdr:rowOff>0</xdr:rowOff>
    </xdr:from>
    <xdr:to>
      <xdr:col>9</xdr:col>
      <xdr:colOff>7620</xdr:colOff>
      <xdr:row>151</xdr:row>
      <xdr:rowOff>7620</xdr:rowOff>
    </xdr:to>
    <xdr:sp macro="" textlink="">
      <xdr:nvSpPr>
        <xdr:cNvPr id="7239" name="AutoShape 71" descr="https://d.adroll.com/cm/aol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471C0000}"/>
            </a:ext>
          </a:extLst>
        </xdr:cNvPr>
        <xdr:cNvSpPr>
          <a:spLocks noChangeAspect="1" noChangeArrowheads="1"/>
        </xdr:cNvSpPr>
      </xdr:nvSpPr>
      <xdr:spPr bwMode="auto">
        <a:xfrm>
          <a:off x="5295900" y="1900428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15240</xdr:colOff>
      <xdr:row>151</xdr:row>
      <xdr:rowOff>0</xdr:rowOff>
    </xdr:from>
    <xdr:to>
      <xdr:col>9</xdr:col>
      <xdr:colOff>22860</xdr:colOff>
      <xdr:row>151</xdr:row>
      <xdr:rowOff>7620</xdr:rowOff>
    </xdr:to>
    <xdr:pic>
      <xdr:nvPicPr>
        <xdr:cNvPr id="77" name="그림 76" descr="https://d.adroll.com/cm/index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11140" y="1900428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30480</xdr:colOff>
      <xdr:row>151</xdr:row>
      <xdr:rowOff>0</xdr:rowOff>
    </xdr:from>
    <xdr:to>
      <xdr:col>9</xdr:col>
      <xdr:colOff>38100</xdr:colOff>
      <xdr:row>151</xdr:row>
      <xdr:rowOff>7620</xdr:rowOff>
    </xdr:to>
    <xdr:pic>
      <xdr:nvPicPr>
        <xdr:cNvPr id="78" name="그림 77" descr="https://d.adroll.com/cm/n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26380" y="1900428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45720</xdr:colOff>
      <xdr:row>151</xdr:row>
      <xdr:rowOff>0</xdr:rowOff>
    </xdr:from>
    <xdr:to>
      <xdr:col>9</xdr:col>
      <xdr:colOff>53340</xdr:colOff>
      <xdr:row>151</xdr:row>
      <xdr:rowOff>7620</xdr:rowOff>
    </xdr:to>
    <xdr:sp macro="" textlink="">
      <xdr:nvSpPr>
        <xdr:cNvPr id="7242" name="AutoShape 74" descr="https://d.adroll.com/cm/outbrain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4A1C0000}"/>
            </a:ext>
          </a:extLst>
        </xdr:cNvPr>
        <xdr:cNvSpPr>
          <a:spLocks noChangeAspect="1" noChangeArrowheads="1"/>
        </xdr:cNvSpPr>
      </xdr:nvSpPr>
      <xdr:spPr bwMode="auto">
        <a:xfrm>
          <a:off x="5341620" y="1900428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60960</xdr:colOff>
      <xdr:row>151</xdr:row>
      <xdr:rowOff>0</xdr:rowOff>
    </xdr:from>
    <xdr:to>
      <xdr:col>9</xdr:col>
      <xdr:colOff>68580</xdr:colOff>
      <xdr:row>151</xdr:row>
      <xdr:rowOff>7620</xdr:rowOff>
    </xdr:to>
    <xdr:sp macro="" textlink="">
      <xdr:nvSpPr>
        <xdr:cNvPr id="7243" name="AutoShape 75" descr="https://d.adroll.com/cm/pubmatic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4B1C0000}"/>
            </a:ext>
          </a:extLst>
        </xdr:cNvPr>
        <xdr:cNvSpPr>
          <a:spLocks noChangeAspect="1" noChangeArrowheads="1"/>
        </xdr:cNvSpPr>
      </xdr:nvSpPr>
      <xdr:spPr bwMode="auto">
        <a:xfrm>
          <a:off x="5356860" y="1900428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76200</xdr:colOff>
      <xdr:row>151</xdr:row>
      <xdr:rowOff>0</xdr:rowOff>
    </xdr:from>
    <xdr:to>
      <xdr:col>9</xdr:col>
      <xdr:colOff>83820</xdr:colOff>
      <xdr:row>151</xdr:row>
      <xdr:rowOff>7620</xdr:rowOff>
    </xdr:to>
    <xdr:sp macro="" textlink="">
      <xdr:nvSpPr>
        <xdr:cNvPr id="7244" name="AutoShape 76" descr="https://d.adroll.com/cm/r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4C1C0000}"/>
            </a:ext>
          </a:extLst>
        </xdr:cNvPr>
        <xdr:cNvSpPr>
          <a:spLocks noChangeAspect="1" noChangeArrowheads="1"/>
        </xdr:cNvSpPr>
      </xdr:nvSpPr>
      <xdr:spPr bwMode="auto">
        <a:xfrm>
          <a:off x="5372100" y="1900428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91440</xdr:colOff>
      <xdr:row>151</xdr:row>
      <xdr:rowOff>0</xdr:rowOff>
    </xdr:from>
    <xdr:to>
      <xdr:col>9</xdr:col>
      <xdr:colOff>99060</xdr:colOff>
      <xdr:row>151</xdr:row>
      <xdr:rowOff>7620</xdr:rowOff>
    </xdr:to>
    <xdr:sp macro="" textlink="">
      <xdr:nvSpPr>
        <xdr:cNvPr id="7245" name="AutoShape 77" descr="https://d.adroll.com/cm/taboola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4D1C0000}"/>
            </a:ext>
          </a:extLst>
        </xdr:cNvPr>
        <xdr:cNvSpPr>
          <a:spLocks noChangeAspect="1" noChangeArrowheads="1"/>
        </xdr:cNvSpPr>
      </xdr:nvSpPr>
      <xdr:spPr bwMode="auto">
        <a:xfrm>
          <a:off x="5387340" y="1900428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106680</xdr:colOff>
      <xdr:row>151</xdr:row>
      <xdr:rowOff>0</xdr:rowOff>
    </xdr:from>
    <xdr:to>
      <xdr:col>9</xdr:col>
      <xdr:colOff>114300</xdr:colOff>
      <xdr:row>151</xdr:row>
      <xdr:rowOff>7620</xdr:rowOff>
    </xdr:to>
    <xdr:pic>
      <xdr:nvPicPr>
        <xdr:cNvPr id="83" name="그림 82" descr="https://d.adroll.com/cm/triplelift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2580" y="1900428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151</xdr:row>
      <xdr:rowOff>0</xdr:rowOff>
    </xdr:from>
    <xdr:to>
      <xdr:col>9</xdr:col>
      <xdr:colOff>7620</xdr:colOff>
      <xdr:row>151</xdr:row>
      <xdr:rowOff>7620</xdr:rowOff>
    </xdr:to>
    <xdr:sp macro="" textlink="">
      <xdr:nvSpPr>
        <xdr:cNvPr id="7247" name="AutoShape 79" descr="https://d.adroll.com/cm/r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4F1C0000}"/>
            </a:ext>
          </a:extLst>
        </xdr:cNvPr>
        <xdr:cNvSpPr>
          <a:spLocks noChangeAspect="1" noChangeArrowheads="1"/>
        </xdr:cNvSpPr>
      </xdr:nvSpPr>
      <xdr:spPr bwMode="auto">
        <a:xfrm>
          <a:off x="5295900" y="1922526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15240</xdr:colOff>
      <xdr:row>151</xdr:row>
      <xdr:rowOff>0</xdr:rowOff>
    </xdr:from>
    <xdr:to>
      <xdr:col>9</xdr:col>
      <xdr:colOff>22860</xdr:colOff>
      <xdr:row>151</xdr:row>
      <xdr:rowOff>7620</xdr:rowOff>
    </xdr:to>
    <xdr:pic>
      <xdr:nvPicPr>
        <xdr:cNvPr id="85" name="그림 84" descr="https://d.adroll.com/cm/b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11140" y="1922526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30480</xdr:colOff>
      <xdr:row>151</xdr:row>
      <xdr:rowOff>0</xdr:rowOff>
    </xdr:from>
    <xdr:to>
      <xdr:col>9</xdr:col>
      <xdr:colOff>38100</xdr:colOff>
      <xdr:row>151</xdr:row>
      <xdr:rowOff>7620</xdr:rowOff>
    </xdr:to>
    <xdr:pic>
      <xdr:nvPicPr>
        <xdr:cNvPr id="86" name="그림 85" descr="https://d.adroll.com/cm/x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26380" y="1922526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45720</xdr:colOff>
      <xdr:row>151</xdr:row>
      <xdr:rowOff>0</xdr:rowOff>
    </xdr:from>
    <xdr:to>
      <xdr:col>9</xdr:col>
      <xdr:colOff>53340</xdr:colOff>
      <xdr:row>151</xdr:row>
      <xdr:rowOff>7620</xdr:rowOff>
    </xdr:to>
    <xdr:sp macro="" textlink="">
      <xdr:nvSpPr>
        <xdr:cNvPr id="7250" name="AutoShape 82" descr="https://d.adroll.com/cm/l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521C0000}"/>
            </a:ext>
          </a:extLst>
        </xdr:cNvPr>
        <xdr:cNvSpPr>
          <a:spLocks noChangeAspect="1" noChangeArrowheads="1"/>
        </xdr:cNvSpPr>
      </xdr:nvSpPr>
      <xdr:spPr bwMode="auto">
        <a:xfrm>
          <a:off x="5341620" y="1922526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60960</xdr:colOff>
      <xdr:row>151</xdr:row>
      <xdr:rowOff>0</xdr:rowOff>
    </xdr:from>
    <xdr:to>
      <xdr:col>9</xdr:col>
      <xdr:colOff>68580</xdr:colOff>
      <xdr:row>151</xdr:row>
      <xdr:rowOff>7620</xdr:rowOff>
    </xdr:to>
    <xdr:pic>
      <xdr:nvPicPr>
        <xdr:cNvPr id="88" name="그림 87" descr="https://d.adroll.com/cm/o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56860" y="1922526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76200</xdr:colOff>
      <xdr:row>151</xdr:row>
      <xdr:rowOff>0</xdr:rowOff>
    </xdr:from>
    <xdr:to>
      <xdr:col>9</xdr:col>
      <xdr:colOff>83820</xdr:colOff>
      <xdr:row>151</xdr:row>
      <xdr:rowOff>7620</xdr:rowOff>
    </xdr:to>
    <xdr:pic>
      <xdr:nvPicPr>
        <xdr:cNvPr id="89" name="그림 88" descr="https://d.adroll.com/cm/g/out?adroll_fpc=223c5e8a59e3258b73dc5e4a3f86eb88-1625451615542&amp;arrfrr=https%3A%2F%2Fwww.mddionline.com%2Fbusiness%2Ftop-40-medical-device-companies-0&amp;xid_ch=f&amp;advertisable=JNVSPZ7NAFA2TEXHSFO7BW&amp;google_nid=adroll5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1922526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152</xdr:row>
      <xdr:rowOff>0</xdr:rowOff>
    </xdr:from>
    <xdr:to>
      <xdr:col>6</xdr:col>
      <xdr:colOff>7620</xdr:colOff>
      <xdr:row>152</xdr:row>
      <xdr:rowOff>7620</xdr:rowOff>
    </xdr:to>
    <xdr:sp macro="" textlink="">
      <xdr:nvSpPr>
        <xdr:cNvPr id="7253" name="AutoShape 85" descr="https://d.adroll.com/cm/aol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551C0000}"/>
            </a:ext>
          </a:extLst>
        </xdr:cNvPr>
        <xdr:cNvSpPr>
          <a:spLocks noChangeAspect="1" noChangeArrowheads="1"/>
        </xdr:cNvSpPr>
      </xdr:nvSpPr>
      <xdr:spPr bwMode="auto">
        <a:xfrm>
          <a:off x="5295900" y="1944624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15240</xdr:colOff>
      <xdr:row>152</xdr:row>
      <xdr:rowOff>0</xdr:rowOff>
    </xdr:from>
    <xdr:to>
      <xdr:col>6</xdr:col>
      <xdr:colOff>22860</xdr:colOff>
      <xdr:row>152</xdr:row>
      <xdr:rowOff>7620</xdr:rowOff>
    </xdr:to>
    <xdr:pic>
      <xdr:nvPicPr>
        <xdr:cNvPr id="91" name="그림 90" descr="https://d.adroll.com/cm/index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11140" y="1944624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</xdr:colOff>
      <xdr:row>152</xdr:row>
      <xdr:rowOff>0</xdr:rowOff>
    </xdr:from>
    <xdr:to>
      <xdr:col>6</xdr:col>
      <xdr:colOff>38100</xdr:colOff>
      <xdr:row>152</xdr:row>
      <xdr:rowOff>7620</xdr:rowOff>
    </xdr:to>
    <xdr:pic>
      <xdr:nvPicPr>
        <xdr:cNvPr id="92" name="그림 91" descr="https://d.adroll.com/cm/n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26380" y="1944624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45720</xdr:colOff>
      <xdr:row>152</xdr:row>
      <xdr:rowOff>0</xdr:rowOff>
    </xdr:from>
    <xdr:to>
      <xdr:col>6</xdr:col>
      <xdr:colOff>53340</xdr:colOff>
      <xdr:row>152</xdr:row>
      <xdr:rowOff>7620</xdr:rowOff>
    </xdr:to>
    <xdr:sp macro="" textlink="">
      <xdr:nvSpPr>
        <xdr:cNvPr id="7256" name="AutoShape 88" descr="https://d.adroll.com/cm/outbrain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581C0000}"/>
            </a:ext>
          </a:extLst>
        </xdr:cNvPr>
        <xdr:cNvSpPr>
          <a:spLocks noChangeAspect="1" noChangeArrowheads="1"/>
        </xdr:cNvSpPr>
      </xdr:nvSpPr>
      <xdr:spPr bwMode="auto">
        <a:xfrm>
          <a:off x="5341620" y="1944624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60960</xdr:colOff>
      <xdr:row>152</xdr:row>
      <xdr:rowOff>0</xdr:rowOff>
    </xdr:from>
    <xdr:to>
      <xdr:col>6</xdr:col>
      <xdr:colOff>68580</xdr:colOff>
      <xdr:row>152</xdr:row>
      <xdr:rowOff>7620</xdr:rowOff>
    </xdr:to>
    <xdr:sp macro="" textlink="">
      <xdr:nvSpPr>
        <xdr:cNvPr id="7257" name="AutoShape 89" descr="https://d.adroll.com/cm/pubmatic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591C0000}"/>
            </a:ext>
          </a:extLst>
        </xdr:cNvPr>
        <xdr:cNvSpPr>
          <a:spLocks noChangeAspect="1" noChangeArrowheads="1"/>
        </xdr:cNvSpPr>
      </xdr:nvSpPr>
      <xdr:spPr bwMode="auto">
        <a:xfrm>
          <a:off x="5356860" y="1944624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76200</xdr:colOff>
      <xdr:row>152</xdr:row>
      <xdr:rowOff>0</xdr:rowOff>
    </xdr:from>
    <xdr:to>
      <xdr:col>6</xdr:col>
      <xdr:colOff>83820</xdr:colOff>
      <xdr:row>152</xdr:row>
      <xdr:rowOff>7620</xdr:rowOff>
    </xdr:to>
    <xdr:sp macro="" textlink="">
      <xdr:nvSpPr>
        <xdr:cNvPr id="7258" name="AutoShape 90" descr="https://d.adroll.com/cm/r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5A1C0000}"/>
            </a:ext>
          </a:extLst>
        </xdr:cNvPr>
        <xdr:cNvSpPr>
          <a:spLocks noChangeAspect="1" noChangeArrowheads="1"/>
        </xdr:cNvSpPr>
      </xdr:nvSpPr>
      <xdr:spPr bwMode="auto">
        <a:xfrm>
          <a:off x="5372100" y="1944624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91440</xdr:colOff>
      <xdr:row>152</xdr:row>
      <xdr:rowOff>0</xdr:rowOff>
    </xdr:from>
    <xdr:to>
      <xdr:col>6</xdr:col>
      <xdr:colOff>99060</xdr:colOff>
      <xdr:row>152</xdr:row>
      <xdr:rowOff>7620</xdr:rowOff>
    </xdr:to>
    <xdr:sp macro="" textlink="">
      <xdr:nvSpPr>
        <xdr:cNvPr id="7259" name="AutoShape 91" descr="https://d.adroll.com/cm/taboola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5B1C0000}"/>
            </a:ext>
          </a:extLst>
        </xdr:cNvPr>
        <xdr:cNvSpPr>
          <a:spLocks noChangeAspect="1" noChangeArrowheads="1"/>
        </xdr:cNvSpPr>
      </xdr:nvSpPr>
      <xdr:spPr bwMode="auto">
        <a:xfrm>
          <a:off x="5387340" y="1944624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106680</xdr:colOff>
      <xdr:row>152</xdr:row>
      <xdr:rowOff>0</xdr:rowOff>
    </xdr:from>
    <xdr:to>
      <xdr:col>6</xdr:col>
      <xdr:colOff>114300</xdr:colOff>
      <xdr:row>152</xdr:row>
      <xdr:rowOff>7620</xdr:rowOff>
    </xdr:to>
    <xdr:pic>
      <xdr:nvPicPr>
        <xdr:cNvPr id="97" name="그림 96" descr="https://d.adroll.com/cm/triplelift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2580" y="1944624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153</xdr:row>
      <xdr:rowOff>0</xdr:rowOff>
    </xdr:from>
    <xdr:to>
      <xdr:col>6</xdr:col>
      <xdr:colOff>7620</xdr:colOff>
      <xdr:row>153</xdr:row>
      <xdr:rowOff>7620</xdr:rowOff>
    </xdr:to>
    <xdr:sp macro="" textlink="">
      <xdr:nvSpPr>
        <xdr:cNvPr id="7261" name="AutoShape 93" descr="https://d.adroll.com/cm/r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5D1C0000}"/>
            </a:ext>
          </a:extLst>
        </xdr:cNvPr>
        <xdr:cNvSpPr>
          <a:spLocks noChangeAspect="1" noChangeArrowheads="1"/>
        </xdr:cNvSpPr>
      </xdr:nvSpPr>
      <xdr:spPr bwMode="auto">
        <a:xfrm>
          <a:off x="5295900" y="1966722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15240</xdr:colOff>
      <xdr:row>153</xdr:row>
      <xdr:rowOff>0</xdr:rowOff>
    </xdr:from>
    <xdr:to>
      <xdr:col>6</xdr:col>
      <xdr:colOff>22860</xdr:colOff>
      <xdr:row>153</xdr:row>
      <xdr:rowOff>7620</xdr:rowOff>
    </xdr:to>
    <xdr:pic>
      <xdr:nvPicPr>
        <xdr:cNvPr id="99" name="그림 98" descr="https://d.adroll.com/cm/b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11140" y="1966722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</xdr:colOff>
      <xdr:row>153</xdr:row>
      <xdr:rowOff>0</xdr:rowOff>
    </xdr:from>
    <xdr:to>
      <xdr:col>6</xdr:col>
      <xdr:colOff>38100</xdr:colOff>
      <xdr:row>153</xdr:row>
      <xdr:rowOff>7620</xdr:rowOff>
    </xdr:to>
    <xdr:pic>
      <xdr:nvPicPr>
        <xdr:cNvPr id="100" name="그림 99" descr="https://d.adroll.com/cm/x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26380" y="1966722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45720</xdr:colOff>
      <xdr:row>153</xdr:row>
      <xdr:rowOff>0</xdr:rowOff>
    </xdr:from>
    <xdr:to>
      <xdr:col>6</xdr:col>
      <xdr:colOff>53340</xdr:colOff>
      <xdr:row>153</xdr:row>
      <xdr:rowOff>7620</xdr:rowOff>
    </xdr:to>
    <xdr:pic>
      <xdr:nvPicPr>
        <xdr:cNvPr id="101" name="그림 100" descr="https://d.adroll.com/cm/l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41620" y="1966722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60960</xdr:colOff>
      <xdr:row>153</xdr:row>
      <xdr:rowOff>0</xdr:rowOff>
    </xdr:from>
    <xdr:to>
      <xdr:col>6</xdr:col>
      <xdr:colOff>68580</xdr:colOff>
      <xdr:row>153</xdr:row>
      <xdr:rowOff>7620</xdr:rowOff>
    </xdr:to>
    <xdr:pic>
      <xdr:nvPicPr>
        <xdr:cNvPr id="102" name="그림 101" descr="https://d.adroll.com/cm/o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56860" y="1966722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76200</xdr:colOff>
      <xdr:row>153</xdr:row>
      <xdr:rowOff>0</xdr:rowOff>
    </xdr:from>
    <xdr:to>
      <xdr:col>6</xdr:col>
      <xdr:colOff>83820</xdr:colOff>
      <xdr:row>153</xdr:row>
      <xdr:rowOff>7620</xdr:rowOff>
    </xdr:to>
    <xdr:pic>
      <xdr:nvPicPr>
        <xdr:cNvPr id="103" name="그림 102" descr="https://d.adroll.com/cm/g/out?adroll_fpc=223c5e8a59e3258b73dc5e4a3f86eb88-1625451615542&amp;arrfrr=https%3A%2F%2Fwww.mddionline.com%2Fbusiness%2Ftop-40-medical-device-companies-0&amp;xid_ch=f&amp;advertisable=JNVSPZ7NAFA2TEXHSFO7BW&amp;google_nid=adroll5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1966722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154</xdr:row>
      <xdr:rowOff>0</xdr:rowOff>
    </xdr:from>
    <xdr:to>
      <xdr:col>6</xdr:col>
      <xdr:colOff>7620</xdr:colOff>
      <xdr:row>154</xdr:row>
      <xdr:rowOff>7620</xdr:rowOff>
    </xdr:to>
    <xdr:sp macro="" textlink="">
      <xdr:nvSpPr>
        <xdr:cNvPr id="7267" name="AutoShape 99" descr="https://d.adroll.com/cm/aol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631C0000}"/>
            </a:ext>
          </a:extLst>
        </xdr:cNvPr>
        <xdr:cNvSpPr>
          <a:spLocks noChangeAspect="1" noChangeArrowheads="1"/>
        </xdr:cNvSpPr>
      </xdr:nvSpPr>
      <xdr:spPr bwMode="auto">
        <a:xfrm>
          <a:off x="5295900" y="198882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15240</xdr:colOff>
      <xdr:row>154</xdr:row>
      <xdr:rowOff>0</xdr:rowOff>
    </xdr:from>
    <xdr:to>
      <xdr:col>6</xdr:col>
      <xdr:colOff>22860</xdr:colOff>
      <xdr:row>154</xdr:row>
      <xdr:rowOff>7620</xdr:rowOff>
    </xdr:to>
    <xdr:pic>
      <xdr:nvPicPr>
        <xdr:cNvPr id="105" name="그림 104" descr="https://d.adroll.com/cm/index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11140" y="198882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</xdr:colOff>
      <xdr:row>154</xdr:row>
      <xdr:rowOff>0</xdr:rowOff>
    </xdr:from>
    <xdr:to>
      <xdr:col>6</xdr:col>
      <xdr:colOff>38100</xdr:colOff>
      <xdr:row>154</xdr:row>
      <xdr:rowOff>7620</xdr:rowOff>
    </xdr:to>
    <xdr:pic>
      <xdr:nvPicPr>
        <xdr:cNvPr id="106" name="그림 105" descr="https://d.adroll.com/cm/n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26380" y="198882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45720</xdr:colOff>
      <xdr:row>154</xdr:row>
      <xdr:rowOff>0</xdr:rowOff>
    </xdr:from>
    <xdr:to>
      <xdr:col>6</xdr:col>
      <xdr:colOff>53340</xdr:colOff>
      <xdr:row>154</xdr:row>
      <xdr:rowOff>7620</xdr:rowOff>
    </xdr:to>
    <xdr:sp macro="" textlink="">
      <xdr:nvSpPr>
        <xdr:cNvPr id="7270" name="AutoShape 102" descr="https://d.adroll.com/cm/outbrain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661C0000}"/>
            </a:ext>
          </a:extLst>
        </xdr:cNvPr>
        <xdr:cNvSpPr>
          <a:spLocks noChangeAspect="1" noChangeArrowheads="1"/>
        </xdr:cNvSpPr>
      </xdr:nvSpPr>
      <xdr:spPr bwMode="auto">
        <a:xfrm>
          <a:off x="5341620" y="198882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60960</xdr:colOff>
      <xdr:row>154</xdr:row>
      <xdr:rowOff>0</xdr:rowOff>
    </xdr:from>
    <xdr:to>
      <xdr:col>6</xdr:col>
      <xdr:colOff>68580</xdr:colOff>
      <xdr:row>154</xdr:row>
      <xdr:rowOff>7620</xdr:rowOff>
    </xdr:to>
    <xdr:sp macro="" textlink="">
      <xdr:nvSpPr>
        <xdr:cNvPr id="7271" name="AutoShape 103" descr="https://d.adroll.com/cm/pubmatic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671C0000}"/>
            </a:ext>
          </a:extLst>
        </xdr:cNvPr>
        <xdr:cNvSpPr>
          <a:spLocks noChangeAspect="1" noChangeArrowheads="1"/>
        </xdr:cNvSpPr>
      </xdr:nvSpPr>
      <xdr:spPr bwMode="auto">
        <a:xfrm>
          <a:off x="5356860" y="198882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76200</xdr:colOff>
      <xdr:row>154</xdr:row>
      <xdr:rowOff>0</xdr:rowOff>
    </xdr:from>
    <xdr:to>
      <xdr:col>6</xdr:col>
      <xdr:colOff>83820</xdr:colOff>
      <xdr:row>154</xdr:row>
      <xdr:rowOff>7620</xdr:rowOff>
    </xdr:to>
    <xdr:sp macro="" textlink="">
      <xdr:nvSpPr>
        <xdr:cNvPr id="7272" name="AutoShape 104" descr="https://d.adroll.com/cm/r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681C0000}"/>
            </a:ext>
          </a:extLst>
        </xdr:cNvPr>
        <xdr:cNvSpPr>
          <a:spLocks noChangeAspect="1" noChangeArrowheads="1"/>
        </xdr:cNvSpPr>
      </xdr:nvSpPr>
      <xdr:spPr bwMode="auto">
        <a:xfrm>
          <a:off x="5372100" y="198882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91440</xdr:colOff>
      <xdr:row>154</xdr:row>
      <xdr:rowOff>0</xdr:rowOff>
    </xdr:from>
    <xdr:to>
      <xdr:col>6</xdr:col>
      <xdr:colOff>99060</xdr:colOff>
      <xdr:row>154</xdr:row>
      <xdr:rowOff>7620</xdr:rowOff>
    </xdr:to>
    <xdr:sp macro="" textlink="">
      <xdr:nvSpPr>
        <xdr:cNvPr id="7273" name="AutoShape 105" descr="https://d.adroll.com/cm/taboola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691C0000}"/>
            </a:ext>
          </a:extLst>
        </xdr:cNvPr>
        <xdr:cNvSpPr>
          <a:spLocks noChangeAspect="1" noChangeArrowheads="1"/>
        </xdr:cNvSpPr>
      </xdr:nvSpPr>
      <xdr:spPr bwMode="auto">
        <a:xfrm>
          <a:off x="5387340" y="198882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106680</xdr:colOff>
      <xdr:row>154</xdr:row>
      <xdr:rowOff>0</xdr:rowOff>
    </xdr:from>
    <xdr:to>
      <xdr:col>6</xdr:col>
      <xdr:colOff>114300</xdr:colOff>
      <xdr:row>154</xdr:row>
      <xdr:rowOff>7620</xdr:rowOff>
    </xdr:to>
    <xdr:pic>
      <xdr:nvPicPr>
        <xdr:cNvPr id="111" name="그림 110" descr="https://d.adroll.com/cm/triplelift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2580" y="198882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155</xdr:row>
      <xdr:rowOff>0</xdr:rowOff>
    </xdr:from>
    <xdr:to>
      <xdr:col>6</xdr:col>
      <xdr:colOff>7620</xdr:colOff>
      <xdr:row>155</xdr:row>
      <xdr:rowOff>7620</xdr:rowOff>
    </xdr:to>
    <xdr:sp macro="" textlink="">
      <xdr:nvSpPr>
        <xdr:cNvPr id="7275" name="AutoShape 107" descr="https://d.adroll.com/cm/r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6B1C0000}"/>
            </a:ext>
          </a:extLst>
        </xdr:cNvPr>
        <xdr:cNvSpPr>
          <a:spLocks noChangeAspect="1" noChangeArrowheads="1"/>
        </xdr:cNvSpPr>
      </xdr:nvSpPr>
      <xdr:spPr bwMode="auto">
        <a:xfrm>
          <a:off x="5295900" y="2010918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15240</xdr:colOff>
      <xdr:row>155</xdr:row>
      <xdr:rowOff>0</xdr:rowOff>
    </xdr:from>
    <xdr:to>
      <xdr:col>6</xdr:col>
      <xdr:colOff>22860</xdr:colOff>
      <xdr:row>155</xdr:row>
      <xdr:rowOff>7620</xdr:rowOff>
    </xdr:to>
    <xdr:pic>
      <xdr:nvPicPr>
        <xdr:cNvPr id="113" name="그림 112" descr="https://d.adroll.com/cm/b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11140" y="2010918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</xdr:colOff>
      <xdr:row>155</xdr:row>
      <xdr:rowOff>0</xdr:rowOff>
    </xdr:from>
    <xdr:to>
      <xdr:col>6</xdr:col>
      <xdr:colOff>38100</xdr:colOff>
      <xdr:row>155</xdr:row>
      <xdr:rowOff>7620</xdr:rowOff>
    </xdr:to>
    <xdr:pic>
      <xdr:nvPicPr>
        <xdr:cNvPr id="114" name="그림 113" descr="https://d.adroll.com/cm/x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26380" y="2010918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45720</xdr:colOff>
      <xdr:row>155</xdr:row>
      <xdr:rowOff>0</xdr:rowOff>
    </xdr:from>
    <xdr:to>
      <xdr:col>6</xdr:col>
      <xdr:colOff>53340</xdr:colOff>
      <xdr:row>155</xdr:row>
      <xdr:rowOff>7620</xdr:rowOff>
    </xdr:to>
    <xdr:pic>
      <xdr:nvPicPr>
        <xdr:cNvPr id="115" name="그림 114" descr="https://d.adroll.com/cm/l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41620" y="2010918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60960</xdr:colOff>
      <xdr:row>155</xdr:row>
      <xdr:rowOff>0</xdr:rowOff>
    </xdr:from>
    <xdr:to>
      <xdr:col>6</xdr:col>
      <xdr:colOff>68580</xdr:colOff>
      <xdr:row>155</xdr:row>
      <xdr:rowOff>7620</xdr:rowOff>
    </xdr:to>
    <xdr:pic>
      <xdr:nvPicPr>
        <xdr:cNvPr id="116" name="그림 115" descr="https://d.adroll.com/cm/o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56860" y="2010918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76200</xdr:colOff>
      <xdr:row>155</xdr:row>
      <xdr:rowOff>0</xdr:rowOff>
    </xdr:from>
    <xdr:to>
      <xdr:col>6</xdr:col>
      <xdr:colOff>83820</xdr:colOff>
      <xdr:row>155</xdr:row>
      <xdr:rowOff>7620</xdr:rowOff>
    </xdr:to>
    <xdr:pic>
      <xdr:nvPicPr>
        <xdr:cNvPr id="117" name="그림 116" descr="https://d.adroll.com/cm/g/out?adroll_fpc=223c5e8a59e3258b73dc5e4a3f86eb88-1625451615542&amp;arrfrr=https%3A%2F%2Fwww.mddionline.com%2Fbusiness%2Ftop-40-medical-device-companies-0&amp;xid_ch=f&amp;advertisable=JNVSPZ7NAFA2TEXHSFO7BW&amp;google_nid=adroll5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010918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156</xdr:row>
      <xdr:rowOff>0</xdr:rowOff>
    </xdr:from>
    <xdr:to>
      <xdr:col>6</xdr:col>
      <xdr:colOff>7620</xdr:colOff>
      <xdr:row>156</xdr:row>
      <xdr:rowOff>7620</xdr:rowOff>
    </xdr:to>
    <xdr:sp macro="" textlink="">
      <xdr:nvSpPr>
        <xdr:cNvPr id="7281" name="AutoShape 113" descr="https://d.adroll.com/cm/aol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711C0000}"/>
            </a:ext>
          </a:extLst>
        </xdr:cNvPr>
        <xdr:cNvSpPr>
          <a:spLocks noChangeAspect="1" noChangeArrowheads="1"/>
        </xdr:cNvSpPr>
      </xdr:nvSpPr>
      <xdr:spPr bwMode="auto">
        <a:xfrm>
          <a:off x="5295900" y="2033016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15240</xdr:colOff>
      <xdr:row>156</xdr:row>
      <xdr:rowOff>0</xdr:rowOff>
    </xdr:from>
    <xdr:to>
      <xdr:col>6</xdr:col>
      <xdr:colOff>22860</xdr:colOff>
      <xdr:row>156</xdr:row>
      <xdr:rowOff>7620</xdr:rowOff>
    </xdr:to>
    <xdr:pic>
      <xdr:nvPicPr>
        <xdr:cNvPr id="119" name="그림 118" descr="https://d.adroll.com/cm/index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11140" y="2033016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</xdr:colOff>
      <xdr:row>156</xdr:row>
      <xdr:rowOff>0</xdr:rowOff>
    </xdr:from>
    <xdr:to>
      <xdr:col>6</xdr:col>
      <xdr:colOff>38100</xdr:colOff>
      <xdr:row>156</xdr:row>
      <xdr:rowOff>7620</xdr:rowOff>
    </xdr:to>
    <xdr:pic>
      <xdr:nvPicPr>
        <xdr:cNvPr id="120" name="그림 119" descr="https://d.adroll.com/cm/n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26380" y="2033016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45720</xdr:colOff>
      <xdr:row>156</xdr:row>
      <xdr:rowOff>0</xdr:rowOff>
    </xdr:from>
    <xdr:to>
      <xdr:col>6</xdr:col>
      <xdr:colOff>53340</xdr:colOff>
      <xdr:row>156</xdr:row>
      <xdr:rowOff>7620</xdr:rowOff>
    </xdr:to>
    <xdr:sp macro="" textlink="">
      <xdr:nvSpPr>
        <xdr:cNvPr id="7284" name="AutoShape 116" descr="https://d.adroll.com/cm/outbrain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741C0000}"/>
            </a:ext>
          </a:extLst>
        </xdr:cNvPr>
        <xdr:cNvSpPr>
          <a:spLocks noChangeAspect="1" noChangeArrowheads="1"/>
        </xdr:cNvSpPr>
      </xdr:nvSpPr>
      <xdr:spPr bwMode="auto">
        <a:xfrm>
          <a:off x="5341620" y="2033016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60960</xdr:colOff>
      <xdr:row>156</xdr:row>
      <xdr:rowOff>0</xdr:rowOff>
    </xdr:from>
    <xdr:to>
      <xdr:col>6</xdr:col>
      <xdr:colOff>68580</xdr:colOff>
      <xdr:row>156</xdr:row>
      <xdr:rowOff>7620</xdr:rowOff>
    </xdr:to>
    <xdr:sp macro="" textlink="">
      <xdr:nvSpPr>
        <xdr:cNvPr id="7285" name="AutoShape 117" descr="https://d.adroll.com/cm/pubmatic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751C0000}"/>
            </a:ext>
          </a:extLst>
        </xdr:cNvPr>
        <xdr:cNvSpPr>
          <a:spLocks noChangeAspect="1" noChangeArrowheads="1"/>
        </xdr:cNvSpPr>
      </xdr:nvSpPr>
      <xdr:spPr bwMode="auto">
        <a:xfrm>
          <a:off x="5356860" y="2033016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76200</xdr:colOff>
      <xdr:row>156</xdr:row>
      <xdr:rowOff>0</xdr:rowOff>
    </xdr:from>
    <xdr:to>
      <xdr:col>6</xdr:col>
      <xdr:colOff>83820</xdr:colOff>
      <xdr:row>156</xdr:row>
      <xdr:rowOff>7620</xdr:rowOff>
    </xdr:to>
    <xdr:sp macro="" textlink="">
      <xdr:nvSpPr>
        <xdr:cNvPr id="7286" name="AutoShape 118" descr="https://d.adroll.com/cm/r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761C0000}"/>
            </a:ext>
          </a:extLst>
        </xdr:cNvPr>
        <xdr:cNvSpPr>
          <a:spLocks noChangeAspect="1" noChangeArrowheads="1"/>
        </xdr:cNvSpPr>
      </xdr:nvSpPr>
      <xdr:spPr bwMode="auto">
        <a:xfrm>
          <a:off x="5372100" y="2033016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91440</xdr:colOff>
      <xdr:row>156</xdr:row>
      <xdr:rowOff>0</xdr:rowOff>
    </xdr:from>
    <xdr:to>
      <xdr:col>6</xdr:col>
      <xdr:colOff>99060</xdr:colOff>
      <xdr:row>156</xdr:row>
      <xdr:rowOff>7620</xdr:rowOff>
    </xdr:to>
    <xdr:sp macro="" textlink="">
      <xdr:nvSpPr>
        <xdr:cNvPr id="7287" name="AutoShape 119" descr="https://d.adroll.com/cm/taboola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771C0000}"/>
            </a:ext>
          </a:extLst>
        </xdr:cNvPr>
        <xdr:cNvSpPr>
          <a:spLocks noChangeAspect="1" noChangeArrowheads="1"/>
        </xdr:cNvSpPr>
      </xdr:nvSpPr>
      <xdr:spPr bwMode="auto">
        <a:xfrm>
          <a:off x="5387340" y="2033016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106680</xdr:colOff>
      <xdr:row>156</xdr:row>
      <xdr:rowOff>0</xdr:rowOff>
    </xdr:from>
    <xdr:to>
      <xdr:col>6</xdr:col>
      <xdr:colOff>114300</xdr:colOff>
      <xdr:row>156</xdr:row>
      <xdr:rowOff>7620</xdr:rowOff>
    </xdr:to>
    <xdr:pic>
      <xdr:nvPicPr>
        <xdr:cNvPr id="125" name="그림 124" descr="https://d.adroll.com/cm/triplelift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2580" y="2033016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157</xdr:row>
      <xdr:rowOff>0</xdr:rowOff>
    </xdr:from>
    <xdr:to>
      <xdr:col>6</xdr:col>
      <xdr:colOff>7620</xdr:colOff>
      <xdr:row>157</xdr:row>
      <xdr:rowOff>7620</xdr:rowOff>
    </xdr:to>
    <xdr:sp macro="" textlink="">
      <xdr:nvSpPr>
        <xdr:cNvPr id="7289" name="AutoShape 121" descr="https://d.adroll.com/cm/r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791C0000}"/>
            </a:ext>
          </a:extLst>
        </xdr:cNvPr>
        <xdr:cNvSpPr>
          <a:spLocks noChangeAspect="1" noChangeArrowheads="1"/>
        </xdr:cNvSpPr>
      </xdr:nvSpPr>
      <xdr:spPr bwMode="auto">
        <a:xfrm>
          <a:off x="5295900" y="2055114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15240</xdr:colOff>
      <xdr:row>157</xdr:row>
      <xdr:rowOff>0</xdr:rowOff>
    </xdr:from>
    <xdr:to>
      <xdr:col>6</xdr:col>
      <xdr:colOff>22860</xdr:colOff>
      <xdr:row>157</xdr:row>
      <xdr:rowOff>7620</xdr:rowOff>
    </xdr:to>
    <xdr:pic>
      <xdr:nvPicPr>
        <xdr:cNvPr id="127" name="그림 126" descr="https://d.adroll.com/cm/b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11140" y="2055114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</xdr:colOff>
      <xdr:row>157</xdr:row>
      <xdr:rowOff>0</xdr:rowOff>
    </xdr:from>
    <xdr:to>
      <xdr:col>6</xdr:col>
      <xdr:colOff>38100</xdr:colOff>
      <xdr:row>157</xdr:row>
      <xdr:rowOff>7620</xdr:rowOff>
    </xdr:to>
    <xdr:pic>
      <xdr:nvPicPr>
        <xdr:cNvPr id="128" name="그림 127" descr="https://d.adroll.com/cm/x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26380" y="2055114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45720</xdr:colOff>
      <xdr:row>157</xdr:row>
      <xdr:rowOff>0</xdr:rowOff>
    </xdr:from>
    <xdr:to>
      <xdr:col>6</xdr:col>
      <xdr:colOff>53340</xdr:colOff>
      <xdr:row>157</xdr:row>
      <xdr:rowOff>7620</xdr:rowOff>
    </xdr:to>
    <xdr:pic>
      <xdr:nvPicPr>
        <xdr:cNvPr id="129" name="그림 128" descr="https://d.adroll.com/cm/l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41620" y="2055114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60960</xdr:colOff>
      <xdr:row>157</xdr:row>
      <xdr:rowOff>0</xdr:rowOff>
    </xdr:from>
    <xdr:to>
      <xdr:col>6</xdr:col>
      <xdr:colOff>68580</xdr:colOff>
      <xdr:row>157</xdr:row>
      <xdr:rowOff>7620</xdr:rowOff>
    </xdr:to>
    <xdr:pic>
      <xdr:nvPicPr>
        <xdr:cNvPr id="130" name="그림 129" descr="https://d.adroll.com/cm/o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56860" y="2055114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1231106</xdr:colOff>
      <xdr:row>157</xdr:row>
      <xdr:rowOff>190500</xdr:rowOff>
    </xdr:from>
    <xdr:to>
      <xdr:col>5</xdr:col>
      <xdr:colOff>1238726</xdr:colOff>
      <xdr:row>157</xdr:row>
      <xdr:rowOff>198120</xdr:rowOff>
    </xdr:to>
    <xdr:pic>
      <xdr:nvPicPr>
        <xdr:cNvPr id="131" name="그림 130" descr="https://d.adroll.com/cm/g/out?adroll_fpc=223c5e8a59e3258b73dc5e4a3f86eb88-1625451615542&amp;arrfrr=https%3A%2F%2Fwww.mddionline.com%2Fbusiness%2Ftop-40-medical-device-companies-0&amp;xid_ch=f&amp;advertisable=JNVSPZ7NAFA2TEXHSFO7BW&amp;google_nid=adroll5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03106" y="20335875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158</xdr:row>
      <xdr:rowOff>0</xdr:rowOff>
    </xdr:from>
    <xdr:to>
      <xdr:col>6</xdr:col>
      <xdr:colOff>7620</xdr:colOff>
      <xdr:row>158</xdr:row>
      <xdr:rowOff>7620</xdr:rowOff>
    </xdr:to>
    <xdr:sp macro="" textlink="">
      <xdr:nvSpPr>
        <xdr:cNvPr id="7295" name="AutoShape 127" descr="https://d.adroll.com/cm/aol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7F1C0000}"/>
            </a:ext>
          </a:extLst>
        </xdr:cNvPr>
        <xdr:cNvSpPr>
          <a:spLocks noChangeAspect="1" noChangeArrowheads="1"/>
        </xdr:cNvSpPr>
      </xdr:nvSpPr>
      <xdr:spPr bwMode="auto">
        <a:xfrm>
          <a:off x="5295900" y="2077212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15240</xdr:colOff>
      <xdr:row>158</xdr:row>
      <xdr:rowOff>0</xdr:rowOff>
    </xdr:from>
    <xdr:to>
      <xdr:col>6</xdr:col>
      <xdr:colOff>22860</xdr:colOff>
      <xdr:row>158</xdr:row>
      <xdr:rowOff>7620</xdr:rowOff>
    </xdr:to>
    <xdr:pic>
      <xdr:nvPicPr>
        <xdr:cNvPr id="133" name="그림 132" descr="https://d.adroll.com/cm/index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11140" y="2077212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</xdr:colOff>
      <xdr:row>158</xdr:row>
      <xdr:rowOff>0</xdr:rowOff>
    </xdr:from>
    <xdr:to>
      <xdr:col>6</xdr:col>
      <xdr:colOff>38100</xdr:colOff>
      <xdr:row>158</xdr:row>
      <xdr:rowOff>7620</xdr:rowOff>
    </xdr:to>
    <xdr:pic>
      <xdr:nvPicPr>
        <xdr:cNvPr id="134" name="그림 133" descr="https://d.adroll.com/cm/n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8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26380" y="2077212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45720</xdr:colOff>
      <xdr:row>158</xdr:row>
      <xdr:rowOff>0</xdr:rowOff>
    </xdr:from>
    <xdr:to>
      <xdr:col>6</xdr:col>
      <xdr:colOff>53340</xdr:colOff>
      <xdr:row>158</xdr:row>
      <xdr:rowOff>7620</xdr:rowOff>
    </xdr:to>
    <xdr:sp macro="" textlink="">
      <xdr:nvSpPr>
        <xdr:cNvPr id="7298" name="AutoShape 130" descr="https://d.adroll.com/cm/outbrain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821C0000}"/>
            </a:ext>
          </a:extLst>
        </xdr:cNvPr>
        <xdr:cNvSpPr>
          <a:spLocks noChangeAspect="1" noChangeArrowheads="1"/>
        </xdr:cNvSpPr>
      </xdr:nvSpPr>
      <xdr:spPr bwMode="auto">
        <a:xfrm>
          <a:off x="5341620" y="2077212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60960</xdr:colOff>
      <xdr:row>158</xdr:row>
      <xdr:rowOff>0</xdr:rowOff>
    </xdr:from>
    <xdr:to>
      <xdr:col>6</xdr:col>
      <xdr:colOff>68580</xdr:colOff>
      <xdr:row>158</xdr:row>
      <xdr:rowOff>7620</xdr:rowOff>
    </xdr:to>
    <xdr:sp macro="" textlink="">
      <xdr:nvSpPr>
        <xdr:cNvPr id="7299" name="AutoShape 131" descr="https://d.adroll.com/cm/pubmatic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831C0000}"/>
            </a:ext>
          </a:extLst>
        </xdr:cNvPr>
        <xdr:cNvSpPr>
          <a:spLocks noChangeAspect="1" noChangeArrowheads="1"/>
        </xdr:cNvSpPr>
      </xdr:nvSpPr>
      <xdr:spPr bwMode="auto">
        <a:xfrm>
          <a:off x="5356860" y="2077212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76200</xdr:colOff>
      <xdr:row>158</xdr:row>
      <xdr:rowOff>0</xdr:rowOff>
    </xdr:from>
    <xdr:to>
      <xdr:col>6</xdr:col>
      <xdr:colOff>83820</xdr:colOff>
      <xdr:row>158</xdr:row>
      <xdr:rowOff>7620</xdr:rowOff>
    </xdr:to>
    <xdr:sp macro="" textlink="">
      <xdr:nvSpPr>
        <xdr:cNvPr id="7300" name="AutoShape 132" descr="https://d.adroll.com/cm/r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841C0000}"/>
            </a:ext>
          </a:extLst>
        </xdr:cNvPr>
        <xdr:cNvSpPr>
          <a:spLocks noChangeAspect="1" noChangeArrowheads="1"/>
        </xdr:cNvSpPr>
      </xdr:nvSpPr>
      <xdr:spPr bwMode="auto">
        <a:xfrm>
          <a:off x="5372100" y="2077212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91440</xdr:colOff>
      <xdr:row>158</xdr:row>
      <xdr:rowOff>0</xdr:rowOff>
    </xdr:from>
    <xdr:to>
      <xdr:col>6</xdr:col>
      <xdr:colOff>99060</xdr:colOff>
      <xdr:row>158</xdr:row>
      <xdr:rowOff>7620</xdr:rowOff>
    </xdr:to>
    <xdr:sp macro="" textlink="">
      <xdr:nvSpPr>
        <xdr:cNvPr id="7301" name="AutoShape 133" descr="https://d.adroll.com/cm/taboola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851C0000}"/>
            </a:ext>
          </a:extLst>
        </xdr:cNvPr>
        <xdr:cNvSpPr>
          <a:spLocks noChangeAspect="1" noChangeArrowheads="1"/>
        </xdr:cNvSpPr>
      </xdr:nvSpPr>
      <xdr:spPr bwMode="auto">
        <a:xfrm>
          <a:off x="5387340" y="2077212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106680</xdr:colOff>
      <xdr:row>158</xdr:row>
      <xdr:rowOff>0</xdr:rowOff>
    </xdr:from>
    <xdr:to>
      <xdr:col>6</xdr:col>
      <xdr:colOff>114300</xdr:colOff>
      <xdr:row>158</xdr:row>
      <xdr:rowOff>7620</xdr:rowOff>
    </xdr:to>
    <xdr:pic>
      <xdr:nvPicPr>
        <xdr:cNvPr id="139" name="그림 138" descr="https://d.adroll.com/cm/triplelift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2580" y="2077212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159</xdr:row>
      <xdr:rowOff>0</xdr:rowOff>
    </xdr:from>
    <xdr:to>
      <xdr:col>6</xdr:col>
      <xdr:colOff>7620</xdr:colOff>
      <xdr:row>159</xdr:row>
      <xdr:rowOff>7620</xdr:rowOff>
    </xdr:to>
    <xdr:sp macro="" textlink="">
      <xdr:nvSpPr>
        <xdr:cNvPr id="7303" name="AutoShape 135" descr="https://d.adroll.com/cm/r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871C0000}"/>
            </a:ext>
          </a:extLst>
        </xdr:cNvPr>
        <xdr:cNvSpPr>
          <a:spLocks noChangeAspect="1" noChangeArrowheads="1"/>
        </xdr:cNvSpPr>
      </xdr:nvSpPr>
      <xdr:spPr bwMode="auto">
        <a:xfrm>
          <a:off x="5295900" y="209931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15240</xdr:colOff>
      <xdr:row>159</xdr:row>
      <xdr:rowOff>0</xdr:rowOff>
    </xdr:from>
    <xdr:to>
      <xdr:col>6</xdr:col>
      <xdr:colOff>22860</xdr:colOff>
      <xdr:row>159</xdr:row>
      <xdr:rowOff>7620</xdr:rowOff>
    </xdr:to>
    <xdr:pic>
      <xdr:nvPicPr>
        <xdr:cNvPr id="141" name="그림 140" descr="https://d.adroll.com/cm/b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11140" y="209931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</xdr:colOff>
      <xdr:row>159</xdr:row>
      <xdr:rowOff>0</xdr:rowOff>
    </xdr:from>
    <xdr:to>
      <xdr:col>6</xdr:col>
      <xdr:colOff>38100</xdr:colOff>
      <xdr:row>159</xdr:row>
      <xdr:rowOff>7620</xdr:rowOff>
    </xdr:to>
    <xdr:pic>
      <xdr:nvPicPr>
        <xdr:cNvPr id="142" name="그림 141" descr="https://d.adroll.com/cm/x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26380" y="209931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45720</xdr:colOff>
      <xdr:row>159</xdr:row>
      <xdr:rowOff>0</xdr:rowOff>
    </xdr:from>
    <xdr:to>
      <xdr:col>6</xdr:col>
      <xdr:colOff>53340</xdr:colOff>
      <xdr:row>159</xdr:row>
      <xdr:rowOff>7620</xdr:rowOff>
    </xdr:to>
    <xdr:pic>
      <xdr:nvPicPr>
        <xdr:cNvPr id="143" name="그림 142" descr="https://d.adroll.com/cm/l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41620" y="209931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60960</xdr:colOff>
      <xdr:row>159</xdr:row>
      <xdr:rowOff>0</xdr:rowOff>
    </xdr:from>
    <xdr:to>
      <xdr:col>6</xdr:col>
      <xdr:colOff>68580</xdr:colOff>
      <xdr:row>159</xdr:row>
      <xdr:rowOff>7620</xdr:rowOff>
    </xdr:to>
    <xdr:pic>
      <xdr:nvPicPr>
        <xdr:cNvPr id="144" name="그림 143" descr="https://d.adroll.com/cm/o/out?adroll_fpc=223c5e8a59e3258b73dc5e4a3f86eb88-1625451615542&amp;arrfrr=https%3A%2F%2Fwww.mddionline.com%2Fbusiness%2Ftop-40-medical-device-companies-0&amp;xid_ch=f&amp;advertisable=JNVSPZ7NAFA2TEXHSFO7BW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56860" y="209931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76200</xdr:colOff>
      <xdr:row>159</xdr:row>
      <xdr:rowOff>0</xdr:rowOff>
    </xdr:from>
    <xdr:to>
      <xdr:col>6</xdr:col>
      <xdr:colOff>83820</xdr:colOff>
      <xdr:row>159</xdr:row>
      <xdr:rowOff>7620</xdr:rowOff>
    </xdr:to>
    <xdr:pic>
      <xdr:nvPicPr>
        <xdr:cNvPr id="145" name="그림 144" descr="https://d.adroll.com/cm/g/out?adroll_fpc=223c5e8a59e3258b73dc5e4a3f86eb88-1625451615542&amp;arrfrr=https%3A%2F%2Fwww.mddionline.com%2Fbusiness%2Ftop-40-medical-device-companies-0&amp;xid_ch=f&amp;advertisable=JNVSPZ7NAFA2TEXHSFO7BW&amp;google_nid=adroll5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09931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59531</xdr:colOff>
      <xdr:row>64</xdr:row>
      <xdr:rowOff>11906</xdr:rowOff>
    </xdr:from>
    <xdr:to>
      <xdr:col>15</xdr:col>
      <xdr:colOff>607218</xdr:colOff>
      <xdr:row>75</xdr:row>
      <xdr:rowOff>154780</xdr:rowOff>
    </xdr:to>
    <xdr:graphicFrame macro="">
      <xdr:nvGraphicFramePr>
        <xdr:cNvPr id="75" name="의료기기-01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17856</xdr:colOff>
      <xdr:row>100</xdr:row>
      <xdr:rowOff>75010</xdr:rowOff>
    </xdr:from>
    <xdr:to>
      <xdr:col>13</xdr:col>
      <xdr:colOff>333373</xdr:colOff>
      <xdr:row>114</xdr:row>
      <xdr:rowOff>190501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0.88101</cdr:x>
      <cdr:y>0</cdr:y>
    </cdr:from>
    <cdr:to>
      <cdr:x>1</cdr:x>
      <cdr:y>0.10528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10662353" y="0"/>
          <a:ext cx="1440000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억달러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0.88101</cdr:x>
      <cdr:y>0</cdr:y>
    </cdr:from>
    <cdr:to>
      <cdr:x>1</cdr:x>
      <cdr:y>0.10528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10662353" y="0"/>
          <a:ext cx="1440000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백만원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0.88101</cdr:x>
      <cdr:y>0</cdr:y>
    </cdr:from>
    <cdr:to>
      <cdr:x>1</cdr:x>
      <cdr:y>0.13448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13007011" y="0"/>
          <a:ext cx="1756738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십억달러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78440</xdr:colOff>
      <xdr:row>43</xdr:row>
      <xdr:rowOff>78442</xdr:rowOff>
    </xdr:from>
    <xdr:to>
      <xdr:col>10</xdr:col>
      <xdr:colOff>78440</xdr:colOff>
      <xdr:row>58</xdr:row>
      <xdr:rowOff>78442</xdr:rowOff>
    </xdr:to>
    <xdr:graphicFrame macro="">
      <xdr:nvGraphicFramePr>
        <xdr:cNvPr id="7" name="뇌연구-03-2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56030</xdr:colOff>
      <xdr:row>43</xdr:row>
      <xdr:rowOff>11206</xdr:rowOff>
    </xdr:from>
    <xdr:to>
      <xdr:col>18</xdr:col>
      <xdr:colOff>56030</xdr:colOff>
      <xdr:row>58</xdr:row>
      <xdr:rowOff>11206</xdr:rowOff>
    </xdr:to>
    <xdr:graphicFrame macro="">
      <xdr:nvGraphicFramePr>
        <xdr:cNvPr id="8" name="뇌연구-03-3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313765</xdr:colOff>
      <xdr:row>8</xdr:row>
      <xdr:rowOff>180413</xdr:rowOff>
    </xdr:from>
    <xdr:to>
      <xdr:col>17</xdr:col>
      <xdr:colOff>201706</xdr:colOff>
      <xdr:row>24</xdr:row>
      <xdr:rowOff>100852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78441</xdr:colOff>
      <xdr:row>75</xdr:row>
      <xdr:rowOff>201705</xdr:rowOff>
    </xdr:from>
    <xdr:to>
      <xdr:col>10</xdr:col>
      <xdr:colOff>78441</xdr:colOff>
      <xdr:row>90</xdr:row>
      <xdr:rowOff>201706</xdr:rowOff>
    </xdr:to>
    <xdr:graphicFrame macro="">
      <xdr:nvGraphicFramePr>
        <xdr:cNvPr id="5" name="뇌연구-03-2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762002</xdr:colOff>
      <xdr:row>75</xdr:row>
      <xdr:rowOff>190500</xdr:rowOff>
    </xdr:from>
    <xdr:to>
      <xdr:col>17</xdr:col>
      <xdr:colOff>762002</xdr:colOff>
      <xdr:row>90</xdr:row>
      <xdr:rowOff>190501</xdr:rowOff>
    </xdr:to>
    <xdr:graphicFrame macro="">
      <xdr:nvGraphicFramePr>
        <xdr:cNvPr id="6" name="뇌연구-03-3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296955</xdr:colOff>
      <xdr:row>107</xdr:row>
      <xdr:rowOff>57148</xdr:rowOff>
    </xdr:from>
    <xdr:to>
      <xdr:col>17</xdr:col>
      <xdr:colOff>369793</xdr:colOff>
      <xdr:row>122</xdr:row>
      <xdr:rowOff>89646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0.74503</cdr:x>
      <cdr:y>0</cdr:y>
    </cdr:from>
    <cdr:to>
      <cdr:x>1</cdr:x>
      <cdr:y>0.10528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4207764" y="0"/>
          <a:ext cx="1440000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%)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48.xml><?xml version="1.0" encoding="utf-8"?>
<c:userShapes xmlns:c="http://schemas.openxmlformats.org/drawingml/2006/chart">
  <cdr:relSizeAnchor xmlns:cdr="http://schemas.openxmlformats.org/drawingml/2006/chartDrawing">
    <cdr:from>
      <cdr:x>0.74503</cdr:x>
      <cdr:y>0</cdr:y>
    </cdr:from>
    <cdr:to>
      <cdr:x>1</cdr:x>
      <cdr:y>0.10528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4207765" y="0"/>
          <a:ext cx="1440000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%)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49.xml><?xml version="1.0" encoding="utf-8"?>
<c:userShapes xmlns:c="http://schemas.openxmlformats.org/drawingml/2006/chart">
  <cdr:relSizeAnchor xmlns:cdr="http://schemas.openxmlformats.org/drawingml/2006/chartDrawing">
    <cdr:from>
      <cdr:x>0.74503</cdr:x>
      <cdr:y>0</cdr:y>
    </cdr:from>
    <cdr:to>
      <cdr:x>1</cdr:x>
      <cdr:y>0.10528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4207764" y="0"/>
          <a:ext cx="1440000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%)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0.74503</cdr:x>
      <cdr:y>0</cdr:y>
    </cdr:from>
    <cdr:to>
      <cdr:x>1</cdr:x>
      <cdr:y>0.10528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4207765" y="0"/>
          <a:ext cx="1440000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%)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108514</xdr:colOff>
      <xdr:row>8</xdr:row>
      <xdr:rowOff>120570</xdr:rowOff>
    </xdr:from>
    <xdr:to>
      <xdr:col>16</xdr:col>
      <xdr:colOff>639019</xdr:colOff>
      <xdr:row>23</xdr:row>
      <xdr:rowOff>120569</xdr:rowOff>
    </xdr:to>
    <xdr:graphicFrame macro="">
      <xdr:nvGraphicFramePr>
        <xdr:cNvPr id="2" name="줄기세포-0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59</xdr:row>
      <xdr:rowOff>0</xdr:rowOff>
    </xdr:from>
    <xdr:to>
      <xdr:col>18</xdr:col>
      <xdr:colOff>0</xdr:colOff>
      <xdr:row>74</xdr:row>
      <xdr:rowOff>0</xdr:rowOff>
    </xdr:to>
    <xdr:graphicFrame macro="">
      <xdr:nvGraphicFramePr>
        <xdr:cNvPr id="3" name="줄기세포-0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74497</xdr:colOff>
      <xdr:row>34</xdr:row>
      <xdr:rowOff>145343</xdr:rowOff>
    </xdr:from>
    <xdr:to>
      <xdr:col>18</xdr:col>
      <xdr:colOff>68569</xdr:colOff>
      <xdr:row>49</xdr:row>
      <xdr:rowOff>145343</xdr:rowOff>
    </xdr:to>
    <xdr:graphicFrame macro="">
      <xdr:nvGraphicFramePr>
        <xdr:cNvPr id="5" name="줄기세포-02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60284</xdr:colOff>
      <xdr:row>93</xdr:row>
      <xdr:rowOff>6952</xdr:rowOff>
    </xdr:from>
    <xdr:to>
      <xdr:col>9</xdr:col>
      <xdr:colOff>861149</xdr:colOff>
      <xdr:row>108</xdr:row>
      <xdr:rowOff>126104</xdr:rowOff>
    </xdr:to>
    <xdr:graphicFrame macro="">
      <xdr:nvGraphicFramePr>
        <xdr:cNvPr id="6" name="뇌연구-03-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524267</xdr:colOff>
      <xdr:row>93</xdr:row>
      <xdr:rowOff>36171</xdr:rowOff>
    </xdr:from>
    <xdr:to>
      <xdr:col>17</xdr:col>
      <xdr:colOff>517316</xdr:colOff>
      <xdr:row>108</xdr:row>
      <xdr:rowOff>155323</xdr:rowOff>
    </xdr:to>
    <xdr:graphicFrame macro="">
      <xdr:nvGraphicFramePr>
        <xdr:cNvPr id="7" name="뇌연구-03-3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0.84024</cdr:x>
      <cdr:y>0.01591</cdr:y>
    </cdr:from>
    <cdr:to>
      <cdr:x>0.98334</cdr:x>
      <cdr:y>0.12528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9583681" y="48916"/>
          <a:ext cx="1632182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십억달러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0.88101</cdr:x>
      <cdr:y>0</cdr:y>
    </cdr:from>
    <cdr:to>
      <cdr:x>1</cdr:x>
      <cdr:y>0.10528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10662353" y="0"/>
          <a:ext cx="1440000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십억달러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0.87214</cdr:x>
      <cdr:y>0</cdr:y>
    </cdr:from>
    <cdr:to>
      <cdr:x>0.99113</cdr:x>
      <cdr:y>0.10937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10783623" y="0"/>
          <a:ext cx="1471254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십억달러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</xdr:row>
      <xdr:rowOff>0</xdr:rowOff>
    </xdr:from>
    <xdr:to>
      <xdr:col>18</xdr:col>
      <xdr:colOff>0</xdr:colOff>
      <xdr:row>22</xdr:row>
      <xdr:rowOff>0</xdr:rowOff>
    </xdr:to>
    <xdr:graphicFrame macro="">
      <xdr:nvGraphicFramePr>
        <xdr:cNvPr id="2" name="유전체-0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36</xdr:row>
      <xdr:rowOff>56029</xdr:rowOff>
    </xdr:from>
    <xdr:to>
      <xdr:col>18</xdr:col>
      <xdr:colOff>0</xdr:colOff>
      <xdr:row>50</xdr:row>
      <xdr:rowOff>0</xdr:rowOff>
    </xdr:to>
    <xdr:graphicFrame macro="">
      <xdr:nvGraphicFramePr>
        <xdr:cNvPr id="3" name="유전체-0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91</xdr:row>
      <xdr:rowOff>156883</xdr:rowOff>
    </xdr:from>
    <xdr:to>
      <xdr:col>18</xdr:col>
      <xdr:colOff>0</xdr:colOff>
      <xdr:row>105</xdr:row>
      <xdr:rowOff>0</xdr:rowOff>
    </xdr:to>
    <xdr:graphicFrame macro="">
      <xdr:nvGraphicFramePr>
        <xdr:cNvPr id="5" name="유전체-0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100854</xdr:colOff>
      <xdr:row>64</xdr:row>
      <xdr:rowOff>78440</xdr:rowOff>
    </xdr:from>
    <xdr:to>
      <xdr:col>17</xdr:col>
      <xdr:colOff>784413</xdr:colOff>
      <xdr:row>76</xdr:row>
      <xdr:rowOff>179293</xdr:rowOff>
    </xdr:to>
    <xdr:graphicFrame macro="">
      <xdr:nvGraphicFramePr>
        <xdr:cNvPr id="8" name="유전체-0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0</xdr:colOff>
      <xdr:row>120</xdr:row>
      <xdr:rowOff>156883</xdr:rowOff>
    </xdr:from>
    <xdr:to>
      <xdr:col>18</xdr:col>
      <xdr:colOff>0</xdr:colOff>
      <xdr:row>134</xdr:row>
      <xdr:rowOff>0</xdr:rowOff>
    </xdr:to>
    <xdr:graphicFrame macro="">
      <xdr:nvGraphicFramePr>
        <xdr:cNvPr id="9" name="유전체-04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0.88101</cdr:x>
      <cdr:y>0</cdr:y>
    </cdr:from>
    <cdr:to>
      <cdr:x>1</cdr:x>
      <cdr:y>0.10528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10662353" y="0"/>
          <a:ext cx="1440000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십억달러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0.88101</cdr:x>
      <cdr:y>0</cdr:y>
    </cdr:from>
    <cdr:to>
      <cdr:x>1</cdr:x>
      <cdr:y>0.11497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10662294" y="0"/>
          <a:ext cx="1440059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십억달러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0.88101</cdr:x>
      <cdr:y>0</cdr:y>
    </cdr:from>
    <cdr:to>
      <cdr:x>1</cdr:x>
      <cdr:y>0.10991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10662294" y="0"/>
          <a:ext cx="1440059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십억달러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0.88101</cdr:x>
      <cdr:y>0</cdr:y>
    </cdr:from>
    <cdr:to>
      <cdr:x>1</cdr:x>
      <cdr:y>0.11497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10662294" y="0"/>
          <a:ext cx="1440059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십억달러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60.xml><?xml version="1.0" encoding="utf-8"?>
<c:userShapes xmlns:c="http://schemas.openxmlformats.org/drawingml/2006/chart">
  <cdr:relSizeAnchor xmlns:cdr="http://schemas.openxmlformats.org/drawingml/2006/chartDrawing">
    <cdr:from>
      <cdr:x>0.88101</cdr:x>
      <cdr:y>0</cdr:y>
    </cdr:from>
    <cdr:to>
      <cdr:x>1</cdr:x>
      <cdr:y>0.10991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10662294" y="0"/>
          <a:ext cx="1440059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십억달러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</xdr:row>
      <xdr:rowOff>201706</xdr:rowOff>
    </xdr:from>
    <xdr:to>
      <xdr:col>18</xdr:col>
      <xdr:colOff>0</xdr:colOff>
      <xdr:row>22</xdr:row>
      <xdr:rowOff>0</xdr:rowOff>
    </xdr:to>
    <xdr:graphicFrame macro="">
      <xdr:nvGraphicFramePr>
        <xdr:cNvPr id="2" name="유전체-0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11206</xdr:colOff>
      <xdr:row>41</xdr:row>
      <xdr:rowOff>44824</xdr:rowOff>
    </xdr:from>
    <xdr:to>
      <xdr:col>18</xdr:col>
      <xdr:colOff>11206</xdr:colOff>
      <xdr:row>54</xdr:row>
      <xdr:rowOff>156883</xdr:rowOff>
    </xdr:to>
    <xdr:graphicFrame macro="">
      <xdr:nvGraphicFramePr>
        <xdr:cNvPr id="3" name="유전체-0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11205</xdr:colOff>
      <xdr:row>67</xdr:row>
      <xdr:rowOff>11206</xdr:rowOff>
    </xdr:from>
    <xdr:to>
      <xdr:col>18</xdr:col>
      <xdr:colOff>11205</xdr:colOff>
      <xdr:row>81</xdr:row>
      <xdr:rowOff>56029</xdr:rowOff>
    </xdr:to>
    <xdr:graphicFrame macro="">
      <xdr:nvGraphicFramePr>
        <xdr:cNvPr id="6" name="유전체-0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11205</xdr:colOff>
      <xdr:row>95</xdr:row>
      <xdr:rowOff>11206</xdr:rowOff>
    </xdr:from>
    <xdr:to>
      <xdr:col>18</xdr:col>
      <xdr:colOff>11205</xdr:colOff>
      <xdr:row>109</xdr:row>
      <xdr:rowOff>56029</xdr:rowOff>
    </xdr:to>
    <xdr:graphicFrame macro="">
      <xdr:nvGraphicFramePr>
        <xdr:cNvPr id="7" name="유전체-02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0.88101</cdr:x>
      <cdr:y>0</cdr:y>
    </cdr:from>
    <cdr:to>
      <cdr:x>1</cdr:x>
      <cdr:y>0.11155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10662294" y="0"/>
          <a:ext cx="1440059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십억달러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63.xml><?xml version="1.0" encoding="utf-8"?>
<c:userShapes xmlns:c="http://schemas.openxmlformats.org/drawingml/2006/chart">
  <cdr:relSizeAnchor xmlns:cdr="http://schemas.openxmlformats.org/drawingml/2006/chartDrawing">
    <cdr:from>
      <cdr:x>0.88101</cdr:x>
      <cdr:y>0</cdr:y>
    </cdr:from>
    <cdr:to>
      <cdr:x>1</cdr:x>
      <cdr:y>0.11497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10662294" y="0"/>
          <a:ext cx="1440059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십억달러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0.88101</cdr:x>
      <cdr:y>0</cdr:y>
    </cdr:from>
    <cdr:to>
      <cdr:x>1</cdr:x>
      <cdr:y>0.11497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10662294" y="0"/>
          <a:ext cx="1440059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십억달러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65.xml><?xml version="1.0" encoding="utf-8"?>
<c:userShapes xmlns:c="http://schemas.openxmlformats.org/drawingml/2006/chart">
  <cdr:relSizeAnchor xmlns:cdr="http://schemas.openxmlformats.org/drawingml/2006/chartDrawing">
    <cdr:from>
      <cdr:x>0.88101</cdr:x>
      <cdr:y>0</cdr:y>
    </cdr:from>
    <cdr:to>
      <cdr:x>1</cdr:x>
      <cdr:y>0.11497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10662294" y="0"/>
          <a:ext cx="1440059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십억달러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</xdr:colOff>
      <xdr:row>8</xdr:row>
      <xdr:rowOff>11206</xdr:rowOff>
    </xdr:from>
    <xdr:to>
      <xdr:col>17</xdr:col>
      <xdr:colOff>257736</xdr:colOff>
      <xdr:row>22</xdr:row>
      <xdr:rowOff>0</xdr:rowOff>
    </xdr:to>
    <xdr:graphicFrame macro="">
      <xdr:nvGraphicFramePr>
        <xdr:cNvPr id="2" name="유전체-0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100855</xdr:colOff>
      <xdr:row>37</xdr:row>
      <xdr:rowOff>156883</xdr:rowOff>
    </xdr:from>
    <xdr:to>
      <xdr:col>17</xdr:col>
      <xdr:colOff>313767</xdr:colOff>
      <xdr:row>50</xdr:row>
      <xdr:rowOff>134471</xdr:rowOff>
    </xdr:to>
    <xdr:graphicFrame macro="">
      <xdr:nvGraphicFramePr>
        <xdr:cNvPr id="3" name="유전체-0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7.xml><?xml version="1.0" encoding="utf-8"?>
<c:userShapes xmlns:c="http://schemas.openxmlformats.org/drawingml/2006/chart">
  <cdr:relSizeAnchor xmlns:cdr="http://schemas.openxmlformats.org/drawingml/2006/chartDrawing">
    <cdr:from>
      <cdr:x>0.86743</cdr:x>
      <cdr:y>0.05283</cdr:y>
    </cdr:from>
    <cdr:to>
      <cdr:x>0.98642</cdr:x>
      <cdr:y>0.15811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10021658" y="156883"/>
          <a:ext cx="1374723" cy="31263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십억달러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0.88101</cdr:x>
      <cdr:y>0</cdr:y>
    </cdr:from>
    <cdr:to>
      <cdr:x>1</cdr:x>
      <cdr:y>0.11497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10662294" y="0"/>
          <a:ext cx="1440059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십억달러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</xdr:colOff>
      <xdr:row>8</xdr:row>
      <xdr:rowOff>11206</xdr:rowOff>
    </xdr:from>
    <xdr:to>
      <xdr:col>17</xdr:col>
      <xdr:colOff>257736</xdr:colOff>
      <xdr:row>22</xdr:row>
      <xdr:rowOff>0</xdr:rowOff>
    </xdr:to>
    <xdr:graphicFrame macro="">
      <xdr:nvGraphicFramePr>
        <xdr:cNvPr id="2" name="유전체-0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33619</xdr:colOff>
      <xdr:row>32</xdr:row>
      <xdr:rowOff>190500</xdr:rowOff>
    </xdr:from>
    <xdr:to>
      <xdr:col>17</xdr:col>
      <xdr:colOff>369796</xdr:colOff>
      <xdr:row>44</xdr:row>
      <xdr:rowOff>179295</xdr:rowOff>
    </xdr:to>
    <xdr:graphicFrame macro="">
      <xdr:nvGraphicFramePr>
        <xdr:cNvPr id="3" name="유전체-0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33619</xdr:colOff>
      <xdr:row>56</xdr:row>
      <xdr:rowOff>190500</xdr:rowOff>
    </xdr:from>
    <xdr:to>
      <xdr:col>17</xdr:col>
      <xdr:colOff>369796</xdr:colOff>
      <xdr:row>68</xdr:row>
      <xdr:rowOff>179295</xdr:rowOff>
    </xdr:to>
    <xdr:graphicFrame macro="">
      <xdr:nvGraphicFramePr>
        <xdr:cNvPr id="4" name="유전체-0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302558</xdr:colOff>
      <xdr:row>78</xdr:row>
      <xdr:rowOff>22411</xdr:rowOff>
    </xdr:from>
    <xdr:to>
      <xdr:col>15</xdr:col>
      <xdr:colOff>134469</xdr:colOff>
      <xdr:row>93</xdr:row>
      <xdr:rowOff>22412</xdr:rowOff>
    </xdr:to>
    <xdr:graphicFrame macro="">
      <xdr:nvGraphicFramePr>
        <xdr:cNvPr id="6" name="뇌연구-03-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0.81086</cdr:x>
      <cdr:y>0</cdr:y>
    </cdr:from>
    <cdr:to>
      <cdr:x>0.95441</cdr:x>
      <cdr:y>0.11323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9368118" y="0"/>
          <a:ext cx="1658471" cy="3362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십억달러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71.xml><?xml version="1.0" encoding="utf-8"?>
<c:userShapes xmlns:c="http://schemas.openxmlformats.org/drawingml/2006/chart">
  <cdr:relSizeAnchor xmlns:cdr="http://schemas.openxmlformats.org/drawingml/2006/chartDrawing">
    <cdr:from>
      <cdr:x>0.88101</cdr:x>
      <cdr:y>0</cdr:y>
    </cdr:from>
    <cdr:to>
      <cdr:x>1</cdr:x>
      <cdr:y>0.13219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10247650" y="0"/>
          <a:ext cx="1384057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십억달러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72.xml><?xml version="1.0" encoding="utf-8"?>
<c:userShapes xmlns:c="http://schemas.openxmlformats.org/drawingml/2006/chart">
  <cdr:relSizeAnchor xmlns:cdr="http://schemas.openxmlformats.org/drawingml/2006/chartDrawing">
    <cdr:from>
      <cdr:x>0.88101</cdr:x>
      <cdr:y>0</cdr:y>
    </cdr:from>
    <cdr:to>
      <cdr:x>1</cdr:x>
      <cdr:y>0.13219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10247650" y="0"/>
          <a:ext cx="1384057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십억달러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</xdr:colOff>
      <xdr:row>8</xdr:row>
      <xdr:rowOff>11206</xdr:rowOff>
    </xdr:from>
    <xdr:to>
      <xdr:col>17</xdr:col>
      <xdr:colOff>257736</xdr:colOff>
      <xdr:row>22</xdr:row>
      <xdr:rowOff>0</xdr:rowOff>
    </xdr:to>
    <xdr:graphicFrame macro="">
      <xdr:nvGraphicFramePr>
        <xdr:cNvPr id="2" name="유전체-0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</xdr:colOff>
      <xdr:row>37</xdr:row>
      <xdr:rowOff>22412</xdr:rowOff>
    </xdr:from>
    <xdr:to>
      <xdr:col>17</xdr:col>
      <xdr:colOff>705970</xdr:colOff>
      <xdr:row>49</xdr:row>
      <xdr:rowOff>123265</xdr:rowOff>
    </xdr:to>
    <xdr:graphicFrame macro="">
      <xdr:nvGraphicFramePr>
        <xdr:cNvPr id="3" name="유전체-0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</xdr:colOff>
      <xdr:row>89</xdr:row>
      <xdr:rowOff>56030</xdr:rowOff>
    </xdr:from>
    <xdr:to>
      <xdr:col>7</xdr:col>
      <xdr:colOff>459441</xdr:colOff>
      <xdr:row>102</xdr:row>
      <xdr:rowOff>89649</xdr:rowOff>
    </xdr:to>
    <xdr:graphicFrame macro="">
      <xdr:nvGraphicFramePr>
        <xdr:cNvPr id="5" name="뇌연구-03-2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</xdr:colOff>
      <xdr:row>63</xdr:row>
      <xdr:rowOff>11205</xdr:rowOff>
    </xdr:from>
    <xdr:to>
      <xdr:col>8</xdr:col>
      <xdr:colOff>425825</xdr:colOff>
      <xdr:row>76</xdr:row>
      <xdr:rowOff>89647</xdr:rowOff>
    </xdr:to>
    <xdr:graphicFrame macro="">
      <xdr:nvGraphicFramePr>
        <xdr:cNvPr id="6" name="뇌연구-03-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100853</xdr:colOff>
      <xdr:row>117</xdr:row>
      <xdr:rowOff>0</xdr:rowOff>
    </xdr:from>
    <xdr:to>
      <xdr:col>7</xdr:col>
      <xdr:colOff>291353</xdr:colOff>
      <xdr:row>128</xdr:row>
      <xdr:rowOff>168090</xdr:rowOff>
    </xdr:to>
    <xdr:graphicFrame macro="">
      <xdr:nvGraphicFramePr>
        <xdr:cNvPr id="9" name="뇌연구-03-2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1</xdr:colOff>
      <xdr:row>139</xdr:row>
      <xdr:rowOff>11206</xdr:rowOff>
    </xdr:from>
    <xdr:to>
      <xdr:col>17</xdr:col>
      <xdr:colOff>257736</xdr:colOff>
      <xdr:row>153</xdr:row>
      <xdr:rowOff>0</xdr:rowOff>
    </xdr:to>
    <xdr:graphicFrame macro="">
      <xdr:nvGraphicFramePr>
        <xdr:cNvPr id="10" name="유전체-01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</xdr:colOff>
      <xdr:row>220</xdr:row>
      <xdr:rowOff>56030</xdr:rowOff>
    </xdr:from>
    <xdr:to>
      <xdr:col>7</xdr:col>
      <xdr:colOff>459441</xdr:colOff>
      <xdr:row>233</xdr:row>
      <xdr:rowOff>89649</xdr:rowOff>
    </xdr:to>
    <xdr:graphicFrame macro="">
      <xdr:nvGraphicFramePr>
        <xdr:cNvPr id="12" name="뇌연구-03-2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1</xdr:colOff>
      <xdr:row>194</xdr:row>
      <xdr:rowOff>11205</xdr:rowOff>
    </xdr:from>
    <xdr:to>
      <xdr:col>8</xdr:col>
      <xdr:colOff>425825</xdr:colOff>
      <xdr:row>207</xdr:row>
      <xdr:rowOff>89647</xdr:rowOff>
    </xdr:to>
    <xdr:graphicFrame macro="">
      <xdr:nvGraphicFramePr>
        <xdr:cNvPr id="13" name="뇌연구-03-2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100853</xdr:colOff>
      <xdr:row>248</xdr:row>
      <xdr:rowOff>0</xdr:rowOff>
    </xdr:from>
    <xdr:to>
      <xdr:col>7</xdr:col>
      <xdr:colOff>717176</xdr:colOff>
      <xdr:row>259</xdr:row>
      <xdr:rowOff>168090</xdr:rowOff>
    </xdr:to>
    <xdr:graphicFrame macro="">
      <xdr:nvGraphicFramePr>
        <xdr:cNvPr id="14" name="뇌연구-03-2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18</xdr:col>
      <xdr:colOff>11206</xdr:colOff>
      <xdr:row>141</xdr:row>
      <xdr:rowOff>0</xdr:rowOff>
    </xdr:from>
    <xdr:to>
      <xdr:col>26</xdr:col>
      <xdr:colOff>357467</xdr:colOff>
      <xdr:row>151</xdr:row>
      <xdr:rowOff>90208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926235" y="30020559"/>
          <a:ext cx="6800850" cy="2219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167</xdr:row>
      <xdr:rowOff>123264</xdr:rowOff>
    </xdr:from>
    <xdr:to>
      <xdr:col>7</xdr:col>
      <xdr:colOff>414617</xdr:colOff>
      <xdr:row>179</xdr:row>
      <xdr:rowOff>145678</xdr:rowOff>
    </xdr:to>
    <xdr:graphicFrame macro="">
      <xdr:nvGraphicFramePr>
        <xdr:cNvPr id="16" name="뇌연구-03-2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74.xml><?xml version="1.0" encoding="utf-8"?>
<c:userShapes xmlns:c="http://schemas.openxmlformats.org/drawingml/2006/chart">
  <cdr:relSizeAnchor xmlns:cdr="http://schemas.openxmlformats.org/drawingml/2006/chartDrawing">
    <cdr:from>
      <cdr:x>0.81086</cdr:x>
      <cdr:y>0</cdr:y>
    </cdr:from>
    <cdr:to>
      <cdr:x>0.95441</cdr:x>
      <cdr:y>0.11323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9368118" y="0"/>
          <a:ext cx="1658471" cy="3362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십억달러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75.xml><?xml version="1.0" encoding="utf-8"?>
<c:userShapes xmlns:c="http://schemas.openxmlformats.org/drawingml/2006/chart">
  <cdr:relSizeAnchor xmlns:cdr="http://schemas.openxmlformats.org/drawingml/2006/chartDrawing">
    <cdr:from>
      <cdr:x>0.88101</cdr:x>
      <cdr:y>0</cdr:y>
    </cdr:from>
    <cdr:to>
      <cdr:x>1</cdr:x>
      <cdr:y>0.13219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10247650" y="0"/>
          <a:ext cx="1384057" cy="33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십억달러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76.xml><?xml version="1.0" encoding="utf-8"?>
<c:userShapes xmlns:c="http://schemas.openxmlformats.org/drawingml/2006/chart">
  <cdr:relSizeAnchor xmlns:cdr="http://schemas.openxmlformats.org/drawingml/2006/chartDrawing">
    <cdr:from>
      <cdr:x>0.81086</cdr:x>
      <cdr:y>0</cdr:y>
    </cdr:from>
    <cdr:to>
      <cdr:x>0.95441</cdr:x>
      <cdr:y>0.11323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9368118" y="0"/>
          <a:ext cx="1658471" cy="3362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십억달러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672354</xdr:colOff>
      <xdr:row>8</xdr:row>
      <xdr:rowOff>134472</xdr:rowOff>
    </xdr:from>
    <xdr:to>
      <xdr:col>17</xdr:col>
      <xdr:colOff>537882</xdr:colOff>
      <xdr:row>21</xdr:row>
      <xdr:rowOff>201707</xdr:rowOff>
    </xdr:to>
    <xdr:graphicFrame macro="">
      <xdr:nvGraphicFramePr>
        <xdr:cNvPr id="8" name="유전체-01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627531</xdr:colOff>
      <xdr:row>32</xdr:row>
      <xdr:rowOff>202826</xdr:rowOff>
    </xdr:from>
    <xdr:to>
      <xdr:col>16</xdr:col>
      <xdr:colOff>649943</xdr:colOff>
      <xdr:row>43</xdr:row>
      <xdr:rowOff>22412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8.xml><?xml version="1.0" encoding="utf-8"?>
<c:userShapes xmlns:c="http://schemas.openxmlformats.org/drawingml/2006/chart">
  <cdr:relSizeAnchor xmlns:cdr="http://schemas.openxmlformats.org/drawingml/2006/chartDrawing">
    <cdr:from>
      <cdr:x>0.81086</cdr:x>
      <cdr:y>0</cdr:y>
    </cdr:from>
    <cdr:to>
      <cdr:x>0.95441</cdr:x>
      <cdr:y>0.11323</cdr:y>
    </cdr:to>
    <cdr:sp macro="" textlink="">
      <cdr:nvSpPr>
        <cdr:cNvPr id="2" name="직사각형 1"/>
        <cdr:cNvSpPr/>
      </cdr:nvSpPr>
      <cdr:spPr>
        <a:xfrm xmlns:a="http://schemas.openxmlformats.org/drawingml/2006/main">
          <a:off x="9368118" y="0"/>
          <a:ext cx="1658471" cy="3362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b="1">
              <a:solidFill>
                <a:schemeClr val="tx1"/>
              </a:solidFill>
            </a:rPr>
            <a:t>(</a:t>
          </a:r>
          <a:r>
            <a:rPr lang="ko-KR" altLang="en-US" b="1">
              <a:solidFill>
                <a:schemeClr val="tx1"/>
              </a:solidFill>
            </a:rPr>
            <a:t>단위 </a:t>
          </a:r>
          <a:r>
            <a:rPr lang="en-US" altLang="ko-KR" b="1">
              <a:solidFill>
                <a:schemeClr val="tx1"/>
              </a:solidFill>
            </a:rPr>
            <a:t>: </a:t>
          </a:r>
          <a:r>
            <a:rPr lang="ko-KR" altLang="en-US" b="1">
              <a:solidFill>
                <a:schemeClr val="tx1"/>
              </a:solidFill>
            </a:rPr>
            <a:t>십억달러</a:t>
          </a:r>
          <a:r>
            <a:rPr lang="en-US" altLang="ko-KR" b="1">
              <a:solidFill>
                <a:schemeClr val="tx1"/>
              </a:solidFill>
            </a:rPr>
            <a:t>)</a:t>
          </a:r>
          <a:endParaRPr lang="ko-KR" b="1">
            <a:solidFill>
              <a:schemeClr val="tx1"/>
            </a:solidFill>
          </a:endParaRPr>
        </a:p>
      </cdr:txBody>
    </cdr:sp>
  </cdr:relSizeAnchor>
</c:userShap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표91_143" displayName="표91_143" ref="H7:J12" totalsRowShown="0" headerRowDxfId="1095" dataDxfId="1094" headerRowCellStyle="쉼표 [0]" dataCellStyle="쉼표 [0]">
  <autoFilter ref="H7:J12" xr:uid="{00000000-0009-0000-0100-000005000000}"/>
  <tableColumns count="3">
    <tableColumn id="1" xr3:uid="{00000000-0010-0000-0000-000001000000}" name="구분" dataDxfId="1093" dataCellStyle="쉼표 [0]"/>
    <tableColumn id="2" xr3:uid="{00000000-0010-0000-0000-000002000000}" name="정부 BT R&amp;D" dataDxfId="1092" dataCellStyle="쉼표 [0]"/>
    <tableColumn id="3" xr3:uid="{00000000-0010-0000-0000-000003000000}" name="비중" dataDxfId="1091" dataCellStyle="백분율">
      <calculatedColumnFormula>I8/$E$11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1000000}" name="표92_144" displayName="표92_144" ref="L7:N11" totalsRowShown="0" headerRowDxfId="1090" dataDxfId="1089" headerRowCellStyle="쉼표 [0]" dataCellStyle="쉼표 [0]">
  <autoFilter ref="L7:N11" xr:uid="{00000000-0009-0000-0100-00000E000000}"/>
  <tableColumns count="3">
    <tableColumn id="1" xr3:uid="{00000000-0010-0000-0100-000001000000}" name="구분" dataDxfId="1088" dataCellStyle="쉼표 [0]"/>
    <tableColumn id="2" xr3:uid="{00000000-0010-0000-0100-000002000000}" name="과기부 BT R&amp;D" dataDxfId="1087" dataCellStyle="쉼표 [0]"/>
    <tableColumn id="3" xr3:uid="{00000000-0010-0000-0100-000003000000}" name="비중" dataDxfId="1086" dataCellStyle="백분율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2000000}" name="표93_145" displayName="표93_145" ref="P7:S9" totalsRowShown="0" headerRowDxfId="1085" dataDxfId="1084" headerRowCellStyle="쉼표 [0]" dataCellStyle="쉼표 [0]">
  <autoFilter ref="P7:S9" xr:uid="{00000000-0009-0000-0100-00000F000000}"/>
  <tableColumns count="4">
    <tableColumn id="1" xr3:uid="{00000000-0010-0000-0200-000001000000}" name="구분" dataDxfId="1083" dataCellStyle="쉼표 [0]"/>
    <tableColumn id="2" xr3:uid="{00000000-0010-0000-0200-000002000000}" name="과기부 BT 국책사업" dataDxfId="1082" dataCellStyle="쉼표 [0]"/>
    <tableColumn id="3" xr3:uid="{00000000-0010-0000-0200-000003000000}" name="비중" dataDxfId="1081" dataCellStyle="백분율"/>
    <tableColumn id="4" xr3:uid="{00000000-0010-0000-0200-000004000000}" name="(단위 : 억원, %)" dataDxfId="1080" dataCellStyle="쉼표 [0]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3000000}" name="표94_146" displayName="표94_146" ref="D51:N53" totalsRowShown="0" headerRowDxfId="1079" dataDxfId="1078" headerRowCellStyle="쉼표 [0]">
  <autoFilter ref="D51:N53" xr:uid="{00000000-0009-0000-0100-000010000000}"/>
  <tableColumns count="11">
    <tableColumn id="1" xr3:uid="{00000000-0010-0000-0300-000001000000}" name="구분" dataDxfId="1077" dataCellStyle="쉼표 [0]"/>
    <tableColumn id="2" xr3:uid="{00000000-0010-0000-0300-000002000000}" name="2011년" dataDxfId="1076"/>
    <tableColumn id="3" xr3:uid="{00000000-0010-0000-0300-000003000000}" name="2012년" dataDxfId="1075"/>
    <tableColumn id="4" xr3:uid="{00000000-0010-0000-0300-000004000000}" name="2013년" dataDxfId="1074"/>
    <tableColumn id="5" xr3:uid="{00000000-0010-0000-0300-000005000000}" name="2014년" dataDxfId="1073"/>
    <tableColumn id="6" xr3:uid="{00000000-0010-0000-0300-000006000000}" name="2015년" dataDxfId="1072"/>
    <tableColumn id="7" xr3:uid="{00000000-0010-0000-0300-000007000000}" name="2016년" dataDxfId="1071"/>
    <tableColumn id="8" xr3:uid="{00000000-0010-0000-0300-000008000000}" name="2017년" dataDxfId="1070"/>
    <tableColumn id="9" xr3:uid="{00000000-0010-0000-0300-000009000000}" name="2018년" dataDxfId="1069"/>
    <tableColumn id="10" xr3:uid="{00000000-0010-0000-0300-00000A000000}" name="2019년" dataDxfId="1068"/>
    <tableColumn id="11" xr3:uid="{00000000-0010-0000-0300-00000B000000}" name="2020년" dataDxfId="1067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4000000}" name="표95_147" displayName="표95_147" ref="D76:N84" totalsRowShown="0" headerRowDxfId="1066" dataDxfId="1065" headerRowCellStyle="쉼표 [0]">
  <autoFilter ref="D76:N84" xr:uid="{00000000-0009-0000-0100-000011000000}"/>
  <tableColumns count="11">
    <tableColumn id="1" xr3:uid="{00000000-0010-0000-0400-000001000000}" name="구분" dataDxfId="1064" dataCellStyle="쉼표 [0]"/>
    <tableColumn id="2" xr3:uid="{00000000-0010-0000-0400-000002000000}" name="2011년" dataDxfId="1063" dataCellStyle="쉼표 [0]"/>
    <tableColumn id="3" xr3:uid="{00000000-0010-0000-0400-000003000000}" name="2012년" dataDxfId="1062" dataCellStyle="쉼표 [0]"/>
    <tableColumn id="4" xr3:uid="{00000000-0010-0000-0400-000004000000}" name="2013년" dataDxfId="1061" dataCellStyle="쉼표 [0]"/>
    <tableColumn id="5" xr3:uid="{00000000-0010-0000-0400-000005000000}" name="2014년" dataDxfId="1060" dataCellStyle="쉼표 [0]"/>
    <tableColumn id="6" xr3:uid="{00000000-0010-0000-0400-000006000000}" name="2015년" dataDxfId="1059" dataCellStyle="쉼표 [0]"/>
    <tableColumn id="7" xr3:uid="{00000000-0010-0000-0400-000007000000}" name="2016년" dataDxfId="1058" dataCellStyle="쉼표 [0]"/>
    <tableColumn id="8" xr3:uid="{00000000-0010-0000-0400-000008000000}" name="2017년" dataDxfId="1057" dataCellStyle="쉼표 [0]"/>
    <tableColumn id="9" xr3:uid="{00000000-0010-0000-0400-000009000000}" name="2018년" dataDxfId="1056" dataCellStyle="쉼표 [0]"/>
    <tableColumn id="10" xr3:uid="{00000000-0010-0000-0400-00000A000000}" name="2019년" dataDxfId="1055" dataCellStyle="쉼표 [0]"/>
    <tableColumn id="11" xr3:uid="{00000000-0010-0000-0400-00000B000000}" name="2020년" dataDxfId="1054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5000000}" name="표96_148" displayName="표96_148" ref="D102:K105" totalsRowShown="0" headerRowDxfId="1053" dataDxfId="1052" headerRowCellStyle="쉼표 [0]">
  <autoFilter ref="D102:K105" xr:uid="{00000000-0009-0000-0100-000012000000}"/>
  <tableColumns count="8">
    <tableColumn id="1" xr3:uid="{00000000-0010-0000-0500-000001000000}" name="구분" dataDxfId="1051" dataCellStyle="쉼표 [0]"/>
    <tableColumn id="2" xr3:uid="{00000000-0010-0000-0500-000002000000}" name="한국(2020)" dataDxfId="1050"/>
    <tableColumn id="3" xr3:uid="{00000000-0010-0000-0500-000003000000}" name="미국(2019)" dataDxfId="1049"/>
    <tableColumn id="4" xr3:uid="{00000000-0010-0000-0500-000004000000}" name="일본(2019)" dataDxfId="1048"/>
    <tableColumn id="5" xr3:uid="{00000000-0010-0000-0500-000005000000}" name="독일(2019)" dataDxfId="1047"/>
    <tableColumn id="6" xr3:uid="{00000000-0010-0000-0500-000006000000}" name="프랑스(2019)" dataDxfId="1046"/>
    <tableColumn id="7" xr3:uid="{00000000-0010-0000-0500-000007000000}" name="영국(2019)" dataDxfId="1045"/>
    <tableColumn id="8" xr3:uid="{00000000-0010-0000-0500-000008000000}" name="중국(2019)" dataDxfId="1044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6000000}" name="표97_149" displayName="표97_149" ref="D132:N136" totalsRowCount="1" headerRowDxfId="1043" dataDxfId="1042" headerRowCellStyle="쉼표 [0]" dataCellStyle="쉼표 [0]">
  <autoFilter ref="D132:N135" xr:uid="{00000000-0009-0000-0100-000013000000}"/>
  <tableColumns count="11">
    <tableColumn id="1" xr3:uid="{00000000-0010-0000-0600-000001000000}" name="구분" dataDxfId="1041" totalsRowDxfId="1040" dataCellStyle="쉼표 [0]"/>
    <tableColumn id="3" xr3:uid="{00000000-0010-0000-0600-000003000000}" name="2011년" dataDxfId="1039" totalsRowDxfId="1038" dataCellStyle="쉼표 [0]"/>
    <tableColumn id="4" xr3:uid="{00000000-0010-0000-0600-000004000000}" name="2012년" dataDxfId="1037" totalsRowDxfId="1036" dataCellStyle="쉼표 [0]"/>
    <tableColumn id="5" xr3:uid="{00000000-0010-0000-0600-000005000000}" name="2013년" dataDxfId="1035" totalsRowDxfId="1034" dataCellStyle="쉼표 [0]"/>
    <tableColumn id="6" xr3:uid="{00000000-0010-0000-0600-000006000000}" name="2014년" dataDxfId="1033" totalsRowDxfId="1032" dataCellStyle="쉼표 [0]"/>
    <tableColumn id="7" xr3:uid="{00000000-0010-0000-0600-000007000000}" name="2015년" dataDxfId="1031" totalsRowDxfId="1030" dataCellStyle="쉼표 [0]"/>
    <tableColumn id="8" xr3:uid="{00000000-0010-0000-0600-000008000000}" name="2016년" dataDxfId="1029" totalsRowDxfId="1028" dataCellStyle="쉼표 [0]"/>
    <tableColumn id="9" xr3:uid="{00000000-0010-0000-0600-000009000000}" name="2017년" dataDxfId="1027" totalsRowDxfId="1026" dataCellStyle="쉼표 [0]"/>
    <tableColumn id="10" xr3:uid="{00000000-0010-0000-0600-00000A000000}" name="2018년" dataDxfId="1025" totalsRowDxfId="1024" dataCellStyle="쉼표 [0]"/>
    <tableColumn id="11" xr3:uid="{00000000-0010-0000-0600-00000B000000}" name="2019년" dataDxfId="1023" totalsRowDxfId="1022" dataCellStyle="쉼표 [0]"/>
    <tableColumn id="13" xr3:uid="{00000000-0010-0000-0600-00000D000000}" name="2020년" totalsRowFunction="custom" dataDxfId="1021" totalsRowDxfId="1020" dataCellStyle="쉼표 [0]">
      <totalsRowFormula>SUM(N133:N135)</totalsRow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7000000}" name="표98_150" displayName="표98_150" ref="D159:N161" totalsRowShown="0" headerRowDxfId="1019" dataDxfId="1018" headerRowCellStyle="쉼표 [0]" dataCellStyle="쉼표 [0]">
  <autoFilter ref="D159:N161" xr:uid="{00000000-0009-0000-0100-000016000000}"/>
  <tableColumns count="11">
    <tableColumn id="1" xr3:uid="{00000000-0010-0000-0700-000001000000}" name="구분" dataDxfId="1017" dataCellStyle="쉼표 [0]"/>
    <tableColumn id="2" xr3:uid="{00000000-0010-0000-0700-000002000000}" name="2011년" dataDxfId="1016" dataCellStyle="쉼표 [0]"/>
    <tableColumn id="3" xr3:uid="{00000000-0010-0000-0700-000003000000}" name="2012년" dataDxfId="1015" dataCellStyle="쉼표 [0]"/>
    <tableColumn id="4" xr3:uid="{00000000-0010-0000-0700-000004000000}" name="2013년" dataDxfId="1014" dataCellStyle="쉼표 [0]"/>
    <tableColumn id="5" xr3:uid="{00000000-0010-0000-0700-000005000000}" name="2014년" dataDxfId="1013" dataCellStyle="쉼표 [0]"/>
    <tableColumn id="6" xr3:uid="{00000000-0010-0000-0700-000006000000}" name="2015년" dataDxfId="1012" dataCellStyle="쉼표 [0]"/>
    <tableColumn id="7" xr3:uid="{00000000-0010-0000-0700-000007000000}" name="2016년" dataDxfId="1011" dataCellStyle="쉼표 [0]"/>
    <tableColumn id="8" xr3:uid="{00000000-0010-0000-0700-000008000000}" name="2017년" dataDxfId="1010" dataCellStyle="쉼표 [0]"/>
    <tableColumn id="9" xr3:uid="{00000000-0010-0000-0700-000009000000}" name="2018년" dataDxfId="1009" dataCellStyle="쉼표 [0]"/>
    <tableColumn id="10" xr3:uid="{00000000-0010-0000-0700-00000A000000}" name="2019년" dataDxfId="1008" dataCellStyle="쉼표 [0]"/>
    <tableColumn id="11" xr3:uid="{00000000-0010-0000-0700-00000B000000}" name="2020년" dataDxfId="1007" dataCellStyle="쉼표 [0]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08000000}" name="표100151" displayName="표100151" ref="D185:L194" totalsRowShown="0" headerRowDxfId="1006" dataDxfId="1005" headerRowCellStyle="쉼표 [0]">
  <autoFilter ref="D185:L194" xr:uid="{00000000-0009-0000-0100-000019000000}"/>
  <tableColumns count="9">
    <tableColumn id="1" xr3:uid="{00000000-0010-0000-0800-000001000000}" name="구분" dataDxfId="1004" dataCellStyle="쉼표 [0]"/>
    <tableColumn id="2" xr3:uid="{00000000-0010-0000-0800-000002000000}" name="2018년 연구개발비" dataDxfId="1003" dataCellStyle="쉼표 [0]"/>
    <tableColumn id="3" xr3:uid="{00000000-0010-0000-0800-000003000000}" name="2018년 비중" dataDxfId="1002" dataCellStyle="백분율"/>
    <tableColumn id="4" xr3:uid="{00000000-0010-0000-0800-000004000000}" name="2019년 연구개발비" dataDxfId="1001" dataCellStyle="쉼표 [0]"/>
    <tableColumn id="5" xr3:uid="{00000000-0010-0000-0800-000005000000}" name="2019년 비중" dataDxfId="1000" dataCellStyle="백분율"/>
    <tableColumn id="6" xr3:uid="{00000000-0010-0000-0800-000006000000}" name="2020년 연구개발비" dataDxfId="999" dataCellStyle="쉼표 [0]"/>
    <tableColumn id="7" xr3:uid="{00000000-0010-0000-0800-000007000000}" name="2020년 비중" dataDxfId="998" dataCellStyle="백분율"/>
    <tableColumn id="8" xr3:uid="{00000000-0010-0000-0800-000008000000}" name="증감('20-'19년)" dataDxfId="997" dataCellStyle="쉼표 [0]"/>
    <tableColumn id="9" xr3:uid="{00000000-0010-0000-0800-000009000000}" name="증감율" dataDxfId="996" dataCellStyle="백분율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09000000}" name="표101152" displayName="표101152" ref="D219:J224" totalsRowShown="0" headerRowDxfId="995" dataDxfId="994" headerRowCellStyle="쉼표 [0]" dataCellStyle="쉼표 [0]">
  <autoFilter ref="D219:J224" xr:uid="{00000000-0009-0000-0100-00001F000000}"/>
  <tableColumns count="7">
    <tableColumn id="1" xr3:uid="{00000000-0010-0000-0900-000001000000}" name="구분" dataDxfId="993" dataCellStyle="쉼표 [0]"/>
    <tableColumn id="2" xr3:uid="{00000000-0010-0000-0900-000002000000}" name="IT" dataDxfId="992" dataCellStyle="쉼표 [0]"/>
    <tableColumn id="3" xr3:uid="{00000000-0010-0000-0900-000003000000}" name="BT" dataDxfId="991" dataCellStyle="쉼표 [0]"/>
    <tableColumn id="4" xr3:uid="{00000000-0010-0000-0900-000004000000}" name="NT" dataDxfId="990" dataCellStyle="쉼표 [0]"/>
    <tableColumn id="5" xr3:uid="{00000000-0010-0000-0900-000005000000}" name="ST" dataDxfId="989" dataCellStyle="쉼표 [0]"/>
    <tableColumn id="6" xr3:uid="{00000000-0010-0000-0900-000006000000}" name="ET" dataDxfId="988" dataCellStyle="쉼표 [0]"/>
    <tableColumn id="7" xr3:uid="{00000000-0010-0000-0900-000007000000}" name="CT" dataDxfId="987" dataCellStyle="쉼표 [0]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A000000}" name="표102153" displayName="표102153" ref="D245:I250" totalsRowShown="0" headerRowDxfId="986" dataDxfId="985" headerRowCellStyle="쉼표 [0]" dataCellStyle="쉼표 [0]">
  <autoFilter ref="D245:I250" xr:uid="{00000000-0009-0000-0100-000022000000}"/>
  <tableColumns count="6">
    <tableColumn id="1" xr3:uid="{00000000-0010-0000-0A00-000001000000}" name="구분" dataDxfId="984" dataCellStyle="쉼표 [0]"/>
    <tableColumn id="2" xr3:uid="{00000000-0010-0000-0A00-000002000000}" name="2016년" dataDxfId="983" dataCellStyle="쉼표 [0]"/>
    <tableColumn id="3" xr3:uid="{00000000-0010-0000-0A00-000003000000}" name="2017년" dataDxfId="982" dataCellStyle="쉼표 [0]"/>
    <tableColumn id="4" xr3:uid="{00000000-0010-0000-0A00-000004000000}" name="2018년" dataDxfId="981" dataCellStyle="쉼표 [0]"/>
    <tableColumn id="5" xr3:uid="{00000000-0010-0000-0A00-000005000000}" name="2019년" dataDxfId="980" dataCellStyle="쉼표 [0]"/>
    <tableColumn id="6" xr3:uid="{00000000-0010-0000-0A00-000006000000}" name="2020년" dataDxfId="979" dataCellStyle="쉼표 [0]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0B000000}" name="표103154" displayName="표103154" ref="D299:H302" totalsRowShown="0" headerRowDxfId="978" dataDxfId="977" headerRowCellStyle="쉼표 [0]">
  <autoFilter ref="D299:H302" xr:uid="{00000000-0009-0000-0100-000030000000}"/>
  <tableColumns count="5">
    <tableColumn id="1" xr3:uid="{00000000-0010-0000-0B00-000001000000}" name="억원" dataDxfId="976" dataCellStyle="쉼표 [0]"/>
    <tableColumn id="2" xr3:uid="{00000000-0010-0000-0B00-000002000000}" name="한국(조원)" dataDxfId="975"/>
    <tableColumn id="3" xr3:uid="{00000000-0010-0000-0B00-000003000000}" name="미국(억달러)" dataDxfId="974"/>
    <tableColumn id="4" xr3:uid="{00000000-0010-0000-0B00-000004000000}" name="독일(억달러, 2019)" dataDxfId="973"/>
    <tableColumn id="5" xr3:uid="{00000000-0010-0000-0B00-000005000000}" name="일본(억엔, 2019) " dataDxfId="97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0000000-000C-0000-FFFF-FFFF0C000000}" name="표104155" displayName="표104155" ref="D310:I317" totalsRowShown="0" headerRowDxfId="971" dataDxfId="970" headerRowCellStyle="쉼표 [0]" dataCellStyle="쉼표 [0]">
  <autoFilter ref="D310:I317" xr:uid="{00000000-0009-0000-0100-000035000000}"/>
  <tableColumns count="6">
    <tableColumn id="1" xr3:uid="{00000000-0010-0000-0C00-000001000000}" name="구분" dataDxfId="969" dataCellStyle="쉼표 [0]"/>
    <tableColumn id="2" xr3:uid="{00000000-0010-0000-0C00-000002000000}" name="2016년" dataDxfId="968" dataCellStyle="쉼표 [0]"/>
    <tableColumn id="3" xr3:uid="{00000000-0010-0000-0C00-000003000000}" name="2017년" dataDxfId="967" dataCellStyle="쉼표 [0]"/>
    <tableColumn id="4" xr3:uid="{00000000-0010-0000-0C00-000004000000}" name="2018년" dataDxfId="966" dataCellStyle="쉼표 [0]"/>
    <tableColumn id="5" xr3:uid="{00000000-0010-0000-0C00-000005000000}" name="2019년" dataDxfId="965" dataCellStyle="쉼표 [0]"/>
    <tableColumn id="6" xr3:uid="{00000000-0010-0000-0C00-000006000000}" name="2020년" dataDxfId="964" dataCellStyle="쉼표 [0]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000000-000C-0000-FFFF-FFFF0D000000}" name="표105156" displayName="표105156" ref="D341:J343" totalsRowShown="0" headerRowDxfId="963" dataDxfId="962" headerRowCellStyle="쉼표 [0]" dataCellStyle="쉼표 [0]">
  <autoFilter ref="D341:J343" xr:uid="{00000000-0009-0000-0100-000036000000}"/>
  <tableColumns count="7">
    <tableColumn id="1" xr3:uid="{00000000-0010-0000-0D00-000001000000}" name="구분" dataDxfId="961" dataCellStyle="쉼표 [0]"/>
    <tableColumn id="2" xr3:uid="{00000000-0010-0000-0D00-000002000000}" name="과기정통부" dataDxfId="960" dataCellStyle="쉼표 [0] 6"/>
    <tableColumn id="3" xr3:uid="{00000000-0010-0000-0D00-000003000000}" name="농식품부" dataDxfId="959" dataCellStyle="쉼표 [0] 6"/>
    <tableColumn id="4" xr3:uid="{00000000-0010-0000-0D00-000004000000}" name="복지부" dataDxfId="958" dataCellStyle="쉼표 [0] 6"/>
    <tableColumn id="5" xr3:uid="{00000000-0010-0000-0D00-000005000000}" name="산업부" dataDxfId="957" dataCellStyle="쉼표 [0] 6"/>
    <tableColumn id="6" xr3:uid="{00000000-0010-0000-0D00-000006000000}" name="교육부" dataDxfId="956" dataCellStyle="쉼표 [0] 6"/>
    <tableColumn id="7" xr3:uid="{00000000-0010-0000-0D00-000007000000}" name="기타부처" dataDxfId="955" dataCellStyle="쉼표 [0] 6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0E000000}" name="표106157" displayName="표106157" ref="D369:M374" totalsRowShown="0" headerRowDxfId="954" dataDxfId="953" headerRowCellStyle="쉼표 [0]" dataCellStyle="쉼표 [0]">
  <autoFilter ref="D369:M374" xr:uid="{00000000-0009-0000-0100-000037000000}"/>
  <tableColumns count="10">
    <tableColumn id="1" xr3:uid="{00000000-0010-0000-0E00-000001000000}" name="구분" dataDxfId="952" dataCellStyle="쉼표 [0]"/>
    <tableColumn id="2" xr3:uid="{00000000-0010-0000-0E00-000002000000}" name="신약" dataDxfId="951" dataCellStyle="쉼표 [0]"/>
    <tableColumn id="3" xr3:uid="{00000000-0010-0000-0E00-000003000000}" name="의료기기" dataDxfId="950" dataCellStyle="쉼표 [0]"/>
    <tableColumn id="4" xr3:uid="{00000000-0010-0000-0E00-000004000000}" name="의료서비스" dataDxfId="949" dataCellStyle="쉼표 [0]"/>
    <tableColumn id="5" xr3:uid="{00000000-0010-0000-0E00-000005000000}" name="뇌연구" dataDxfId="948" dataCellStyle="쉼표 [0]"/>
    <tableColumn id="6" xr3:uid="{00000000-0010-0000-0E00-000006000000}" name="줄기세포" dataDxfId="947" dataCellStyle="쉼표 [0]"/>
    <tableColumn id="7" xr3:uid="{00000000-0010-0000-0E00-000007000000}" name="유전체" dataDxfId="946" dataCellStyle="쉼표 [0]"/>
    <tableColumn id="8" xr3:uid="{00000000-0010-0000-0E00-000008000000}" name="생명연구자원" dataDxfId="945" dataCellStyle="쉼표 [0]"/>
    <tableColumn id="9" xr3:uid="{00000000-0010-0000-0E00-000009000000}" name="농림수축산/식품" dataDxfId="944" dataCellStyle="쉼표 [0]"/>
    <tableColumn id="10" xr3:uid="{00000000-0010-0000-0E00-00000A000000}" name="생명과학, 기초연구 및 기타" dataDxfId="943" dataCellStyle="쉼표 [0]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0000000-000C-0000-FFFF-FFFF0F000000}" name="표107158" displayName="표107158" ref="D398:M399" totalsRowShown="0" headerRowDxfId="942" dataDxfId="941" headerRowCellStyle="쉼표 [0]" dataCellStyle="쉼표 [0]">
  <autoFilter ref="D398:M399" xr:uid="{00000000-0009-0000-0100-000038000000}"/>
  <tableColumns count="10">
    <tableColumn id="1" xr3:uid="{00000000-0010-0000-0F00-000001000000}" name="구분" dataDxfId="940" dataCellStyle="쉼표 [0]"/>
    <tableColumn id="2" xr3:uid="{00000000-0010-0000-0F00-000002000000}" name="신약" dataDxfId="939" dataCellStyle="쉼표 [0] 7"/>
    <tableColumn id="3" xr3:uid="{00000000-0010-0000-0F00-000003000000}" name="의료기기" dataDxfId="938" dataCellStyle="쉼표 [0] 7"/>
    <tableColumn id="4" xr3:uid="{00000000-0010-0000-0F00-000004000000}" name="의료서비스" dataDxfId="937" dataCellStyle="쉼표 [0] 7"/>
    <tableColumn id="5" xr3:uid="{00000000-0010-0000-0F00-000005000000}" name="뇌연구" dataDxfId="936" dataCellStyle="쉼표 [0] 7"/>
    <tableColumn id="6" xr3:uid="{00000000-0010-0000-0F00-000006000000}" name="줄기세포" dataDxfId="935" dataCellStyle="쉼표 [0] 7"/>
    <tableColumn id="7" xr3:uid="{00000000-0010-0000-0F00-000007000000}" name="유전체" dataDxfId="934" dataCellStyle="쉼표 [0] 7"/>
    <tableColumn id="8" xr3:uid="{00000000-0010-0000-0F00-000008000000}" name="생명연구자원" dataDxfId="933" dataCellStyle="쉼표 [0] 7"/>
    <tableColumn id="9" xr3:uid="{00000000-0010-0000-0F00-000009000000}" name="농림수축산/식품" dataDxfId="932" dataCellStyle="쉼표 [0] 7"/>
    <tableColumn id="10" xr3:uid="{00000000-0010-0000-0F00-00000A000000}" name="생명과학, 기초연구 및 기타" dataDxfId="931" dataCellStyle="쉼표 [0] 7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0000000-000C-0000-FFFF-FFFF10000000}" name="표108159" displayName="표108159" ref="D422:I429" totalsRowShown="0" headerRowDxfId="930" dataDxfId="929" headerRowCellStyle="쉼표 [0]" dataCellStyle="쉼표 [0]">
  <autoFilter ref="D422:I429" xr:uid="{00000000-0009-0000-0100-000039000000}"/>
  <tableColumns count="6">
    <tableColumn id="1" xr3:uid="{00000000-0010-0000-1000-000001000000}" name="구분" dataDxfId="928" dataCellStyle="쉼표 [0]"/>
    <tableColumn id="2" xr3:uid="{00000000-0010-0000-1000-000002000000}" name="2016년" dataDxfId="927" dataCellStyle="쉼표 [0]"/>
    <tableColumn id="3" xr3:uid="{00000000-0010-0000-1000-000003000000}" name="2017년" dataDxfId="926" dataCellStyle="쉼표 [0]"/>
    <tableColumn id="4" xr3:uid="{00000000-0010-0000-1000-000004000000}" name="2018년" dataDxfId="925" dataCellStyle="표준 6 2"/>
    <tableColumn id="5" xr3:uid="{00000000-0010-0000-1000-000005000000}" name="2019년" dataDxfId="924" dataCellStyle="표준 6 2"/>
    <tableColumn id="6" xr3:uid="{00000000-0010-0000-1000-000006000000}" name="2020년" dataDxfId="923" dataCellStyle="쉼표 [0]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11000000}" name="표109160" displayName="표109160" ref="D452:I459" totalsRowShown="0" headerRowDxfId="922" dataDxfId="921" headerRowCellStyle="쉼표 [0]" dataCellStyle="쉼표 [0]">
  <autoFilter ref="D452:I459" xr:uid="{00000000-0009-0000-0100-00003A000000}"/>
  <tableColumns count="6">
    <tableColumn id="1" xr3:uid="{00000000-0010-0000-1100-000001000000}" name="구분" dataDxfId="920" dataCellStyle="쉼표 [0]"/>
    <tableColumn id="2" xr3:uid="{00000000-0010-0000-1100-000002000000}" name="2016년" dataDxfId="919" dataCellStyle="쉼표 [0]"/>
    <tableColumn id="3" xr3:uid="{00000000-0010-0000-1100-000003000000}" name="2017년" dataDxfId="918" dataCellStyle="쉼표 [0]"/>
    <tableColumn id="4" xr3:uid="{00000000-0010-0000-1100-000004000000}" name="2018년" dataDxfId="917" dataCellStyle="표준 6 2"/>
    <tableColumn id="5" xr3:uid="{00000000-0010-0000-1100-000005000000}" name="2019년" dataDxfId="916" dataCellStyle="표준 6 2"/>
    <tableColumn id="6" xr3:uid="{00000000-0010-0000-1100-000006000000}" name="2020년" dataDxfId="915" dataCellStyle="쉼표 [0]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00000000-000C-0000-FFFF-FFFF12000000}" name="표110161" displayName="표110161" ref="D482:I489" totalsRowShown="0" headerRowDxfId="914" dataDxfId="913" headerRowCellStyle="쉼표 [0]" dataCellStyle="쉼표 [0]">
  <autoFilter ref="D482:I489" xr:uid="{00000000-0009-0000-0100-00003F000000}"/>
  <tableColumns count="6">
    <tableColumn id="1" xr3:uid="{00000000-0010-0000-1200-000001000000}" name="구분" dataDxfId="912" dataCellStyle="쉼표 [0]"/>
    <tableColumn id="2" xr3:uid="{00000000-0010-0000-1200-000002000000}" name="2016년" dataDxfId="911" dataCellStyle="쉼표 [0]"/>
    <tableColumn id="3" xr3:uid="{00000000-0010-0000-1200-000003000000}" name="2017년" dataDxfId="910" dataCellStyle="쉼표 [0]"/>
    <tableColumn id="4" xr3:uid="{00000000-0010-0000-1200-000004000000}" name="2018년" dataDxfId="909" dataCellStyle="쉼표 [0]"/>
    <tableColumn id="5" xr3:uid="{00000000-0010-0000-1200-000005000000}" name="2019년" dataDxfId="908" dataCellStyle="쉼표 [0]"/>
    <tableColumn id="6" xr3:uid="{00000000-0010-0000-1200-000006000000}" name="2020년" dataDxfId="907" dataCellStyle="쉼표 [0]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00000000-000C-0000-FFFF-FFFF13000000}" name="표111162" displayName="표111162" ref="D512:I519" totalsRowShown="0" headerRowDxfId="906" dataDxfId="905" headerRowCellStyle="쉼표 [0]" dataCellStyle="쉼표 [0]">
  <autoFilter ref="D512:I519" xr:uid="{00000000-0009-0000-0100-000042000000}"/>
  <tableColumns count="6">
    <tableColumn id="1" xr3:uid="{00000000-0010-0000-1300-000001000000}" name="구분" dataDxfId="904" dataCellStyle="쉼표 [0]"/>
    <tableColumn id="2" xr3:uid="{00000000-0010-0000-1300-000002000000}" name="2016년" dataDxfId="903" dataCellStyle="쉼표 [0]"/>
    <tableColumn id="3" xr3:uid="{00000000-0010-0000-1300-000003000000}" name="2017년" dataDxfId="902" dataCellStyle="쉼표 [0]"/>
    <tableColumn id="4" xr3:uid="{00000000-0010-0000-1300-000004000000}" name="2018년" dataDxfId="901" dataCellStyle="표준 6 2"/>
    <tableColumn id="5" xr3:uid="{00000000-0010-0000-1300-000005000000}" name="2019년 " dataDxfId="900" dataCellStyle="표준 2 4 5"/>
    <tableColumn id="6" xr3:uid="{00000000-0010-0000-1300-000006000000}" name="2020년" dataDxfId="899" dataCellStyle="쉼표 [0]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00000000-000C-0000-FFFF-FFFF14000000}" name="표112163" displayName="표112163" ref="D542:I549" totalsRowShown="0" headerRowDxfId="898" dataDxfId="897" headerRowCellStyle="쉼표 [0]" dataCellStyle="쉼표 [0]">
  <autoFilter ref="D542:I549" xr:uid="{00000000-0009-0000-0100-000043000000}"/>
  <tableColumns count="6">
    <tableColumn id="1" xr3:uid="{00000000-0010-0000-1400-000001000000}" name="구분" dataDxfId="896" dataCellStyle="쉼표 [0]"/>
    <tableColumn id="2" xr3:uid="{00000000-0010-0000-1400-000002000000}" name="2016년" dataDxfId="895" dataCellStyle="쉼표 [0]"/>
    <tableColumn id="3" xr3:uid="{00000000-0010-0000-1400-000003000000}" name="2017년" dataDxfId="894" dataCellStyle="쉼표 [0]"/>
    <tableColumn id="4" xr3:uid="{00000000-0010-0000-1400-000004000000}" name="2018년" dataDxfId="893" dataCellStyle="표준 6 2"/>
    <tableColumn id="5" xr3:uid="{00000000-0010-0000-1400-000005000000}" name="2019년" dataDxfId="892" dataCellStyle="표준 2 4 5"/>
    <tableColumn id="6" xr3:uid="{00000000-0010-0000-1400-000006000000}" name="2020년" dataDxfId="891" dataCellStyle="쉼표 [0]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00000000-000C-0000-FFFF-FFFF15000000}" name="표113164" displayName="표113164" ref="D572:I579" totalsRowShown="0" headerRowDxfId="890" dataDxfId="889" headerRowCellStyle="쉼표 [0]" dataCellStyle="쉼표 [0]">
  <autoFilter ref="D572:I579" xr:uid="{00000000-0009-0000-0100-000044000000}"/>
  <tableColumns count="6">
    <tableColumn id="1" xr3:uid="{00000000-0010-0000-1500-000001000000}" name="구분" dataDxfId="888" dataCellStyle="쉼표 [0]"/>
    <tableColumn id="2" xr3:uid="{00000000-0010-0000-1500-000002000000}" name="2016년" dataDxfId="887" dataCellStyle="쉼표 [0]"/>
    <tableColumn id="3" xr3:uid="{00000000-0010-0000-1500-000003000000}" name="2017년" dataDxfId="886" dataCellStyle="쉼표 [0]"/>
    <tableColumn id="4" xr3:uid="{00000000-0010-0000-1500-000004000000}" name="2018년" dataDxfId="885" dataCellStyle="쉼표 [0]"/>
    <tableColumn id="5" xr3:uid="{00000000-0010-0000-1500-000005000000}" name="2019년" dataDxfId="884" dataCellStyle="쉼표 [0]"/>
    <tableColumn id="6" xr3:uid="{00000000-0010-0000-1500-000006000000}" name="2020년" dataDxfId="883" dataCellStyle="쉼표 [0]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00000000-000C-0000-FFFF-FFFF16000000}" name="표114165" displayName="표114165" ref="D602:I609" totalsRowShown="0" headerRowDxfId="882" dataDxfId="881" headerRowCellStyle="쉼표 [0]" dataCellStyle="쉼표 [0]">
  <autoFilter ref="D602:I609" xr:uid="{00000000-0009-0000-0100-000045000000}"/>
  <tableColumns count="6">
    <tableColumn id="1" xr3:uid="{00000000-0010-0000-1600-000001000000}" name="구분" dataDxfId="880" dataCellStyle="쉼표 [0]"/>
    <tableColumn id="2" xr3:uid="{00000000-0010-0000-1600-000002000000}" name="2016년" dataDxfId="879" dataCellStyle="쉼표 [0]"/>
    <tableColumn id="3" xr3:uid="{00000000-0010-0000-1600-000003000000}" name="2017년" dataDxfId="878" dataCellStyle="쉼표 [0]"/>
    <tableColumn id="4" xr3:uid="{00000000-0010-0000-1600-000004000000}" name="2018년" dataDxfId="877" dataCellStyle="표준 6 2"/>
    <tableColumn id="5" xr3:uid="{00000000-0010-0000-1600-000005000000}" name="2019년" dataDxfId="876" dataCellStyle="표준 2 4 5"/>
    <tableColumn id="6" xr3:uid="{00000000-0010-0000-1600-000006000000}" name="2020년" dataDxfId="875" dataCellStyle="쉼표 [0]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00000000-000C-0000-FFFF-FFFF17000000}" name="표167" displayName="표167" ref="D7:F13" totalsRowShown="0" headerRowDxfId="874" dataDxfId="873">
  <autoFilter ref="D7:F13" xr:uid="{00000000-0009-0000-0100-000046000000}"/>
  <tableColumns count="3">
    <tableColumn id="1" xr3:uid="{00000000-0010-0000-1700-000001000000}" name="구분" dataDxfId="872"/>
    <tableColumn id="2" xr3:uid="{00000000-0010-0000-1700-000002000000}" name="억원" dataDxfId="871" dataCellStyle="쉼표 [0]"/>
    <tableColumn id="3" xr3:uid="{00000000-0010-0000-1700-000003000000}" name="비중" dataDxfId="870" dataCellStyle="백분율">
      <calculatedColumnFormula>E8/E7</calculatedColumnFormula>
    </tableColumn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00000000-000C-0000-FFFF-FFFF18000000}" name="표1021534" displayName="표1021534" ref="D273:I276" totalsRowShown="0" headerRowDxfId="869" dataDxfId="868" headerRowCellStyle="쉼표 [0]" dataCellStyle="쉼표 [0]">
  <autoFilter ref="D273:I276" xr:uid="{00000000-0009-0000-0100-000047000000}"/>
  <tableColumns count="6">
    <tableColumn id="1" xr3:uid="{00000000-0010-0000-1800-000001000000}" name="구분" dataDxfId="867" dataCellStyle="쉼표 [0]"/>
    <tableColumn id="2" xr3:uid="{00000000-0010-0000-1800-000002000000}" name="2016년" dataDxfId="866" dataCellStyle="쉼표 [0]"/>
    <tableColumn id="3" xr3:uid="{00000000-0010-0000-1800-000003000000}" name="2017년" dataDxfId="865" dataCellStyle="쉼표 [0]"/>
    <tableColumn id="4" xr3:uid="{00000000-0010-0000-1800-000004000000}" name="2018년" dataDxfId="864" dataCellStyle="쉼표 [0]"/>
    <tableColumn id="5" xr3:uid="{00000000-0010-0000-1800-000005000000}" name="2019년" dataDxfId="863" dataCellStyle="쉼표 [0]"/>
    <tableColumn id="6" xr3:uid="{00000000-0010-0000-1800-000006000000}" name="2020년" dataDxfId="862" dataCellStyle="쉼표 [0]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00000000-000C-0000-FFFF-FFFF19000000}" name="표75" displayName="표75" ref="D6:G12" totalsRowShown="0" headerRowDxfId="861" dataDxfId="860" headerRowCellStyle="쉼표 [0]" dataCellStyle="쉼표 [0]">
  <autoFilter ref="D6:G12" xr:uid="{00000000-0009-0000-0100-000048000000}"/>
  <tableColumns count="4">
    <tableColumn id="1" xr3:uid="{00000000-0010-0000-1900-000001000000}" name="구분" dataDxfId="859" dataCellStyle="쉼표 [0]"/>
    <tableColumn id="2" xr3:uid="{00000000-0010-0000-1900-000002000000}" name="소계(단위 : 명)" dataDxfId="858" dataCellStyle="쉼표 [0]"/>
    <tableColumn id="3" xr3:uid="{00000000-0010-0000-1900-000003000000}" name="조사 대상" dataDxfId="857" dataCellStyle="쉼표 [0]"/>
    <tableColumn id="4" xr3:uid="{00000000-0010-0000-1900-000004000000}" name="출처" dataDxfId="856" dataCellStyle="쉼표 [0]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00000000-000C-0000-FFFF-FFFF1A000000}" name="표76" displayName="표76" ref="D22:K29" totalsRowCount="1" headerRowDxfId="855" dataDxfId="854" headerRowCellStyle="쉼표 [0]" dataCellStyle="쉼표 [0]">
  <autoFilter ref="D22:K28" xr:uid="{00000000-0009-0000-0100-000049000000}"/>
  <tableColumns count="8">
    <tableColumn id="1" xr3:uid="{00000000-0010-0000-1A00-000001000000}" name="구분" dataDxfId="853" totalsRowDxfId="852" dataCellStyle="쉼표 [0]"/>
    <tableColumn id="2" xr3:uid="{00000000-0010-0000-1A00-000002000000}" name="석사(남자)" dataDxfId="851" totalsRowDxfId="850" dataCellStyle="쉼표 [0]"/>
    <tableColumn id="3" xr3:uid="{00000000-0010-0000-1A00-000003000000}" name="석사(여자)" dataDxfId="849" totalsRowDxfId="848" dataCellStyle="쉼표 [0]"/>
    <tableColumn id="4" xr3:uid="{00000000-0010-0000-1A00-000004000000}" name="석사" dataDxfId="847" totalsRowDxfId="846" dataCellStyle="쉼표 [0]"/>
    <tableColumn id="5" xr3:uid="{00000000-0010-0000-1A00-000005000000}" name="박사(남자)" dataDxfId="845" totalsRowDxfId="844" dataCellStyle="쉼표 [0]"/>
    <tableColumn id="6" xr3:uid="{00000000-0010-0000-1A00-000006000000}" name="박사(여자)" dataDxfId="843" totalsRowDxfId="842" dataCellStyle="쉼표 [0]"/>
    <tableColumn id="7" xr3:uid="{00000000-0010-0000-1A00-000007000000}" name="박사" dataDxfId="841" totalsRowDxfId="840" dataCellStyle="쉼표 [0]"/>
    <tableColumn id="8" xr3:uid="{00000000-0010-0000-1A00-000008000000}" name="총계" dataDxfId="839" totalsRowDxfId="838" dataCellStyle="쉼표 [0]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00000000-000C-0000-FFFF-FFFF1B000000}" name="표77" displayName="표77" ref="D52:I53" totalsRowShown="0" headerRowDxfId="837" dataDxfId="836" headerRowCellStyle="쉼표 [0]" dataCellStyle="쉼표 [0]">
  <autoFilter ref="D52:I53" xr:uid="{00000000-0009-0000-0100-00004A000000}"/>
  <tableColumns count="6">
    <tableColumn id="1" xr3:uid="{00000000-0010-0000-1B00-000001000000}" name="구분" dataDxfId="835" dataCellStyle="쉼표 [0]"/>
    <tableColumn id="2" xr3:uid="{00000000-0010-0000-1B00-000002000000}" name="2016년" dataDxfId="834" dataCellStyle="쉼표 [0]"/>
    <tableColumn id="3" xr3:uid="{00000000-0010-0000-1B00-000003000000}" name="2017년" dataDxfId="833" dataCellStyle="쉼표 [0]"/>
    <tableColumn id="4" xr3:uid="{00000000-0010-0000-1B00-000004000000}" name="2018년" dataDxfId="832" dataCellStyle="쉼표 [0]"/>
    <tableColumn id="5" xr3:uid="{00000000-0010-0000-1B00-000005000000}" name="2019년" dataDxfId="831" dataCellStyle="쉼표 [0]"/>
    <tableColumn id="6" xr3:uid="{00000000-0010-0000-1B00-000006000000}" name="2020년" dataDxfId="830" dataCellStyle="쉼표 [0]"/>
  </tableColumns>
  <tableStyleInfo name="TableStyleLight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00000000-000C-0000-FFFF-FFFF1C000000}" name="표78" displayName="표78" ref="D75:G84" totalsRowShown="0" headerRowDxfId="829" headerRowCellStyle="쉼표 [0]">
  <autoFilter ref="D75:G84" xr:uid="{00000000-0009-0000-0100-00004B000000}"/>
  <tableColumns count="4">
    <tableColumn id="1" xr3:uid="{00000000-0010-0000-1C00-000001000000}" name="구분" dataDxfId="828" dataCellStyle="쉼표 [0]"/>
    <tableColumn id="2" xr3:uid="{00000000-0010-0000-1C00-000002000000}" name="소계" dataDxfId="827" dataCellStyle="쉼표 [0]"/>
    <tableColumn id="3" xr3:uid="{00000000-0010-0000-1C00-000003000000}" name="비율" dataDxfId="826" dataCellStyle="백분율"/>
    <tableColumn id="4" xr3:uid="{00000000-0010-0000-1C00-000004000000}" name="(단위 : 명, %)" dataDxfId="825" dataCellStyle="쉼표 [0]"/>
  </tableColumns>
  <tableStyleInfo name="TableStyleLight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00000000-000C-0000-FFFF-FFFF1D000000}" name="표79" displayName="표79" ref="D107:J117" totalsRowShown="0" headerRowDxfId="824" dataDxfId="823" headerRowCellStyle="쉼표 [0]" dataCellStyle="쉼표 [0]">
  <autoFilter ref="D107:J117" xr:uid="{00000000-0009-0000-0100-00004C000000}"/>
  <tableColumns count="7">
    <tableColumn id="1" xr3:uid="{00000000-0010-0000-1D00-000001000000}" name="구분" dataDxfId="822" dataCellStyle="쉼표 [0]"/>
    <tableColumn id="2" xr3:uid="{00000000-0010-0000-1D00-000002000000}" name="업체수" dataDxfId="821" dataCellStyle="쉼표 [0]"/>
    <tableColumn id="3" xr3:uid="{00000000-0010-0000-1D00-000003000000}" name="연구인력" dataDxfId="820" dataCellStyle="쉼표 [0]"/>
    <tableColumn id="4" xr3:uid="{00000000-0010-0000-1D00-000004000000}" name="생산인력" dataDxfId="819" dataCellStyle="쉼표 [0]"/>
    <tableColumn id="5" xr3:uid="{00000000-0010-0000-1D00-000005000000}" name="기타인력" dataDxfId="818" dataCellStyle="쉼표 [0]"/>
    <tableColumn id="6" xr3:uid="{00000000-0010-0000-1D00-000006000000}" name="계" dataDxfId="817" dataCellStyle="쉼표 [0]"/>
    <tableColumn id="7" xr3:uid="{00000000-0010-0000-1D00-000007000000}" name="비율" dataDxfId="816" dataCellStyle="백분율"/>
  </tableColumns>
  <tableStyleInfo name="TableStyleLight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00000000-000C-0000-FFFF-FFFF1E000000}" name="표80" displayName="표80" ref="D140:J150" totalsRowShown="0" headerRowDxfId="815" dataDxfId="814" headerRowCellStyle="쉼표 [0]" dataCellStyle="쉼표 [0]">
  <autoFilter ref="D140:J150" xr:uid="{00000000-0009-0000-0100-00004D000000}"/>
  <tableColumns count="7">
    <tableColumn id="1" xr3:uid="{00000000-0010-0000-1E00-000001000000}" name="구분" dataDxfId="813" dataCellStyle="쉼표 [0]"/>
    <tableColumn id="2" xr3:uid="{00000000-0010-0000-1E00-000002000000}" name="박사" dataDxfId="812" dataCellStyle="쉼표 [0]"/>
    <tableColumn id="3" xr3:uid="{00000000-0010-0000-1E00-000003000000}" name="석사" dataDxfId="811" dataCellStyle="쉼표 [0]"/>
    <tableColumn id="4" xr3:uid="{00000000-0010-0000-1E00-000004000000}" name="학사" dataDxfId="810" dataCellStyle="쉼표 [0]"/>
    <tableColumn id="5" xr3:uid="{00000000-0010-0000-1E00-000005000000}" name="기타" dataDxfId="809" dataCellStyle="쉼표 [0]"/>
    <tableColumn id="6" xr3:uid="{00000000-0010-0000-1E00-000006000000}" name="계" dataDxfId="808" dataCellStyle="쉼표 [0]"/>
    <tableColumn id="7" xr3:uid="{00000000-0010-0000-1E00-000007000000}" name="비율" dataDxfId="807" dataCellStyle="백분율"/>
  </tableColumns>
  <tableStyleInfo name="TableStyleLight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00000000-000C-0000-FFFF-FFFF1F000000}" name="표81" displayName="표81" ref="D173:J192" totalsRowShown="0" headerRowDxfId="806" dataDxfId="805" headerRowCellStyle="쉼표 [0]" dataCellStyle="쉼표 [0]">
  <autoFilter ref="D173:J192" xr:uid="{00000000-0009-0000-0100-00004E000000}"/>
  <tableColumns count="7">
    <tableColumn id="1" xr3:uid="{00000000-0010-0000-1F00-000001000000}" name="구분" dataDxfId="804" dataCellStyle="쉼표 [0]"/>
    <tableColumn id="2" xr3:uid="{00000000-0010-0000-1F00-000002000000}" name="박사" dataDxfId="803" dataCellStyle="쉼표 [0]"/>
    <tableColumn id="3" xr3:uid="{00000000-0010-0000-1F00-000003000000}" name="석사" dataDxfId="802" dataCellStyle="쉼표 [0]"/>
    <tableColumn id="4" xr3:uid="{00000000-0010-0000-1F00-000004000000}" name="학사" dataDxfId="801" dataCellStyle="쉼표 [0]"/>
    <tableColumn id="5" xr3:uid="{00000000-0010-0000-1F00-000005000000}" name="기타" dataDxfId="800" dataCellStyle="쉼표 [0]"/>
    <tableColumn id="6" xr3:uid="{00000000-0010-0000-1F00-000006000000}" name="계" dataDxfId="799" dataCellStyle="쉼표 [0]"/>
    <tableColumn id="7" xr3:uid="{00000000-0010-0000-1F00-000007000000}" name="비율" dataDxfId="798" dataCellStyle="백분율"/>
  </tableColumns>
  <tableStyleInfo name="TableStyleLight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00000000-000C-0000-FFFF-FFFF20000000}" name="표82" displayName="표82" ref="D215:F228" totalsRowShown="0" headerRowDxfId="797" headerRowCellStyle="쉼표 [0]">
  <autoFilter ref="D215:F228" xr:uid="{00000000-0009-0000-0100-00004F000000}"/>
  <tableColumns count="3">
    <tableColumn id="1" xr3:uid="{00000000-0010-0000-2000-000001000000}" name="구분" dataDxfId="796" dataCellStyle="쉼표 [0]"/>
    <tableColumn id="2" xr3:uid="{00000000-0010-0000-2000-000002000000}" name="현원(명)" dataDxfId="795" dataCellStyle="쉼표 [0]"/>
    <tableColumn id="3" xr3:uid="{00000000-0010-0000-2000-000003000000}" name="비율(%)" dataDxfId="794" dataCellStyle="쉼표 [0]">
      <calculatedColumnFormula>표82[[#This Row],[현원(명)]]/E228</calculatedColumnFormula>
    </tableColumn>
  </tableColumns>
  <tableStyleInfo name="TableStyleLight1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00000000-000C-0000-FFFF-FFFF21000000}" name="표83" displayName="표83" ref="D249:I261" totalsRowShown="0" headerRowDxfId="793" dataDxfId="792" headerRowCellStyle="쉼표 [0]" dataCellStyle="백분율">
  <autoFilter ref="D249:I261" xr:uid="{00000000-0009-0000-0100-000050000000}"/>
  <tableColumns count="6">
    <tableColumn id="1" xr3:uid="{00000000-0010-0000-2100-000001000000}" name="구분" dataDxfId="791" dataCellStyle="쉼표 [0]"/>
    <tableColumn id="2" xr3:uid="{00000000-0010-0000-2100-000002000000}" name="고졸" dataDxfId="790" dataCellStyle="백분율"/>
    <tableColumn id="3" xr3:uid="{00000000-0010-0000-2100-000003000000}" name="전문대졸" dataDxfId="789" dataCellStyle="백분율"/>
    <tableColumn id="4" xr3:uid="{00000000-0010-0000-2100-000004000000}" name="대졸" dataDxfId="788" dataCellStyle="백분율"/>
    <tableColumn id="5" xr3:uid="{00000000-0010-0000-2100-000005000000}" name="대학원졸" dataDxfId="787" dataCellStyle="백분율"/>
    <tableColumn id="6" xr3:uid="{00000000-0010-0000-2100-000006000000}" name="합계" dataDxfId="786" dataCellStyle="백분율"/>
  </tableColumns>
  <tableStyleInfo name="TableStyleLight1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00000000-000C-0000-FFFF-FFFF22000000}" name="표84" displayName="표84" ref="D285:J289" totalsRowShown="0" headerRowDxfId="785" dataDxfId="784" headerRowCellStyle="쉼표 [0]" dataCellStyle="쉼표 [0]">
  <autoFilter ref="D285:J289" xr:uid="{00000000-0009-0000-0100-000051000000}"/>
  <tableColumns count="7">
    <tableColumn id="1" xr3:uid="{00000000-0010-0000-2200-000001000000}" name="구분" dataDxfId="783" dataCellStyle="쉼표 [0]"/>
    <tableColumn id="2" xr3:uid="{00000000-0010-0000-2200-000002000000}" name="고졸" dataDxfId="782" dataCellStyle="쉼표 [0]"/>
    <tableColumn id="3" xr3:uid="{00000000-0010-0000-2200-000003000000}" name="전문대졸" dataDxfId="781" dataCellStyle="쉼표 [0]"/>
    <tableColumn id="4" xr3:uid="{00000000-0010-0000-2200-000004000000}" name="대졸" dataDxfId="780" dataCellStyle="쉼표 [0]"/>
    <tableColumn id="5" xr3:uid="{00000000-0010-0000-2200-000005000000}" name="대학원졸" dataDxfId="779" dataCellStyle="쉼표 [0]"/>
    <tableColumn id="6" xr3:uid="{00000000-0010-0000-2200-000006000000}" name="계" dataDxfId="778" dataCellStyle="쉼표 [0]">
      <calculatedColumnFormula>SUM(E286:H286)</calculatedColumnFormula>
    </tableColumn>
    <tableColumn id="7" xr3:uid="{00000000-0010-0000-2200-000007000000}" name="(단위 : 명)" dataDxfId="777" dataCellStyle="쉼표 [0]"/>
  </tableColumns>
  <tableStyleInfo name="TableStyleLight1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00000000-000C-0000-FFFF-FFFF23000000}" name="표85" displayName="표85" ref="D311:G314" totalsRowShown="0" headerRowDxfId="776" dataDxfId="775" headerRowCellStyle="쉼표 [0]" dataCellStyle="쉼표 [0]">
  <autoFilter ref="D311:G314" xr:uid="{00000000-0009-0000-0100-000052000000}"/>
  <tableColumns count="4">
    <tableColumn id="1" xr3:uid="{00000000-0010-0000-2300-000001000000}" name="구분" dataDxfId="774" dataCellStyle="쉼표 [0]"/>
    <tableColumn id="2" xr3:uid="{00000000-0010-0000-2300-000002000000}" name="총 근로자 수" dataDxfId="773" dataCellStyle="쉼표 [0]"/>
    <tableColumn id="3" xr3:uid="{00000000-0010-0000-2300-000003000000}" name="기업당 평균 근로자 수" dataDxfId="772" dataCellStyle="쉼표 [0]"/>
    <tableColumn id="4" xr3:uid="{00000000-0010-0000-2300-000004000000}" name="(단위 : 명)" dataDxfId="771" dataCellStyle="쉼표 [0]"/>
  </tableColumns>
  <tableStyleInfo name="TableStyleLight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00000000-000C-0000-FFFF-FFFF24000000}" name="표86" displayName="표86" ref="D322:G331" totalsRowShown="0" headerRowDxfId="770" dataDxfId="769" headerRowCellStyle="쉼표 [0]" dataCellStyle="쉼표 [0]">
  <autoFilter ref="D322:G331" xr:uid="{00000000-0009-0000-0100-000053000000}"/>
  <tableColumns count="4">
    <tableColumn id="1" xr3:uid="{00000000-0010-0000-2400-000001000000}" name="구분" dataDxfId="768" dataCellStyle="쉼표 [0]"/>
    <tableColumn id="2" xr3:uid="{00000000-0010-0000-2400-000002000000}" name="2018년" dataDxfId="767" dataCellStyle="쉼표 [0]"/>
    <tableColumn id="3" xr3:uid="{00000000-0010-0000-2400-000003000000}" name="2019년" dataDxfId="766" dataCellStyle="쉼표 [0]"/>
    <tableColumn id="4" xr3:uid="{00000000-0010-0000-2400-000004000000}" name="2020년" dataDxfId="765" dataCellStyle="쉼표 [0]"/>
  </tableColumns>
  <tableStyleInfo name="TableStyleLight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00000000-000C-0000-FFFF-FFFF25000000}" name="표88" displayName="표88" ref="D368:G377" totalsRowShown="0" headerRowDxfId="764" dataDxfId="763" headerRowCellStyle="쉼표 [0]" dataCellStyle="쉼표 [0]">
  <autoFilter ref="D368:G377" xr:uid="{00000000-0009-0000-0100-000054000000}"/>
  <tableColumns count="4">
    <tableColumn id="1" xr3:uid="{00000000-0010-0000-2500-000001000000}" name="구분" dataDxfId="762" dataCellStyle="쉼표 [0]"/>
    <tableColumn id="2" xr3:uid="{00000000-0010-0000-2500-000002000000}" name="2018년" dataDxfId="761" dataCellStyle="쉼표 [0]"/>
    <tableColumn id="3" xr3:uid="{00000000-0010-0000-2500-000003000000}" name="2019년" dataDxfId="760" dataCellStyle="쉼표 [0]"/>
    <tableColumn id="4" xr3:uid="{00000000-0010-0000-2500-000004000000}" name="2020년" dataDxfId="759" dataCellStyle="쉼표 [0]"/>
  </tableColumns>
  <tableStyleInfo name="TableStyleLight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00000000-000C-0000-FFFF-FFFF26000000}" name="표89" displayName="표89" ref="D356:J358" totalsRowShown="0" headerRowDxfId="758" dataDxfId="757" tableBorderDxfId="756" headerRowCellStyle="쉼표 [0]">
  <autoFilter ref="D356:J358" xr:uid="{00000000-0009-0000-0100-000055000000}"/>
  <tableColumns count="7">
    <tableColumn id="1" xr3:uid="{00000000-0010-0000-2600-000001000000}" name="연도" dataDxfId="755"/>
    <tableColumn id="2" xr3:uid="{00000000-0010-0000-2600-000002000000}" name="벤처기업 2018년" dataDxfId="754"/>
    <tableColumn id="3" xr3:uid="{00000000-0010-0000-2600-000003000000}" name="벤처기업 2019년" dataDxfId="753"/>
    <tableColumn id="4" xr3:uid="{00000000-0010-0000-2600-000004000000}" name="벤처기업 2020년" dataDxfId="752"/>
    <tableColumn id="5" xr3:uid="{00000000-0010-0000-2600-000005000000}" name="바이오 벤처기업 2018년" dataDxfId="751" dataCellStyle="쉼표 [0]"/>
    <tableColumn id="6" xr3:uid="{00000000-0010-0000-2600-000006000000}" name="바이오 벤처기업 2019년" dataDxfId="750"/>
    <tableColumn id="7" xr3:uid="{00000000-0010-0000-2600-000007000000}" name="바이오 벤처기업 2020년" dataDxfId="749"/>
  </tableColumns>
  <tableStyleInfo name="TableStyleLight1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00000000-000C-0000-FFFF-FFFF27000000}" name="표83_98" displayName="표83_98" ref="L249:Q261" totalsRowShown="0" headerRowDxfId="748" dataDxfId="747" headerRowCellStyle="쉼표 [0]" dataCellStyle="백분율">
  <autoFilter ref="L249:Q261" xr:uid="{00000000-0009-0000-0100-000061000000}"/>
  <tableColumns count="6">
    <tableColumn id="1" xr3:uid="{00000000-0010-0000-2700-000001000000}" name="구분" dataDxfId="746" dataCellStyle="쉼표 [0]"/>
    <tableColumn id="2" xr3:uid="{00000000-0010-0000-2700-000002000000}" name="고졸" dataDxfId="745" dataCellStyle="백분율">
      <calculatedColumnFormula>표83[[#This Row],[고졸]]/표83[[#This Row],[합계]]</calculatedColumnFormula>
    </tableColumn>
    <tableColumn id="3" xr3:uid="{00000000-0010-0000-2700-000003000000}" name="전문대졸" dataDxfId="744" dataCellStyle="백분율">
      <calculatedColumnFormula>표83[[#This Row],[전문대졸]]/표83[[#This Row],[합계]]</calculatedColumnFormula>
    </tableColumn>
    <tableColumn id="4" xr3:uid="{00000000-0010-0000-2700-000004000000}" name="대졸" dataDxfId="743" dataCellStyle="백분율">
      <calculatedColumnFormula>표83[[#This Row],[대졸]]/표83[[#This Row],[합계]]</calculatedColumnFormula>
    </tableColumn>
    <tableColumn id="5" xr3:uid="{00000000-0010-0000-2700-000005000000}" name="대학원졸" dataDxfId="742" dataCellStyle="백분율">
      <calculatedColumnFormula>표83[[#This Row],[대학원졸]]/표83[[#This Row],[합계]]</calculatedColumnFormula>
    </tableColumn>
    <tableColumn id="6" xr3:uid="{00000000-0010-0000-2700-000006000000}" name="합계" dataDxfId="741" dataCellStyle="백분율">
      <calculatedColumnFormula>표83[[#This Row],[합계]]/표83[[#This Row],[합계]]</calculatedColumnFormula>
    </tableColumn>
  </tableColumns>
  <tableStyleInfo name="TableStyleLight1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00000000-000C-0000-FFFF-FFFF28000000}" name="표67" displayName="표67" ref="D8:O10" totalsRowShown="0" headerRowDxfId="740" dataDxfId="739" headerRowCellStyle="쉼표 [0]" dataCellStyle="쉼표 [0]">
  <autoFilter ref="D8:O10" xr:uid="{00000000-0009-0000-0100-000056000000}"/>
  <tableColumns count="12">
    <tableColumn id="1" xr3:uid="{00000000-0010-0000-2800-000001000000}" name="구분" dataDxfId="738" dataCellStyle="쉼표 [0]"/>
    <tableColumn id="2" xr3:uid="{00000000-0010-0000-2800-000002000000}" name="2012년" dataDxfId="737" dataCellStyle="쉼표 [0]"/>
    <tableColumn id="3" xr3:uid="{00000000-0010-0000-2800-000003000000}" name="2013년" dataDxfId="736" dataCellStyle="쉼표 [0]"/>
    <tableColumn id="4" xr3:uid="{00000000-0010-0000-2800-000004000000}" name="2014년" dataDxfId="735" dataCellStyle="쉼표 [0]"/>
    <tableColumn id="5" xr3:uid="{00000000-0010-0000-2800-000005000000}" name="2015년" dataDxfId="734" dataCellStyle="쉼표 [0]"/>
    <tableColumn id="6" xr3:uid="{00000000-0010-0000-2800-000006000000}" name="2016년" dataDxfId="733" dataCellStyle="쉼표 [0]"/>
    <tableColumn id="7" xr3:uid="{00000000-0010-0000-2800-000007000000}" name="2017년" dataDxfId="732" dataCellStyle="쉼표 [0]"/>
    <tableColumn id="8" xr3:uid="{00000000-0010-0000-2800-000008000000}" name="2018년" dataDxfId="731" dataCellStyle="쉼표 [0]"/>
    <tableColumn id="9" xr3:uid="{00000000-0010-0000-2800-000009000000}" name="2019년" dataDxfId="730" dataCellStyle="쉼표 [0]"/>
    <tableColumn id="10" xr3:uid="{00000000-0010-0000-2800-00000A000000}" name="2020년" dataDxfId="729" dataCellStyle="쉼표 [0]"/>
    <tableColumn id="11" xr3:uid="{00000000-0010-0000-2800-00000B000000}" name="2021년" dataDxfId="728" dataCellStyle="쉼표 [0]"/>
    <tableColumn id="12" xr3:uid="{00000000-0010-0000-2800-00000C000000}" name="합계"/>
  </tableColumns>
  <tableStyleInfo name="TableStyleLight1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00000000-000C-0000-FFFF-FFFF29000000}" name="표68" displayName="표68" ref="D34:O41" totalsRowShown="0" headerRowDxfId="727" dataDxfId="726" headerRowCellStyle="쉼표 [0]" dataCellStyle="쉼표 [0]">
  <autoFilter ref="D34:O41" xr:uid="{00000000-0009-0000-0100-000057000000}"/>
  <tableColumns count="12">
    <tableColumn id="1" xr3:uid="{00000000-0010-0000-2900-000001000000}" name="구분" dataDxfId="725" dataCellStyle="쉼표 [0]"/>
    <tableColumn id="2" xr3:uid="{00000000-0010-0000-2900-000002000000}" name="2012년" dataDxfId="724" dataCellStyle="쉼표 [0]"/>
    <tableColumn id="3" xr3:uid="{00000000-0010-0000-2900-000003000000}" name="2013년" dataDxfId="723" dataCellStyle="쉼표 [0]"/>
    <tableColumn id="4" xr3:uid="{00000000-0010-0000-2900-000004000000}" name="2014년" dataDxfId="722" dataCellStyle="쉼표 [0]"/>
    <tableColumn id="5" xr3:uid="{00000000-0010-0000-2900-000005000000}" name="2015년" dataDxfId="721" dataCellStyle="쉼표 [0]"/>
    <tableColumn id="6" xr3:uid="{00000000-0010-0000-2900-000006000000}" name="2016년" dataDxfId="720" dataCellStyle="쉼표 [0]"/>
    <tableColumn id="7" xr3:uid="{00000000-0010-0000-2900-000007000000}" name="2017년" dataDxfId="719" dataCellStyle="쉼표 [0]"/>
    <tableColumn id="8" xr3:uid="{00000000-0010-0000-2900-000008000000}" name="2018년" dataDxfId="718" dataCellStyle="쉼표 [0]"/>
    <tableColumn id="9" xr3:uid="{00000000-0010-0000-2900-000009000000}" name="2019년" dataDxfId="717" dataCellStyle="쉼표 [0]"/>
    <tableColumn id="10" xr3:uid="{00000000-0010-0000-2900-00000A000000}" name="2020년" dataDxfId="716" dataCellStyle="쉼표 [0]"/>
    <tableColumn id="11" xr3:uid="{00000000-0010-0000-2900-00000B000000}" name="2021년" dataDxfId="715" dataCellStyle="쉼표 [0]"/>
    <tableColumn id="12" xr3:uid="{00000000-0010-0000-2900-00000C000000}" name="합계" dataDxfId="714" dataCellStyle="쉼표 [0]"/>
  </tableColumns>
  <tableStyleInfo name="TableStyleLight1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00000000-000C-0000-FFFF-FFFF2A000000}" name="표69" displayName="표69" ref="D64:O67" totalsRowShown="0" headerRowDxfId="713" dataDxfId="712" headerRowCellStyle="쉼표 [0]" dataCellStyle="쉼표 [0]">
  <autoFilter ref="D64:O67" xr:uid="{00000000-0009-0000-0100-000058000000}"/>
  <tableColumns count="12">
    <tableColumn id="1" xr3:uid="{00000000-0010-0000-2A00-000001000000}" name="구분" dataDxfId="711" dataCellStyle="쉼표 [0]"/>
    <tableColumn id="2" xr3:uid="{00000000-0010-0000-2A00-000002000000}" name=" 2011년" dataDxfId="710" dataCellStyle="쉼표 [0]"/>
    <tableColumn id="3" xr3:uid="{00000000-0010-0000-2A00-000003000000}" name=" 2012년" dataDxfId="709" dataCellStyle="쉼표 [0]"/>
    <tableColumn id="4" xr3:uid="{00000000-0010-0000-2A00-000004000000}" name=" 2013년" dataDxfId="708" dataCellStyle="쉼표 [0]"/>
    <tableColumn id="5" xr3:uid="{00000000-0010-0000-2A00-000005000000}" name=" 2014년" dataDxfId="707" dataCellStyle="쉼표 [0]"/>
    <tableColumn id="6" xr3:uid="{00000000-0010-0000-2A00-000006000000}" name=" 2015년" dataDxfId="706" dataCellStyle="쉼표 [0]"/>
    <tableColumn id="8" xr3:uid="{00000000-0010-0000-2A00-000008000000}" name=" 2016년" dataDxfId="705" dataCellStyle="쉼표 [0]"/>
    <tableColumn id="7" xr3:uid="{00000000-0010-0000-2A00-000007000000}" name=" 2017년" dataDxfId="704" dataCellStyle="쉼표 [0]"/>
    <tableColumn id="9" xr3:uid="{00000000-0010-0000-2A00-000009000000}" name=" 2018년" dataDxfId="703" dataCellStyle="쉼표 [0]"/>
    <tableColumn id="10" xr3:uid="{00000000-0010-0000-2A00-00000A000000}" name=" 2019년" dataDxfId="702" dataCellStyle="쉼표 [0]"/>
    <tableColumn id="11" xr3:uid="{00000000-0010-0000-2A00-00000B000000}" name=" 2020년" dataDxfId="701" dataCellStyle="쉼표 [0]"/>
    <tableColumn id="12" xr3:uid="{00000000-0010-0000-2A00-00000C000000}" name=" 2021년" dataDxfId="700" dataCellStyle="쉼표 [0]"/>
  </tableColumns>
  <tableStyleInfo name="TableStyleLight1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00000000-000C-0000-FFFF-FFFF2B000000}" name="표71" displayName="표71" ref="D120:O122" totalsRowShown="0" headerRowDxfId="699" dataDxfId="698" headerRowCellStyle="쉼표 [0]" dataCellStyle="쉼표 [0]">
  <autoFilter ref="D120:O122" xr:uid="{00000000-0009-0000-0100-000059000000}"/>
  <tableColumns count="12">
    <tableColumn id="1" xr3:uid="{00000000-0010-0000-2B00-000001000000}" name="구분" dataDxfId="697" dataCellStyle="쉼표 [0]"/>
    <tableColumn id="2" xr3:uid="{00000000-0010-0000-2B00-000002000000}" name="2011년" dataDxfId="696" dataCellStyle="쉼표 [0]"/>
    <tableColumn id="3" xr3:uid="{00000000-0010-0000-2B00-000003000000}" name="2012년" dataDxfId="695" dataCellStyle="쉼표 [0]"/>
    <tableColumn id="4" xr3:uid="{00000000-0010-0000-2B00-000004000000}" name="2013년" dataDxfId="694" dataCellStyle="쉼표 [0]"/>
    <tableColumn id="5" xr3:uid="{00000000-0010-0000-2B00-000005000000}" name="2014년" dataDxfId="693" dataCellStyle="쉼표 [0]"/>
    <tableColumn id="6" xr3:uid="{00000000-0010-0000-2B00-000006000000}" name="2015년" dataDxfId="692" dataCellStyle="쉼표 [0]"/>
    <tableColumn id="7" xr3:uid="{00000000-0010-0000-2B00-000007000000}" name="2016년" dataDxfId="691" dataCellStyle="쉼표 [0]"/>
    <tableColumn id="8" xr3:uid="{00000000-0010-0000-2B00-000008000000}" name="2017년" dataDxfId="690" dataCellStyle="쉼표 [0]"/>
    <tableColumn id="9" xr3:uid="{00000000-0010-0000-2B00-000009000000}" name="2018년" dataDxfId="689" dataCellStyle="쉼표 [0]"/>
    <tableColumn id="10" xr3:uid="{00000000-0010-0000-2B00-00000A000000}" name="2019년" dataDxfId="688" dataCellStyle="쉼표 [0]"/>
    <tableColumn id="11" xr3:uid="{00000000-0010-0000-2B00-00000B000000}" name="2020년" dataDxfId="687" dataCellStyle="쉼표 [0]"/>
    <tableColumn id="12" xr3:uid="{00000000-0010-0000-2B00-00000C000000}" name="2021년" dataDxfId="686" dataCellStyle="쉼표 [0]">
      <calculatedColumnFormula>SUM(E121:N121)</calculatedColumnFormula>
    </tableColumn>
  </tableColumns>
  <tableStyleInfo name="TableStyleLight1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00000000-000C-0000-FFFF-FFFF2C000000}" name="표66_6" displayName="표66_6" ref="D25:H30" totalsRowShown="0" headerRowDxfId="685" dataDxfId="684" headerRowCellStyle="쉼표 [0]" dataCellStyle="쉼표 [0]">
  <autoFilter ref="D25:H30" xr:uid="{00000000-0009-0000-0100-00005B000000}"/>
  <tableColumns count="5">
    <tableColumn id="1" xr3:uid="{00000000-0010-0000-2C00-000001000000}" name="국내" dataDxfId="683" dataCellStyle="쉼표 [0]"/>
    <tableColumn id="2" xr3:uid="{00000000-0010-0000-2C00-000002000000}" name="구분" dataDxfId="682" dataCellStyle="쉼표 [0]"/>
    <tableColumn id="3" xr3:uid="{00000000-0010-0000-2C00-000003000000}" name="시장규모(조원)" dataDxfId="681" dataCellStyle="쉼표 [0]"/>
    <tableColumn id="4" xr3:uid="{00000000-0010-0000-2C00-000004000000}" name="비고" dataDxfId="680" dataCellStyle="쉼표 [0]"/>
    <tableColumn id="5" xr3:uid="{00000000-0010-0000-2C00-000005000000}" name="출처" dataDxfId="679" dataCellStyle="쉼표 [0]"/>
  </tableColumns>
  <tableStyleInfo name="TableStyleLight1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00000000-000C-0000-FFFF-FFFF2D000000}" name="표64_26" displayName="표64_26" ref="D6:I10" totalsRowShown="0" headerRowDxfId="678" dataDxfId="677" headerRowCellStyle="쉼표 [0]" dataCellStyle="쉼표 [0]">
  <autoFilter ref="D6:I10" xr:uid="{00000000-0009-0000-0100-00005C000000}"/>
  <tableColumns count="6">
    <tableColumn id="1" xr3:uid="{00000000-0010-0000-2D00-000001000000}" name="글로벌" dataDxfId="676" dataCellStyle="쉼표 [0]"/>
    <tableColumn id="2" xr3:uid="{00000000-0010-0000-2D00-000002000000}" name="구분" dataDxfId="675" dataCellStyle="쉼표 [0]"/>
    <tableColumn id="3" xr3:uid="{00000000-0010-0000-2D00-000003000000}" name="시장규모(조원)" dataDxfId="674" dataCellStyle="쉼표 [0]"/>
    <tableColumn id="4" xr3:uid="{00000000-0010-0000-2D00-000004000000}" name="시장규모(억달러)" dataDxfId="673" dataCellStyle="쉼표 [0]"/>
    <tableColumn id="5" xr3:uid="{00000000-0010-0000-2D00-000005000000}" name="비고" dataDxfId="672" dataCellStyle="쉼표 [0]"/>
    <tableColumn id="6" xr3:uid="{00000000-0010-0000-2D00-000006000000}" name="출처" dataDxfId="671" dataCellStyle="쉼표 [0]"/>
  </tableColumns>
  <tableStyleInfo name="TableStyleLight1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00000000-000C-0000-FFFF-FFFF2E000000}" name="표66_62" displayName="표66_62" ref="D49:I52" totalsRowShown="0" headerRowDxfId="670" dataDxfId="669" headerRowCellStyle="쉼표 [0]" dataCellStyle="쉼표 [0]">
  <autoFilter ref="D49:I52" xr:uid="{00000000-0009-0000-0100-00005D000000}"/>
  <tableColumns count="6">
    <tableColumn id="1" xr3:uid="{00000000-0010-0000-2E00-000001000000}" name="구분" dataDxfId="668" dataCellStyle="쉼표 [0]"/>
    <tableColumn id="2" xr3:uid="{00000000-0010-0000-2E00-000002000000}" name="2017년" dataDxfId="667" dataCellStyle="쉼표 [0]"/>
    <tableColumn id="3" xr3:uid="{00000000-0010-0000-2E00-000003000000}" name="2018년" dataDxfId="666" dataCellStyle="쉼표 [0]"/>
    <tableColumn id="4" xr3:uid="{00000000-0010-0000-2E00-000004000000}" name="2019년" dataDxfId="665" dataCellStyle="쉼표 [0]"/>
    <tableColumn id="5" xr3:uid="{00000000-0010-0000-2E00-000005000000}" name="2020년" dataDxfId="664" dataCellStyle="쉼표 [0]"/>
    <tableColumn id="6" xr3:uid="{00000000-0010-0000-2E00-000006000000}" name="2021년" dataDxfId="663" dataCellStyle="쉼표 [0]"/>
  </tableColumns>
  <tableStyleInfo name="TableStyleLight1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00000000-000C-0000-FFFF-FFFF2F000000}" name="표66_623" displayName="표66_623" ref="D70:I72" totalsRowShown="0" headerRowDxfId="662" dataDxfId="661" headerRowCellStyle="쉼표 [0]" dataCellStyle="쉼표 [0]">
  <autoFilter ref="D70:I72" xr:uid="{00000000-0009-0000-0100-00005E000000}"/>
  <tableColumns count="6">
    <tableColumn id="1" xr3:uid="{00000000-0010-0000-2F00-000001000000}" name="구분" dataDxfId="660" dataCellStyle="쉼표 [0]"/>
    <tableColumn id="2" xr3:uid="{00000000-0010-0000-2F00-000002000000}" name="2017년" dataDxfId="659" dataCellStyle="쉼표 [0]"/>
    <tableColumn id="3" xr3:uid="{00000000-0010-0000-2F00-000003000000}" name="2018년" dataDxfId="658" dataCellStyle="쉼표 [0]"/>
    <tableColumn id="4" xr3:uid="{00000000-0010-0000-2F00-000004000000}" name="2019년" dataDxfId="657" dataCellStyle="쉼표 [0]"/>
    <tableColumn id="5" xr3:uid="{00000000-0010-0000-2F00-000005000000}" name="2020년" dataDxfId="656" dataCellStyle="쉼표 [0]"/>
    <tableColumn id="6" xr3:uid="{00000000-0010-0000-2F00-000006000000}" name="2021년 " dataDxfId="655" dataCellStyle="쉼표 [0]"/>
  </tableColumns>
  <tableStyleInfo name="TableStyleLight1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30000000}" name="표38" displayName="표38" ref="D6:J8" totalsRowShown="0" headerRowDxfId="654" headerRowCellStyle="쉼표 [0]">
  <autoFilter ref="D6:J8" xr:uid="{00000000-0009-0000-0100-000026000000}"/>
  <tableColumns count="7">
    <tableColumn id="1" xr3:uid="{00000000-0010-0000-3000-000001000000}" name="연도" dataDxfId="653" dataCellStyle="쉼표 [0]"/>
    <tableColumn id="3" xr3:uid="{00000000-0010-0000-3000-000003000000}" name="2016년" dataDxfId="652" dataCellStyle="쉼표 [0]"/>
    <tableColumn id="4" xr3:uid="{00000000-0010-0000-3000-000004000000}" name="2017년" dataDxfId="651"/>
    <tableColumn id="5" xr3:uid="{00000000-0010-0000-3000-000005000000}" name="2018년" dataDxfId="650"/>
    <tableColumn id="6" xr3:uid="{00000000-0010-0000-3000-000006000000}" name="2019년" dataDxfId="649"/>
    <tableColumn id="2" xr3:uid="{00000000-0010-0000-3000-000002000000}" name="2020년" dataDxfId="648"/>
    <tableColumn id="7" xr3:uid="{00000000-0010-0000-3000-000007000000}" name="(단위 : 십억달러, %)" dataDxfId="647" dataCellStyle="쉼표 [0]"/>
  </tableColumns>
  <tableStyleInfo name="TableStyleLight1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31000000}" name="표39" displayName="표39" ref="D32:M52" totalsRowShown="0" headerRowDxfId="646" headerRowCellStyle="쉼표 [0]">
  <autoFilter ref="D32:M52" xr:uid="{00000000-0009-0000-0100-000027000000}"/>
  <tableColumns count="10">
    <tableColumn id="1" xr3:uid="{00000000-0010-0000-3100-000001000000}" name="순위" dataDxfId="645" dataCellStyle="쉼표 [0]"/>
    <tableColumn id="2" xr3:uid="{00000000-0010-0000-3100-000002000000}" name="2016년 순위변동" dataDxfId="644" dataCellStyle="쉼표 [0]"/>
    <tableColumn id="3" xr3:uid="{00000000-0010-0000-3100-000003000000}" name="2016년 국가" dataDxfId="643" dataCellStyle="쉼표 [0]"/>
    <tableColumn id="4" xr3:uid="{00000000-0010-0000-3100-000004000000}" name="2016년 % of U.S." dataDxfId="642" dataCellStyle="백분율"/>
    <tableColumn id="5" xr3:uid="{00000000-0010-0000-3100-000005000000}" name="2021년 순위변동" dataDxfId="641" dataCellStyle="쉼표 [0]"/>
    <tableColumn id="6" xr3:uid="{00000000-0010-0000-3100-000006000000}" name="2021년 국가" dataDxfId="640" dataCellStyle="쉼표 [0]"/>
    <tableColumn id="7" xr3:uid="{00000000-0010-0000-3100-000007000000}" name="2021년 % of U.S." dataDxfId="639" dataCellStyle="백분율"/>
    <tableColumn id="8" xr3:uid="{00000000-0010-0000-3100-000008000000}" name="2026년 순위변동" dataDxfId="638" dataCellStyle="쉼표 [0]"/>
    <tableColumn id="9" xr3:uid="{00000000-0010-0000-3100-000009000000}" name="2026년 국가" dataDxfId="637" dataCellStyle="쉼표 [0]"/>
    <tableColumn id="10" xr3:uid="{00000000-0010-0000-3100-00000A000000}" name="2026년 % of U.S." dataDxfId="636" dataCellStyle="백분율"/>
  </tableColumns>
  <tableStyleInfo name="TableStyleLight1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32000000}" name="표40" displayName="표40" ref="D62:J67" totalsRowShown="0" headerRowDxfId="635" dataDxfId="634" headerRowCellStyle="쉼표 [0]" dataCellStyle="쉼표 [0]">
  <autoFilter ref="D62:J67" xr:uid="{00000000-0009-0000-0100-000028000000}"/>
  <tableColumns count="7">
    <tableColumn id="1" xr3:uid="{00000000-0010-0000-3200-000001000000}" name="연도" dataDxfId="633" dataCellStyle="쉼표 [0]"/>
    <tableColumn id="3" xr3:uid="{00000000-0010-0000-3200-000003000000}" name="2016년" dataDxfId="632" dataCellStyle="쉼표 [0]"/>
    <tableColumn id="4" xr3:uid="{00000000-0010-0000-3200-000004000000}" name="2017년" dataDxfId="631" dataCellStyle="쉼표 [0]"/>
    <tableColumn id="5" xr3:uid="{00000000-0010-0000-3200-000005000000}" name="2018년" dataDxfId="630" dataCellStyle="쉼표 [0]"/>
    <tableColumn id="6" xr3:uid="{00000000-0010-0000-3200-000006000000}" name="2019년" dataDxfId="629" dataCellStyle="쉼표 [0]"/>
    <tableColumn id="10" xr3:uid="{00000000-0010-0000-3200-00000A000000}" name="2020년" dataDxfId="628" dataCellStyle="쉼표 [0]"/>
    <tableColumn id="7" xr3:uid="{00000000-0010-0000-3200-000007000000}" name="(단위 : 억원)2" dataDxfId="627" dataCellStyle="쉼표 [0]"/>
  </tableColumns>
  <tableStyleInfo name="TableStyleLight1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33000000}" name="표41" displayName="표41" ref="D92:J97" totalsRowShown="0" headerRowDxfId="626" dataDxfId="625" headerRowCellStyle="쉼표 [0]" dataCellStyle="쉼표 [0]">
  <autoFilter ref="D92:J97" xr:uid="{00000000-0009-0000-0100-000029000000}"/>
  <tableColumns count="7">
    <tableColumn id="1" xr3:uid="{00000000-0010-0000-3300-000001000000}" name="연도" dataDxfId="624" dataCellStyle="쉼표 [0]"/>
    <tableColumn id="3" xr3:uid="{00000000-0010-0000-3300-000003000000}" name="2016년" dataDxfId="623" dataCellStyle="쉼표 [0]"/>
    <tableColumn id="4" xr3:uid="{00000000-0010-0000-3300-000004000000}" name="2017년" dataDxfId="622" dataCellStyle="쉼표 [0]"/>
    <tableColumn id="5" xr3:uid="{00000000-0010-0000-3300-000005000000}" name="2018년" dataDxfId="621" dataCellStyle="쉼표 [0]"/>
    <tableColumn id="6" xr3:uid="{00000000-0010-0000-3300-000006000000}" name="2019년" dataDxfId="620" dataCellStyle="쉼표 [0]"/>
    <tableColumn id="8" xr3:uid="{00000000-0010-0000-3300-000008000000}" name="2020년" dataDxfId="619" dataCellStyle="쉼표 [0]"/>
    <tableColumn id="7" xr3:uid="{00000000-0010-0000-3300-000007000000}" name="(단위 : 억원)2" dataDxfId="618" dataCellStyle="쉼표 [0]"/>
  </tableColumns>
  <tableStyleInfo name="TableStyleLight1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34000000}" name="표42" displayName="표42" ref="D120:G140" totalsRowShown="0" headerRowDxfId="617" dataDxfId="616" headerRowCellStyle="쉼표 [0]" dataCellStyle="쉼표 [0]">
  <autoFilter ref="D120:G140" xr:uid="{00000000-0009-0000-0100-00002A000000}"/>
  <tableColumns count="4">
    <tableColumn id="1" xr3:uid="{00000000-0010-0000-3400-000001000000}" name="순위" dataDxfId="615" dataCellStyle="쉼표 [0]"/>
    <tableColumn id="2" xr3:uid="{00000000-0010-0000-3400-000002000000}" name="업체명" dataDxfId="614" dataCellStyle="쉼표 [0]"/>
    <tableColumn id="3" xr3:uid="{00000000-0010-0000-3400-000003000000}" name="매출액" dataDxfId="613" dataCellStyle="쉼표 [0]"/>
    <tableColumn id="4" xr3:uid="{00000000-0010-0000-3400-000004000000}" name="(단위 : 십억달러)" dataDxfId="612" dataCellStyle="쉼표 [0]"/>
  </tableColumns>
  <tableStyleInfo name="TableStyleLight1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35000000}" name="표43" displayName="표43" ref="D173:G193" totalsRowShown="0" headerRowDxfId="611" dataDxfId="610" headerRowCellStyle="쉼표 [0]" dataCellStyle="쉼표 [0]">
  <autoFilter ref="D173:G193" xr:uid="{00000000-0009-0000-0100-00002B000000}"/>
  <tableColumns count="4">
    <tableColumn id="1" xr3:uid="{00000000-0010-0000-3500-000001000000}" name="순위" dataDxfId="609" dataCellStyle="쉼표 [0]"/>
    <tableColumn id="2" xr3:uid="{00000000-0010-0000-3500-000002000000}" name="업체명" dataDxfId="608" dataCellStyle="쉼표 [0]"/>
    <tableColumn id="3" xr3:uid="{00000000-0010-0000-3500-000003000000}" name="생산액" dataDxfId="607" dataCellStyle="쉼표 [0]"/>
    <tableColumn id="4" xr3:uid="{00000000-0010-0000-3500-000004000000}" name="(단위: 백만원)" dataDxfId="606" dataCellStyle="쉼표 [0]"/>
  </tableColumns>
  <tableStyleInfo name="TableStyleLight1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36000000}" name="표44" displayName="표44" ref="D201:J208" totalsRowShown="0" headerRowDxfId="605" dataDxfId="604" headerRowCellStyle="쉼표 [0]" dataCellStyle="쉼표 [0]">
  <autoFilter ref="D201:J208" xr:uid="{00000000-0009-0000-0100-00002C000000}"/>
  <tableColumns count="7">
    <tableColumn id="1" xr3:uid="{00000000-0010-0000-3600-000001000000}" name="국가" dataDxfId="603" dataCellStyle="쉼표 [0]"/>
    <tableColumn id="4" xr3:uid="{00000000-0010-0000-3600-000004000000}" name="2015년" dataDxfId="602" dataCellStyle="쉼표 [0]"/>
    <tableColumn id="5" xr3:uid="{00000000-0010-0000-3600-000005000000}" name="2016년" dataDxfId="601" dataCellStyle="쉼표 [0]"/>
    <tableColumn id="6" xr3:uid="{00000000-0010-0000-3600-000006000000}" name="2017년" dataDxfId="600" dataCellStyle="쉼표 [0]"/>
    <tableColumn id="7" xr3:uid="{00000000-0010-0000-3600-000007000000}" name="2018년" dataDxfId="599" dataCellStyle="쉼표 [0]"/>
    <tableColumn id="2" xr3:uid="{00000000-0010-0000-3600-000002000000}" name="2019년" dataDxfId="598" dataCellStyle="쉼표 [0]"/>
    <tableColumn id="8" xr3:uid="{00000000-0010-0000-3600-000008000000}" name="단위" dataDxfId="597" dataCellStyle="쉼표 [0]"/>
  </tableColumns>
  <tableStyleInfo name="TableStyleLight1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37000000}" name="표45" displayName="표45" ref="D215:G235" totalsRowShown="0" headerRowDxfId="596" dataDxfId="595" headerRowCellStyle="쉼표 [0]" dataCellStyle="쉼표 [0]">
  <autoFilter ref="D215:G235" xr:uid="{00000000-0009-0000-0100-00002D000000}"/>
  <tableColumns count="4">
    <tableColumn id="1" xr3:uid="{00000000-0010-0000-3700-000001000000}" name="기업명" dataDxfId="594" dataCellStyle="쉼표 [0]"/>
    <tableColumn id="2" xr3:uid="{00000000-0010-0000-3700-000002000000}" name="2021 처방약 판매액(Rx sales)" dataDxfId="593" dataCellStyle="쉼표 [0]"/>
    <tableColumn id="4" xr3:uid="{00000000-0010-0000-3700-000004000000}" name="2021 R&amp;D 투자금액" dataDxfId="592" dataCellStyle="쉼표 [0]"/>
    <tableColumn id="5" xr3:uid="{00000000-0010-0000-3700-000005000000}" name="(단위 : 십억달러)" dataDxfId="591" dataCellStyle="쉼표 [0]"/>
  </tableColumns>
  <tableStyleInfo name="TableStyleLight1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38000000}" name="표46" displayName="표46" ref="D242:H262" totalsRowShown="0" headerRowDxfId="590" headerRowCellStyle="쉼표 [0]">
  <autoFilter ref="D242:H262" xr:uid="{00000000-0009-0000-0100-00002E000000}"/>
  <tableColumns count="5">
    <tableColumn id="1" xr3:uid="{00000000-0010-0000-3800-000001000000}" name="순위" dataDxfId="589" dataCellStyle="쉼표 [0]"/>
    <tableColumn id="2" xr3:uid="{00000000-0010-0000-3800-000002000000}" name="기업명" dataDxfId="588" dataCellStyle="쉼표 [0]"/>
    <tableColumn id="7" xr3:uid="{00000000-0010-0000-3800-000007000000}" name="2021년 R&amp;D 투자 " dataDxfId="587" dataCellStyle="쉼표 [0]"/>
    <tableColumn id="5" xr3:uid="{00000000-0010-0000-3800-000005000000}" name="R&amp;D 투자비율" dataDxfId="586" dataCellStyle="백분율"/>
    <tableColumn id="6" xr3:uid="{00000000-0010-0000-3800-000006000000}" name="(단위 : 억원, %)" dataDxfId="585" dataCellStyle="쉼표 [0]"/>
  </tableColumns>
  <tableStyleInfo name="TableStyleLight1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39000000}" name="표47" displayName="표47" ref="D269:H279" totalsRowShown="0" headerRowDxfId="584" dataDxfId="583" headerRowCellStyle="쉼표 [0]" dataCellStyle="쉼표 [0]">
  <autoFilter ref="D269:H279" xr:uid="{00000000-0009-0000-0100-00002F000000}"/>
  <tableColumns count="5">
    <tableColumn id="1" xr3:uid="{00000000-0010-0000-3900-000001000000}" name="구분" dataDxfId="582" dataCellStyle="쉼표 [0]"/>
    <tableColumn id="2" xr3:uid="{00000000-0010-0000-3900-000002000000}" name="제품명" dataDxfId="581" dataCellStyle="쉼표 [0]"/>
    <tableColumn id="3" xr3:uid="{00000000-0010-0000-3900-000003000000}" name="제조사" dataDxfId="580" dataCellStyle="쉼표 [0]"/>
    <tableColumn id="4" xr3:uid="{00000000-0010-0000-3900-000004000000}" name="매출액" dataDxfId="579" dataCellStyle="쉼표 [0]"/>
    <tableColumn id="5" xr3:uid="{00000000-0010-0000-3900-000005000000}" name="(단위 : 십억달러)" dataDxfId="578" dataCellStyle="쉼표 [0]"/>
  </tableColumns>
  <tableStyleInfo name="TableStyleLight1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3A000000}" name="표49" displayName="표49" ref="D286:J298" totalsRowShown="0" headerRowDxfId="577" dataDxfId="576" headerRowCellStyle="쉼표 [0]">
  <autoFilter ref="D286:J298" xr:uid="{00000000-0009-0000-0100-000031000000}"/>
  <tableColumns count="7">
    <tableColumn id="1" xr3:uid="{00000000-0010-0000-3A00-000001000000}" name="순위" dataDxfId="575" dataCellStyle="쉼표 [0]"/>
    <tableColumn id="2" xr3:uid="{00000000-0010-0000-3A00-000002000000}" name="제품명" dataDxfId="574" dataCellStyle="쉼표 [0]"/>
    <tableColumn id="3" xr3:uid="{00000000-0010-0000-3A00-000003000000}" name="기업명" dataDxfId="573" dataCellStyle="쉼표 [0]"/>
    <tableColumn id="4" xr3:uid="{00000000-0010-0000-3A00-000004000000}" name="2020년" dataDxfId="572" dataCellStyle="쉼표 [0]"/>
    <tableColumn id="5" xr3:uid="{00000000-0010-0000-3A00-000005000000}" name="2021년" dataDxfId="571" dataCellStyle="쉼표 [0]"/>
    <tableColumn id="6" xr3:uid="{00000000-0010-0000-3A00-000006000000}" name="증감율" dataDxfId="570" dataCellStyle="백분율"/>
    <tableColumn id="8" xr3:uid="{00000000-0010-0000-3A00-000008000000}" name="(단위 : 억원, %)" dataDxfId="569" dataCellStyle="쉼표 [0]"/>
  </tableColumns>
  <tableStyleInfo name="TableStyleLight1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3B000000}" name="표50" displayName="표50" ref="D313:J325" totalsRowShown="0" headerRowDxfId="568" headerRowCellStyle="쉼표 [0]">
  <autoFilter ref="D313:J325" xr:uid="{00000000-0009-0000-0100-000032000000}"/>
  <tableColumns count="7">
    <tableColumn id="1" xr3:uid="{00000000-0010-0000-3B00-000001000000}" name="순위" dataDxfId="567" dataCellStyle="쉼표 [0]"/>
    <tableColumn id="2" xr3:uid="{00000000-0010-0000-3B00-000002000000}" name="제품명" dataDxfId="566" dataCellStyle="쉼표 [0]"/>
    <tableColumn id="3" xr3:uid="{00000000-0010-0000-3B00-000003000000}" name="기업명" dataDxfId="565" dataCellStyle="쉼표 [0]"/>
    <tableColumn id="4" xr3:uid="{00000000-0010-0000-3B00-000004000000}" name="2020년" dataDxfId="564" dataCellStyle="쉼표 [0]"/>
    <tableColumn id="5" xr3:uid="{00000000-0010-0000-3B00-000005000000}" name="2021년" dataDxfId="563" dataCellStyle="쉼표 [0]"/>
    <tableColumn id="6" xr3:uid="{00000000-0010-0000-3B00-000006000000}" name="증감율" dataDxfId="562" dataCellStyle="백분율"/>
    <tableColumn id="8" xr3:uid="{00000000-0010-0000-3B00-000008000000}" name="(단위 : 억원, %)" dataDxfId="561" dataCellStyle="쉼표 [0]"/>
  </tableColumns>
  <tableStyleInfo name="TableStyleLight1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0000000-000C-0000-FFFF-FFFF3C000000}" name="표51" displayName="표51" ref="D340:J350" totalsRowShown="0" headerRowDxfId="560" dataDxfId="559" headerRowCellStyle="쉼표 [0]" dataCellStyle="쉼표 [0]">
  <autoFilter ref="D340:J350" xr:uid="{00000000-0009-0000-0100-000033000000}"/>
  <tableColumns count="7">
    <tableColumn id="1" xr3:uid="{00000000-0010-0000-3C00-000001000000}" name="순위" dataDxfId="558" dataCellStyle="쉼표 [0]"/>
    <tableColumn id="2" xr3:uid="{00000000-0010-0000-3C00-000002000000}" name="제품명" dataDxfId="557" dataCellStyle="쉼표 [0]"/>
    <tableColumn id="3" xr3:uid="{00000000-0010-0000-3C00-000003000000}" name="기업명" dataDxfId="556" dataCellStyle="쉼표 [0]"/>
    <tableColumn id="4" xr3:uid="{00000000-0010-0000-3C00-000004000000}" name="2020년" dataDxfId="555" dataCellStyle="쉼표 [0]"/>
    <tableColumn id="5" xr3:uid="{00000000-0010-0000-3C00-000005000000}" name="2021년" dataDxfId="554" dataCellStyle="쉼표 [0]"/>
    <tableColumn id="6" xr3:uid="{00000000-0010-0000-3C00-000006000000}" name="전문/일반" dataDxfId="553" dataCellStyle="쉼표 [0]"/>
    <tableColumn id="7" xr3:uid="{00000000-0010-0000-3C00-000007000000}" name="(단위 : 억원, %)" dataDxfId="552" dataCellStyle="쉼표 [0]"/>
  </tableColumns>
  <tableStyleInfo name="TableStyleLight1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3D000000}" name="표52" displayName="표52" ref="D368:J370" totalsRowShown="0" headerRowDxfId="551" headerRowCellStyle="쉼표 [0]">
  <autoFilter ref="D368:J370" xr:uid="{00000000-0009-0000-0100-000034000000}"/>
  <tableColumns count="7">
    <tableColumn id="1" xr3:uid="{00000000-0010-0000-3D00-000001000000}" name="단계" dataDxfId="550" dataCellStyle="쉼표 [0]"/>
    <tableColumn id="2" xr3:uid="{00000000-0010-0000-3D00-000002000000}" name="신약후보물질탐색"/>
    <tableColumn id="3" xr3:uid="{00000000-0010-0000-3D00-000003000000}" name="비임상 시험"/>
    <tableColumn id="4" xr3:uid="{00000000-0010-0000-3D00-000004000000}" name="임상시험(1상)"/>
    <tableColumn id="5" xr3:uid="{00000000-0010-0000-3D00-000005000000}" name="임상시험(2상)"/>
    <tableColumn id="6" xr3:uid="{00000000-0010-0000-3D00-000006000000}" name="임상시험(3상)"/>
    <tableColumn id="7" xr3:uid="{00000000-0010-0000-3D00-000007000000}" name="시판"/>
  </tableColumns>
  <tableStyleInfo name="TableStyleLight1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0000000-000C-0000-FFFF-FFFF3E000000}" name="표59" displayName="표59" ref="D434:F456" totalsRowShown="0" headerRowDxfId="549" dataDxfId="548" headerRowCellStyle="쉼표 [0]" dataCellStyle="쉼표 [0]">
  <autoFilter ref="D434:F456" xr:uid="{00000000-0009-0000-0100-00003B000000}"/>
  <tableColumns count="3">
    <tableColumn id="1" xr3:uid="{00000000-0010-0000-3E00-000001000000}" name="구분" dataDxfId="547" dataCellStyle="쉼표 [0]"/>
    <tableColumn id="2" xr3:uid="{00000000-0010-0000-3E00-000002000000}" name="NMEs" dataDxfId="546" dataCellStyle="쉼표 [0]"/>
    <tableColumn id="3" xr3:uid="{00000000-0010-0000-3E00-000003000000}" name="BLAs" dataDxfId="545" dataCellStyle="쉼표 [0]"/>
  </tableColumns>
  <tableStyleInfo name="TableStyleLight1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0000000-000C-0000-FFFF-FFFF3F000000}" name="표60" displayName="표60" ref="D485:I519" totalsRowShown="0" headerRowDxfId="544" dataDxfId="543" headerRowCellStyle="쉼표 [0]" dataCellStyle="쉼표 [0]">
  <autoFilter ref="D485:I519" xr:uid="{00000000-0009-0000-0100-00003C000000}"/>
  <tableColumns count="6">
    <tableColumn id="1" xr3:uid="{00000000-0010-0000-3F00-000001000000}" name="순번" dataDxfId="542" dataCellStyle="쉼표 [0]"/>
    <tableColumn id="2" xr3:uid="{00000000-0010-0000-3F00-000002000000}" name="제품" dataDxfId="541" dataCellStyle="쉼표 [0]"/>
    <tableColumn id="3" xr3:uid="{00000000-0010-0000-3F00-000003000000}" name="기업" dataDxfId="540" dataCellStyle="쉼표 [0]"/>
    <tableColumn id="4" xr3:uid="{00000000-0010-0000-3F00-000004000000}" name="주성분" dataDxfId="539" dataCellStyle="쉼표 [0]"/>
    <tableColumn id="5" xr3:uid="{00000000-0010-0000-3F00-000005000000}" name="효능&amp;효과" dataDxfId="538" dataCellStyle="쉼표 [0]"/>
    <tableColumn id="6" xr3:uid="{00000000-0010-0000-3F00-000006000000}" name="허가일자" dataDxfId="537" dataCellStyle="쉼표 [0]"/>
  </tableColumns>
  <tableStyleInfo name="TableStyleLight1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00000000-000C-0000-FFFF-FFFF40000000}" name="표61" displayName="표61" ref="D526:J560" totalsRowShown="0" headerRowDxfId="536" dataDxfId="535" headerRowCellStyle="쉼표 [0]" dataCellStyle="쉼표 [0]">
  <autoFilter ref="D526:J560" xr:uid="{00000000-0009-0000-0100-00003D000000}"/>
  <tableColumns count="7">
    <tableColumn id="1" xr3:uid="{00000000-0010-0000-4000-000001000000}" name="계약시기" dataDxfId="534" dataCellStyle="쉼표 [0]"/>
    <tableColumn id="2" xr3:uid="{00000000-0010-0000-4000-000002000000}" name="기업" dataDxfId="533" dataCellStyle="쉼표 [0]"/>
    <tableColumn id="3" xr3:uid="{00000000-0010-0000-4000-000003000000}" name="계약상대" dataDxfId="532" dataCellStyle="쉼표 [0]"/>
    <tableColumn id="4" xr3:uid="{00000000-0010-0000-4000-000004000000}" name="수출국" dataDxfId="531" dataCellStyle="쉼표 [0]"/>
    <tableColumn id="5" xr3:uid="{00000000-0010-0000-4000-000005000000}" name="제품 또는 기술" dataDxfId="530" dataCellStyle="쉼표 [0]"/>
    <tableColumn id="6" xr3:uid="{00000000-0010-0000-4000-000006000000}" name="계약규모" dataDxfId="529" dataCellStyle="쉼표 [0]"/>
    <tableColumn id="7" xr3:uid="{00000000-0010-0000-4000-000007000000}" name="열1" dataDxfId="528" dataCellStyle="쉼표 [0]"/>
  </tableColumns>
  <tableStyleInfo name="TableStyleLight1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41000000}" name="표52_4" displayName="표52_4" ref="D422:I425" totalsRowShown="0" headerRowDxfId="527" headerRowCellStyle="쉼표 [0]">
  <autoFilter ref="D422:I425" xr:uid="{00000000-0009-0000-0100-000003000000}"/>
  <tableColumns count="6">
    <tableColumn id="1" xr3:uid="{00000000-0010-0000-4100-000001000000}" name="구분" dataDxfId="526" dataCellStyle="쉼표 [0]"/>
    <tableColumn id="2" xr3:uid="{00000000-0010-0000-4100-000002000000}" name="2018년" dataDxfId="525" dataCellStyle="쉼표 [0]"/>
    <tableColumn id="3" xr3:uid="{00000000-0010-0000-4100-000003000000}" name="2019년" dataDxfId="524" dataCellStyle="쉼표 [0]"/>
    <tableColumn id="4" xr3:uid="{00000000-0010-0000-4100-000004000000}" name="2020년" dataDxfId="523"/>
    <tableColumn id="5" xr3:uid="{00000000-0010-0000-4100-000005000000}" name="2021년 " dataDxfId="522"/>
    <tableColumn id="6" xr3:uid="{00000000-0010-0000-4100-000006000000}" name="(단위: 건)" dataDxfId="521" dataCellStyle="쉼표 [0]"/>
  </tableColumns>
  <tableStyleInfo name="TableStyleLight1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42000000}" name="표43_5" displayName="표43_5" ref="D147:G167" totalsRowShown="0" headerRowDxfId="520" dataDxfId="519" headerRowCellStyle="쉼표 [0]" dataCellStyle="쉼표 [0]">
  <autoFilter ref="D147:G167" xr:uid="{00000000-0009-0000-0100-000004000000}"/>
  <tableColumns count="4">
    <tableColumn id="1" xr3:uid="{00000000-0010-0000-4200-000001000000}" name="순위" dataDxfId="518" dataCellStyle="쉼표 [0]"/>
    <tableColumn id="2" xr3:uid="{00000000-0010-0000-4200-000002000000}" name="업체명" dataDxfId="517" dataCellStyle="쉼표 [0]"/>
    <tableColumn id="3" xr3:uid="{00000000-0010-0000-4200-000003000000}" name="매출액" dataDxfId="516" dataCellStyle="쉼표 [0]"/>
    <tableColumn id="4" xr3:uid="{00000000-0010-0000-4200-000004000000}" name="(단위: 백만원)" dataDxfId="515" dataCellStyle="쉼표 [0]"/>
  </tableColumns>
  <tableStyleInfo name="TableStyleLight1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00000000-000C-0000-FFFF-FFFF43000000}" name="표61_96" displayName="표61_96" ref="D567:I568" totalsRowShown="0" headerRowDxfId="514" dataDxfId="513" headerRowCellStyle="쉼표 [0]" dataCellStyle="쉼표 [0]">
  <autoFilter ref="D567:I568" xr:uid="{00000000-0009-0000-0100-00005F000000}"/>
  <tableColumns count="6">
    <tableColumn id="1" xr3:uid="{00000000-0010-0000-4300-000001000000}" name="구분" dataDxfId="512" dataCellStyle="쉼표 [0]"/>
    <tableColumn id="2" xr3:uid="{00000000-0010-0000-4300-000002000000}" name="2018년" dataDxfId="511" dataCellStyle="쉼표 [0]"/>
    <tableColumn id="3" xr3:uid="{00000000-0010-0000-4300-000003000000}" name="2019년" dataDxfId="510" dataCellStyle="쉼표 [0]"/>
    <tableColumn id="4" xr3:uid="{00000000-0010-0000-4300-000004000000}" name="2020년" dataDxfId="509" dataCellStyle="쉼표 [0]"/>
    <tableColumn id="7" xr3:uid="{00000000-0010-0000-4300-000007000000}" name="2021" dataDxfId="508" dataCellStyle="쉼표 [0]"/>
    <tableColumn id="5" xr3:uid="{00000000-0010-0000-4300-000005000000}" name="(단위 : 조원)" dataDxfId="507" dataCellStyle="쉼표 [0]"/>
  </tableColumns>
  <tableStyleInfo name="TableStyleLight1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00000000-000C-0000-FFFF-FFFF44000000}" name="표51_99" displayName="표51_99" ref="D382:F397" totalsRowShown="0" headerRowDxfId="506" dataDxfId="505" headerRowCellStyle="쉼표 [0]" dataCellStyle="쉼표 [0]">
  <autoFilter ref="D382:F397" xr:uid="{00000000-0009-0000-0100-000062000000}"/>
  <tableColumns count="3">
    <tableColumn id="1" xr3:uid="{00000000-0010-0000-4400-000001000000}" name="순위" dataDxfId="504" dataCellStyle="쉼표 [0]"/>
    <tableColumn id="2" xr3:uid="{00000000-0010-0000-4400-000002000000}" name="질환 영역" dataDxfId="503" dataCellStyle="쉼표 [0]"/>
    <tableColumn id="3" xr3:uid="{00000000-0010-0000-4400-000003000000}" name="파이프라인수 " dataDxfId="502" dataCellStyle="쉼표 [0]"/>
  </tableColumns>
  <tableStyleInfo name="TableStyleLight1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00000000-000C-0000-FFFF-FFFF45000000}" name="표51_99103" displayName="표51_99103" ref="D401:F416" totalsRowShown="0" headerRowDxfId="501" dataDxfId="500" headerRowCellStyle="쉼표 [0]" dataCellStyle="쉼표 [0]">
  <autoFilter ref="D401:F416" xr:uid="{00000000-0009-0000-0100-000066000000}"/>
  <tableColumns count="3">
    <tableColumn id="1" xr3:uid="{00000000-0010-0000-4500-000001000000}" name="순위" dataDxfId="499" dataCellStyle="쉼표 [0]"/>
    <tableColumn id="2" xr3:uid="{00000000-0010-0000-4500-000002000000}" name="원개발사" dataDxfId="498" dataCellStyle="쉼표 [0]"/>
    <tableColumn id="3" xr3:uid="{00000000-0010-0000-4500-000003000000}" name="파이프라인수 " dataDxfId="497" dataCellStyle="쉼표 [0]"/>
  </tableColumns>
  <tableStyleInfo name="TableStyleLight1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46000000}" name="표23" displayName="표23" ref="D6:J7" totalsRowShown="0" headerRowDxfId="496" dataDxfId="495" headerRowCellStyle="쉼표 [0]" dataCellStyle="쉼표 [0]">
  <autoFilter ref="D6:J7" xr:uid="{00000000-0009-0000-0100-000017000000}"/>
  <tableColumns count="7">
    <tableColumn id="1" xr3:uid="{00000000-0010-0000-4600-000001000000}" name="구분" dataDxfId="494" dataCellStyle="쉼표 [0]"/>
    <tableColumn id="2" xr3:uid="{00000000-0010-0000-4600-000002000000}" name="2015년" dataDxfId="493" dataCellStyle="쉼표 [0]"/>
    <tableColumn id="3" xr3:uid="{00000000-0010-0000-4600-000003000000}" name="2016년" dataDxfId="492" dataCellStyle="쉼표 [0]"/>
    <tableColumn id="4" xr3:uid="{00000000-0010-0000-4600-000004000000}" name=" 2017년 " dataDxfId="491" dataCellStyle="쉼표 [0]"/>
    <tableColumn id="5" xr3:uid="{00000000-0010-0000-4600-000005000000}" name="2018년" dataDxfId="490" dataCellStyle="쉼표 [0]"/>
    <tableColumn id="6" xr3:uid="{00000000-0010-0000-4600-000006000000}" name="2019년" dataDxfId="489" dataCellStyle="쉼표 [0]"/>
    <tableColumn id="10" xr3:uid="{00000000-0010-0000-4600-00000A000000}" name="CAGR" dataDxfId="488" dataCellStyle="백분율"/>
  </tableColumns>
  <tableStyleInfo name="TableStyleLight1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47000000}" name="표29" displayName="표29" ref="D31:M53" totalsRowShown="0" headerRowDxfId="487" dataDxfId="486" headerRowCellStyle="쉼표 [0]" dataCellStyle="쉼표 [0]">
  <autoFilter ref="D31:M53" xr:uid="{00000000-0009-0000-0100-00001D000000}"/>
  <tableColumns count="10">
    <tableColumn id="1" xr3:uid="{00000000-0010-0000-4700-000001000000}" name="순위" dataDxfId="485" dataCellStyle="쉼표 [0]"/>
    <tableColumn id="2" xr3:uid="{00000000-0010-0000-4700-000002000000}" name="국가" dataDxfId="484" dataCellStyle="쉼표 [0]"/>
    <tableColumn id="5" xr3:uid="{00000000-0010-0000-4700-000005000000}" name="2015년 규모" dataDxfId="483" dataCellStyle="쉼표 [0]"/>
    <tableColumn id="6" xr3:uid="{00000000-0010-0000-4700-000006000000}" name="2016년 규모" dataDxfId="482" dataCellStyle="쉼표 [0]"/>
    <tableColumn id="7" xr3:uid="{00000000-0010-0000-4700-000007000000}" name="2017년 규모" dataDxfId="481" dataCellStyle="쉼표 [0]"/>
    <tableColumn id="8" xr3:uid="{00000000-0010-0000-4700-000008000000}" name="2018년 규모" dataDxfId="480" dataCellStyle="쉼표 [0]"/>
    <tableColumn id="3" xr3:uid="{00000000-0010-0000-4700-000003000000}" name="2019년 규모" dataDxfId="479" dataCellStyle="쉼표 [0]"/>
    <tableColumn id="11" xr3:uid="{00000000-0010-0000-4700-00000B000000}" name="2019년 비중" dataDxfId="478" dataCellStyle="백분율"/>
    <tableColumn id="12" xr3:uid="{00000000-0010-0000-4700-00000C000000}" name="연평균성장률('15-'19)" dataDxfId="477" dataCellStyle="백분율"/>
    <tableColumn id="4" xr3:uid="{00000000-0010-0000-4700-000004000000}" name="(단위 : 억달러, %)" dataDxfId="476" dataCellStyle="쉼표 [0]"/>
  </tableColumns>
  <tableStyleInfo name="TableStyleLight1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48000000}" name="표30" displayName="표30" ref="D150:G171" totalsRowShown="0" headerRowDxfId="475" headerRowCellStyle="쉼표 [0]">
  <autoFilter ref="D150:G171" xr:uid="{00000000-0009-0000-0100-00001E000000}"/>
  <tableColumns count="4">
    <tableColumn id="1" xr3:uid="{00000000-0010-0000-4800-000001000000}" name="순위" dataDxfId="474" dataCellStyle="쉼표 [0]"/>
    <tableColumn id="2" xr3:uid="{00000000-0010-0000-4800-000002000000}" name="기업" dataDxfId="473" dataCellStyle="쉼표 [0]"/>
    <tableColumn id="3" xr3:uid="{00000000-0010-0000-4800-000003000000}" name="국가" dataDxfId="472" dataCellStyle="쉼표 [0]"/>
    <tableColumn id="4" xr3:uid="{00000000-0010-0000-4800-000004000000}" name="2021년 매출액" dataDxfId="471" dataCellStyle="쉼표 [0]"/>
  </tableColumns>
  <tableStyleInfo name="TableStyleLight1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49000000}" name="표32" displayName="표32" ref="D184:L197" totalsRowCount="1" headerRowDxfId="470" dataDxfId="469" headerRowCellStyle="쉼표 [0]" dataCellStyle="백분율">
  <autoFilter ref="D184:L196" xr:uid="{00000000-0009-0000-0100-000020000000}"/>
  <tableColumns count="9">
    <tableColumn id="1" xr3:uid="{00000000-0010-0000-4900-000001000000}" name="순위" dataDxfId="468" totalsRowDxfId="467" dataCellStyle="쉼표 [0]"/>
    <tableColumn id="2" xr3:uid="{00000000-0010-0000-4900-000002000000}" name="기업" dataDxfId="466" totalsRowDxfId="465" dataCellStyle="쉼표 [0]"/>
    <tableColumn id="3" xr3:uid="{00000000-0010-0000-4900-000003000000}" name="2020년 규모" dataDxfId="464" totalsRowDxfId="463" dataCellStyle="쉼표 [0]"/>
    <tableColumn id="4" xr3:uid="{00000000-0010-0000-4900-000004000000}" name="2020년 비율" dataDxfId="462" totalsRowDxfId="461" dataCellStyle="백분율"/>
    <tableColumn id="5" xr3:uid="{00000000-0010-0000-4900-000005000000}" name="2020년 순위 " dataDxfId="460" totalsRowDxfId="459" dataCellStyle="쉼표 [0]"/>
    <tableColumn id="6" xr3:uid="{00000000-0010-0000-4900-000006000000}" name="2021년 규모" dataDxfId="458" totalsRowDxfId="457" dataCellStyle="쉼표 [0]"/>
    <tableColumn id="7" xr3:uid="{00000000-0010-0000-4900-000007000000}" name="2021년 비율" dataDxfId="456" totalsRowDxfId="455" dataCellStyle="백분율"/>
    <tableColumn id="8" xr3:uid="{00000000-0010-0000-4900-000008000000}" name="2021년 순위" dataDxfId="454" totalsRowDxfId="453" dataCellStyle="쉼표 [0]"/>
    <tableColumn id="9" xr3:uid="{00000000-0010-0000-4900-000009000000}" name="증감(%)" dataDxfId="452" totalsRowDxfId="451" dataCellStyle="백분율"/>
  </tableColumns>
  <tableStyleInfo name="TableStyleLight1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4A000000}" name="표36" displayName="표36" ref="D209:I214" totalsRowShown="0" headerRowDxfId="450" dataDxfId="449" headerRowCellStyle="쉼표 [0]" dataCellStyle="백분율">
  <autoFilter ref="D209:I214" xr:uid="{00000000-0009-0000-0100-000024000000}"/>
  <tableColumns count="6">
    <tableColumn id="1" xr3:uid="{00000000-0010-0000-4A00-000001000000}" name="구분" dataDxfId="448" dataCellStyle="쉼표 [0]"/>
    <tableColumn id="2" xr3:uid="{00000000-0010-0000-4A00-000002000000}" name="2018년 생산액" dataDxfId="447" dataCellStyle="쉼표 [0]"/>
    <tableColumn id="3" xr3:uid="{00000000-0010-0000-4A00-000003000000}" name="2019년 생산액" dataDxfId="446" dataCellStyle="쉼표 [0]"/>
    <tableColumn id="4" xr3:uid="{00000000-0010-0000-4A00-000004000000}" name="2020년 생산액 " dataDxfId="445" dataCellStyle="쉼표 [0]"/>
    <tableColumn id="5" xr3:uid="{00000000-0010-0000-4A00-000005000000}" name="2021년 생산액" dataDxfId="444" dataCellStyle="쉼표 [0]"/>
    <tableColumn id="6" xr3:uid="{00000000-0010-0000-4A00-000006000000}" name="2021년 생산비중" dataDxfId="443" dataCellStyle="쉼표 [0]"/>
  </tableColumns>
  <tableStyleInfo name="TableStyleLight1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4B000000}" name="표37" displayName="표37" ref="E239:J251" totalsRowShown="0" headerRowDxfId="442" dataDxfId="441" headerRowCellStyle="쉼표 [0]" dataCellStyle="쉼표 [0]">
  <autoFilter ref="E239:J251" xr:uid="{00000000-0009-0000-0100-000025000000}"/>
  <tableColumns count="6">
    <tableColumn id="1" xr3:uid="{00000000-0010-0000-4B00-000001000000}" name="품목명" dataDxfId="440" dataCellStyle="쉼표 [0]"/>
    <tableColumn id="2" xr3:uid="{00000000-0010-0000-4B00-000002000000}" name="2020년 생산액 " dataDxfId="439" dataCellStyle="쉼표 [0]"/>
    <tableColumn id="4" xr3:uid="{00000000-0010-0000-4B00-000004000000}" name="2020년 순위 " dataDxfId="438" dataCellStyle="쉼표 [0]"/>
    <tableColumn id="3" xr3:uid="{00000000-0010-0000-4B00-000003000000}" name="2021년 생산액" dataDxfId="437" dataCellStyle="쉼표 [0]"/>
    <tableColumn id="5" xr3:uid="{00000000-0010-0000-4B00-000005000000}" name="2021년 순위 " dataDxfId="436" dataCellStyle="쉼표 [0]"/>
    <tableColumn id="6" xr3:uid="{00000000-0010-0000-4B00-000006000000}" name="전년대비 증감" dataDxfId="435" dataCellStyle="쉼표 [0]"/>
  </tableColumns>
  <tableStyleInfo name="TableStyleLight1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4C000000}" name="표37_34" displayName="표37_34" ref="E260:J272" totalsRowShown="0" headerRowDxfId="434" dataDxfId="433" headerRowCellStyle="쉼표 [0]" dataCellStyle="쉼표 [0]">
  <autoFilter ref="E260:J272" xr:uid="{00000000-0009-0000-0100-000021000000}"/>
  <tableColumns count="6">
    <tableColumn id="1" xr3:uid="{00000000-0010-0000-4C00-000001000000}" name="품목명" dataDxfId="432" dataCellStyle="쉼표 [0]"/>
    <tableColumn id="2" xr3:uid="{00000000-0010-0000-4C00-000002000000}" name="2020년 수출액" dataDxfId="431" dataCellStyle="쉼표 [0]"/>
    <tableColumn id="4" xr3:uid="{00000000-0010-0000-4C00-000004000000}" name="순위" dataDxfId="430" dataCellStyle="쉼표 [0]"/>
    <tableColumn id="3" xr3:uid="{00000000-0010-0000-4C00-000003000000}" name="2021년 수출액" dataDxfId="429" dataCellStyle="쉼표 [0]"/>
    <tableColumn id="5" xr3:uid="{00000000-0010-0000-4C00-000005000000}" name="2021년 순위" dataDxfId="428" dataCellStyle="쉼표 [0]"/>
    <tableColumn id="6" xr3:uid="{00000000-0010-0000-4C00-000006000000}" name="전년대비 증감" dataDxfId="427" dataCellStyle="쉼표 [0]"/>
  </tableColumns>
  <tableStyleInfo name="TableStyleLight1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4D000000}" name="표24" displayName="표24" ref="D124:I130" totalsRowShown="0" headerRowDxfId="426" headerRowCellStyle="쉼표 [0]">
  <autoFilter ref="D124:I130" xr:uid="{00000000-0009-0000-0100-000018000000}"/>
  <tableColumns count="6">
    <tableColumn id="1" xr3:uid="{00000000-0010-0000-4D00-000001000000}" name="구분" dataDxfId="425" dataCellStyle="쉼표 [0]"/>
    <tableColumn id="2" xr3:uid="{00000000-0010-0000-4D00-000002000000}" name="2017년" dataDxfId="424" dataCellStyle="쉼표 [0]"/>
    <tableColumn id="3" xr3:uid="{00000000-0010-0000-4D00-000003000000}" name="2018년" dataDxfId="423" dataCellStyle="쉼표 [0]"/>
    <tableColumn id="4" xr3:uid="{00000000-0010-0000-4D00-000004000000}" name="2019년" dataDxfId="422" dataCellStyle="쉼표 [0]"/>
    <tableColumn id="5" xr3:uid="{00000000-0010-0000-4D00-000005000000}" name="2020년" dataDxfId="421" dataCellStyle="쉼표 [0]"/>
    <tableColumn id="6" xr3:uid="{00000000-0010-0000-4D00-000006000000}" name="2021년" dataDxfId="420">
      <calculatedColumnFormula>K125/100</calculatedColumnFormula>
    </tableColumn>
  </tableColumns>
  <tableStyleInfo name="TableStyleLight1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4E000000}" name="표10_29" displayName="표10_29" ref="D5:L7" totalsRowShown="0" headerRowDxfId="419" dataDxfId="418" headerRowCellStyle="쉼표 [0]">
  <autoFilter ref="D5:L7" xr:uid="{00000000-0009-0000-0100-00001C000000}"/>
  <tableColumns count="9">
    <tableColumn id="1" xr3:uid="{00000000-0010-0000-4E00-000001000000}" name="구분" dataDxfId="417" dataCellStyle="쉼표 [0]"/>
    <tableColumn id="5" xr3:uid="{00000000-0010-0000-4E00-000005000000}" name="2020년" dataDxfId="416"/>
    <tableColumn id="6" xr3:uid="{00000000-0010-0000-4E00-000006000000}" name="2021년" dataDxfId="415"/>
    <tableColumn id="7" xr3:uid="{00000000-0010-0000-4E00-000007000000}" name="2022년" dataDxfId="414"/>
    <tableColumn id="8" xr3:uid="{00000000-0010-0000-4E00-000008000000}" name="2023년" dataDxfId="413"/>
    <tableColumn id="9" xr3:uid="{00000000-0010-0000-4E00-000009000000}" name="2024년" dataDxfId="412"/>
    <tableColumn id="10" xr3:uid="{00000000-0010-0000-4E00-00000A000000}" name="2025년" dataDxfId="411"/>
    <tableColumn id="11" xr3:uid="{00000000-0010-0000-4E00-00000B000000}" name="2026년" dataDxfId="410"/>
    <tableColumn id="12" xr3:uid="{00000000-0010-0000-4E00-00000C000000}" name="2027년" dataDxfId="409" dataCellStyle="쉼표 [0]"/>
  </tableColumns>
  <tableStyleInfo name="TableStyleLight1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0000000-000C-0000-FFFF-FFFF4F000000}" name="표10_2963" displayName="표10_2963" ref="D34:M40" totalsRowShown="0" headerRowDxfId="408" dataDxfId="407" headerRowCellStyle="쉼표 [0]">
  <autoFilter ref="D34:M40" xr:uid="{00000000-0009-0000-0100-00003E000000}"/>
  <tableColumns count="10">
    <tableColumn id="1" xr3:uid="{00000000-0010-0000-4F00-000001000000}" name="구분" dataDxfId="406" dataCellStyle="쉼표 [0]"/>
    <tableColumn id="5" xr3:uid="{00000000-0010-0000-4F00-000005000000}" name="2020년" dataDxfId="405"/>
    <tableColumn id="6" xr3:uid="{00000000-0010-0000-4F00-000006000000}" name="2021년" dataDxfId="404"/>
    <tableColumn id="7" xr3:uid="{00000000-0010-0000-4F00-000007000000}" name="2022년" dataDxfId="403"/>
    <tableColumn id="8" xr3:uid="{00000000-0010-0000-4F00-000008000000}" name="2023년" dataDxfId="402"/>
    <tableColumn id="9" xr3:uid="{00000000-0010-0000-4F00-000009000000}" name="2024년" dataDxfId="401"/>
    <tableColumn id="10" xr3:uid="{00000000-0010-0000-4F00-00000A000000}" name="2025년" dataDxfId="400"/>
    <tableColumn id="11" xr3:uid="{00000000-0010-0000-4F00-00000B000000}" name="2026년" dataDxfId="399"/>
    <tableColumn id="12" xr3:uid="{00000000-0010-0000-4F00-00000C000000}" name="2027년" dataDxfId="398" dataCellStyle="쉼표 [0]"/>
    <tableColumn id="14" xr3:uid="{00000000-0010-0000-4F00-00000E000000}" name="CAGR(%)" dataDxfId="397"/>
  </tableColumns>
  <tableStyleInfo name="TableStyleLight1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50000000}" name="표10_296327" displayName="표10_296327" ref="D67:M74" totalsRowShown="0" headerRowDxfId="396" dataDxfId="395" headerRowCellStyle="쉼표 [0]">
  <autoFilter ref="D67:M74" xr:uid="{00000000-0009-0000-0100-00001A000000}"/>
  <tableColumns count="10">
    <tableColumn id="1" xr3:uid="{00000000-0010-0000-5000-000001000000}" name="구분" dataDxfId="394" dataCellStyle="쉼표 [0]"/>
    <tableColumn id="5" xr3:uid="{00000000-0010-0000-5000-000005000000}" name="2020년" dataDxfId="393"/>
    <tableColumn id="6" xr3:uid="{00000000-0010-0000-5000-000006000000}" name="2021년" dataDxfId="392"/>
    <tableColumn id="7" xr3:uid="{00000000-0010-0000-5000-000007000000}" name="2022년" dataDxfId="391"/>
    <tableColumn id="8" xr3:uid="{00000000-0010-0000-5000-000008000000}" name="2023년" dataDxfId="390"/>
    <tableColumn id="9" xr3:uid="{00000000-0010-0000-5000-000009000000}" name="2024년" dataDxfId="389"/>
    <tableColumn id="10" xr3:uid="{00000000-0010-0000-5000-00000A000000}" name="2025년" dataDxfId="388"/>
    <tableColumn id="11" xr3:uid="{00000000-0010-0000-5000-00000B000000}" name="2026년" dataDxfId="387"/>
    <tableColumn id="12" xr3:uid="{00000000-0010-0000-5000-00000C000000}" name="2027년" dataDxfId="386" dataCellStyle="쉼표 [0]"/>
    <tableColumn id="14" xr3:uid="{00000000-0010-0000-5000-00000E000000}" name="CAGR(%)" dataDxfId="385"/>
  </tableColumns>
  <tableStyleInfo name="TableStyleLight1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51000000}" name="표10_29632728" displayName="표10_29632728" ref="D100:M105" totalsRowShown="0" headerRowDxfId="384" dataDxfId="383" headerRowCellStyle="쉼표 [0]">
  <autoFilter ref="D100:M105" xr:uid="{00000000-0009-0000-0100-00001B000000}"/>
  <tableColumns count="10">
    <tableColumn id="1" xr3:uid="{00000000-0010-0000-5100-000001000000}" name="구분" dataDxfId="382" dataCellStyle="쉼표 [0]"/>
    <tableColumn id="5" xr3:uid="{00000000-0010-0000-5100-000005000000}" name="2020년" dataDxfId="381"/>
    <tableColumn id="6" xr3:uid="{00000000-0010-0000-5100-000006000000}" name="2021년" dataDxfId="380"/>
    <tableColumn id="7" xr3:uid="{00000000-0010-0000-5100-000007000000}" name="2022년" dataDxfId="379"/>
    <tableColumn id="8" xr3:uid="{00000000-0010-0000-5100-000008000000}" name="2023년" dataDxfId="378"/>
    <tableColumn id="9" xr3:uid="{00000000-0010-0000-5100-000009000000}" name="2024년" dataDxfId="377"/>
    <tableColumn id="10" xr3:uid="{00000000-0010-0000-5100-00000A000000}" name="2025년" dataDxfId="376"/>
    <tableColumn id="11" xr3:uid="{00000000-0010-0000-5100-00000B000000}" name="2026년" dataDxfId="375"/>
    <tableColumn id="12" xr3:uid="{00000000-0010-0000-5100-00000C000000}" name="2027년" dataDxfId="374" dataCellStyle="쉼표 [0]"/>
    <tableColumn id="14" xr3:uid="{00000000-0010-0000-5100-00000E000000}" name="CAGR(%)" dataDxfId="373"/>
  </tableColumns>
  <tableStyleInfo name="TableStyleLight1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52000000}" name="표10" displayName="표10" ref="D6:L7" totalsRowShown="0" headerRowDxfId="372" dataDxfId="371" headerRowCellStyle="쉼표 [0]">
  <autoFilter ref="D6:L7" xr:uid="{00000000-0009-0000-0100-00000A000000}"/>
  <tableColumns count="9">
    <tableColumn id="1" xr3:uid="{00000000-0010-0000-5200-000001000000}" name="구분" dataDxfId="370" dataCellStyle="쉼표 [0]"/>
    <tableColumn id="5" xr3:uid="{00000000-0010-0000-5200-000005000000}" name="2019년" dataDxfId="369"/>
    <tableColumn id="6" xr3:uid="{00000000-0010-0000-5200-000006000000}" name="2020년" dataDxfId="368"/>
    <tableColumn id="7" xr3:uid="{00000000-0010-0000-5200-000007000000}" name="2021년" dataDxfId="367"/>
    <tableColumn id="8" xr3:uid="{00000000-0010-0000-5200-000008000000}" name="2022년" dataDxfId="366"/>
    <tableColumn id="9" xr3:uid="{00000000-0010-0000-5200-000009000000}" name="2023년" dataDxfId="365"/>
    <tableColumn id="10" xr3:uid="{00000000-0010-0000-5200-00000A000000}" name="2024년" dataDxfId="364"/>
    <tableColumn id="11" xr3:uid="{00000000-0010-0000-5200-00000B000000}" name="2025년" dataDxfId="363"/>
    <tableColumn id="2" xr3:uid="{00000000-0010-0000-5200-000002000000}" name=" 2026년 " dataDxfId="362" dataCellStyle="쉼표 [0]"/>
  </tableColumns>
  <tableStyleInfo name="TableStyleLight1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53000000}" name="표11" displayName="표11" ref="D31:M32" totalsRowShown="0" headerRowDxfId="361" dataDxfId="360" headerRowCellStyle="쉼표 [0]" dataCellStyle="쉼표 [0]">
  <autoFilter ref="D31:M32" xr:uid="{00000000-0009-0000-0100-00000B000000}"/>
  <tableColumns count="10">
    <tableColumn id="1" xr3:uid="{00000000-0010-0000-5300-000001000000}" name="구분" dataDxfId="359" dataCellStyle="쉼표 [0]"/>
    <tableColumn id="2" xr3:uid="{00000000-0010-0000-5300-000002000000}" name="2019년" dataDxfId="358" dataCellStyle="쉼표 [0]"/>
    <tableColumn id="3" xr3:uid="{00000000-0010-0000-5300-000003000000}" name="2020년" dataDxfId="357" dataCellStyle="쉼표 [0]"/>
    <tableColumn id="4" xr3:uid="{00000000-0010-0000-5300-000004000000}" name="2021년" dataDxfId="356" dataCellStyle="쉼표 [0]"/>
    <tableColumn id="5" xr3:uid="{00000000-0010-0000-5300-000005000000}" name="2022년" dataDxfId="355" dataCellStyle="쉼표 [0]"/>
    <tableColumn id="6" xr3:uid="{00000000-0010-0000-5300-000006000000}" name="2023년" dataDxfId="354" dataCellStyle="쉼표 [0]"/>
    <tableColumn id="12" xr3:uid="{00000000-0010-0000-5300-00000C000000}" name="2024년" dataDxfId="353" dataCellStyle="쉼표 [0]"/>
    <tableColumn id="7" xr3:uid="{00000000-0010-0000-5300-000007000000}" name="2025년" dataDxfId="352" dataCellStyle="쉼표 [0]"/>
    <tableColumn id="8" xr3:uid="{00000000-0010-0000-5300-000008000000}" name=" 2026년 " dataDxfId="351" dataCellStyle="쉼표 [0]"/>
    <tableColumn id="9" xr3:uid="{00000000-0010-0000-5300-000009000000}" name="CAGR('21~'26)" dataDxfId="350" dataCellStyle="쉼표 [0]"/>
  </tableColumns>
  <tableStyleInfo name="TableStyleLight1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54000000}" name="표13" displayName="표13" ref="D82:F91" totalsRowShown="0" headerRowDxfId="349" dataDxfId="348" headerRowCellStyle="쉼표 [0]" dataCellStyle="쉼표 [0]">
  <autoFilter ref="D82:F91" xr:uid="{00000000-0009-0000-0100-00000D000000}"/>
  <tableColumns count="3">
    <tableColumn id="1" xr3:uid="{00000000-0010-0000-5400-000001000000}" name="치료영역" dataDxfId="347" dataCellStyle="쉼표 [0]"/>
    <tableColumn id="2" xr3:uid="{00000000-0010-0000-5400-000002000000}" name="2022년" dataDxfId="346" dataCellStyle="백분율"/>
    <tableColumn id="3" xr3:uid="{00000000-0010-0000-5400-000003000000}" name="2026년" dataDxfId="345" dataCellStyle="쉼표 [0]"/>
  </tableColumns>
  <tableStyleInfo name="TableStyleLight1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00000000-000C-0000-FFFF-FFFF55000000}" name="표11_104" displayName="표11_104" ref="D57:M58" totalsRowShown="0" headerRowDxfId="344" dataDxfId="343" headerRowCellStyle="쉼표 [0]" dataCellStyle="쉼표 [0]">
  <autoFilter ref="D57:M58" xr:uid="{00000000-0009-0000-0100-000067000000}"/>
  <tableColumns count="10">
    <tableColumn id="1" xr3:uid="{00000000-0010-0000-5500-000001000000}" name="구분" dataDxfId="342" dataCellStyle="쉼표 [0]"/>
    <tableColumn id="2" xr3:uid="{00000000-0010-0000-5500-000002000000}" name="2019년" dataDxfId="341" dataCellStyle="쉼표 [0]"/>
    <tableColumn id="3" xr3:uid="{00000000-0010-0000-5500-000003000000}" name="2020년" dataDxfId="340" dataCellStyle="쉼표 [0]"/>
    <tableColumn id="4" xr3:uid="{00000000-0010-0000-5500-000004000000}" name="2021년" dataDxfId="339" dataCellStyle="쉼표 [0]"/>
    <tableColumn id="5" xr3:uid="{00000000-0010-0000-5500-000005000000}" name="2022년" dataDxfId="338" dataCellStyle="쉼표 [0]"/>
    <tableColumn id="6" xr3:uid="{00000000-0010-0000-5500-000006000000}" name="2023년" dataDxfId="337" dataCellStyle="쉼표 [0]"/>
    <tableColumn id="12" xr3:uid="{00000000-0010-0000-5500-00000C000000}" name="2024년" dataDxfId="336" dataCellStyle="쉼표 [0]"/>
    <tableColumn id="7" xr3:uid="{00000000-0010-0000-5500-000007000000}" name="2025년" dataDxfId="335" dataCellStyle="쉼표 [0]"/>
    <tableColumn id="8" xr3:uid="{00000000-0010-0000-5500-000008000000}" name=" 2026년 " dataDxfId="334" dataCellStyle="쉼표 [0]"/>
    <tableColumn id="9" xr3:uid="{00000000-0010-0000-5500-000009000000}" name="CAGR('21~'26)" dataDxfId="333" dataCellStyle="쉼표 [0]"/>
  </tableColumns>
  <tableStyleInfo name="TableStyleLight1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56000000}" name="표6" displayName="표6" ref="D5:J6" totalsRowShown="0" headerRowDxfId="332" dataDxfId="331" headerRowCellStyle="쉼표 [0]" dataCellStyle="쉼표 [0]">
  <autoFilter ref="D5:J6" xr:uid="{00000000-0009-0000-0100-000006000000}"/>
  <tableColumns count="7">
    <tableColumn id="1" xr3:uid="{00000000-0010-0000-5600-000001000000}" name="구분" dataDxfId="330" dataCellStyle="쉼표 [0]"/>
    <tableColumn id="2" xr3:uid="{00000000-0010-0000-5600-000002000000}" name="2018년 " dataDxfId="329" dataCellStyle="쉼표 [0]"/>
    <tableColumn id="3" xr3:uid="{00000000-0010-0000-5600-000003000000}" name="2019년" dataDxfId="328"/>
    <tableColumn id="4" xr3:uid="{00000000-0010-0000-5600-000004000000}" name="2020년" dataDxfId="327"/>
    <tableColumn id="5" xr3:uid="{00000000-0010-0000-5600-000005000000}" name="2021년" dataDxfId="326"/>
    <tableColumn id="6" xr3:uid="{00000000-0010-0000-5600-000006000000}" name="2022년" dataDxfId="325"/>
    <tableColumn id="7" xr3:uid="{00000000-0010-0000-5600-000007000000}" name="2023년" dataDxfId="324"/>
  </tableColumns>
  <tableStyleInfo name="TableStyleLight1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57000000}" name="표7" displayName="표7" ref="D29:K36" totalsRowCount="1" headerRowDxfId="323" dataDxfId="322" headerRowCellStyle="쉼표 [0]" dataCellStyle="쉼표 [0]">
  <autoFilter ref="D29:K35" xr:uid="{00000000-0009-0000-0100-000007000000}"/>
  <tableColumns count="8">
    <tableColumn id="1" xr3:uid="{00000000-0010-0000-5700-000001000000}" name="구분" dataDxfId="321" totalsRowDxfId="320" dataCellStyle="쉼표 [0]"/>
    <tableColumn id="2" xr3:uid="{00000000-0010-0000-5700-000002000000}" name="2018년 " dataDxfId="319" totalsRowDxfId="318" dataCellStyle="쉼표 [0]"/>
    <tableColumn id="3" xr3:uid="{00000000-0010-0000-5700-000003000000}" name="2019년" dataDxfId="317" totalsRowDxfId="316" dataCellStyle="쉼표 [0]"/>
    <tableColumn id="4" xr3:uid="{00000000-0010-0000-5700-000004000000}" name="2020년" dataDxfId="315" totalsRowDxfId="314" dataCellStyle="쉼표 [0]"/>
    <tableColumn id="5" xr3:uid="{00000000-0010-0000-5700-000005000000}" name="2021년" dataDxfId="313" totalsRowDxfId="312" dataCellStyle="쉼표 [0]"/>
    <tableColumn id="6" xr3:uid="{00000000-0010-0000-5700-000006000000}" name="2022년" dataDxfId="311" totalsRowDxfId="310" dataCellStyle="쉼표 [0]"/>
    <tableColumn id="7" xr3:uid="{00000000-0010-0000-5700-000007000000}" name="2023년" dataDxfId="309" totalsRowDxfId="308" dataCellStyle="쉼표 [0]"/>
    <tableColumn id="11" xr3:uid="{00000000-0010-0000-5700-00000B000000}" name="CAGR" dataDxfId="307" totalsRowDxfId="306" dataCellStyle="쉼표 [0]"/>
  </tableColumns>
  <tableStyleInfo name="TableStyleLight1"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58000000}" name="표8" displayName="표8" ref="D57:K64" totalsRowCount="1" headerRowDxfId="305" dataDxfId="304" headerRowCellStyle="쉼표 [0]" dataCellStyle="쉼표 [0]">
  <autoFilter ref="D57:K63" xr:uid="{00000000-0009-0000-0100-000008000000}"/>
  <tableColumns count="8">
    <tableColumn id="1" xr3:uid="{00000000-0010-0000-5800-000001000000}" name="구분" dataDxfId="303" totalsRowDxfId="302" dataCellStyle="쉼표 [0]"/>
    <tableColumn id="2" xr3:uid="{00000000-0010-0000-5800-000002000000}" name="2018년 " dataDxfId="301" totalsRowDxfId="300" dataCellStyle="쉼표 [0]"/>
    <tableColumn id="3" xr3:uid="{00000000-0010-0000-5800-000003000000}" name="2019년" dataDxfId="299" totalsRowDxfId="298" dataCellStyle="쉼표 [0]"/>
    <tableColumn id="4" xr3:uid="{00000000-0010-0000-5800-000004000000}" name="2020년" dataDxfId="297" totalsRowDxfId="296" dataCellStyle="쉼표 [0]"/>
    <tableColumn id="5" xr3:uid="{00000000-0010-0000-5800-000005000000}" name="2021년" dataDxfId="295" totalsRowDxfId="294" dataCellStyle="쉼표 [0]"/>
    <tableColumn id="6" xr3:uid="{00000000-0010-0000-5800-000006000000}" name="2022년" dataDxfId="293" totalsRowDxfId="292" dataCellStyle="쉼표 [0]"/>
    <tableColumn id="7" xr3:uid="{00000000-0010-0000-5800-000007000000}" name="2023년" dataDxfId="291" totalsRowDxfId="290" dataCellStyle="쉼표 [0]"/>
    <tableColumn id="8" xr3:uid="{00000000-0010-0000-5800-000008000000}" name="CAGR" dataDxfId="289" totalsRowDxfId="288" dataCellStyle="쉼표 [0]"/>
  </tableColumns>
  <tableStyleInfo name="TableStyleLight1"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59000000}" name="표9" displayName="표9" ref="D84:J91" totalsRowCount="1" headerRowDxfId="287" dataDxfId="286" headerRowCellStyle="쉼표 [0]" dataCellStyle="쉼표 [0]">
  <autoFilter ref="D84:J90" xr:uid="{00000000-0009-0000-0100-000009000000}"/>
  <tableColumns count="7">
    <tableColumn id="1" xr3:uid="{00000000-0010-0000-5900-000001000000}" name="구분" dataDxfId="285" totalsRowDxfId="284" dataCellStyle="쉼표 [0]"/>
    <tableColumn id="2" xr3:uid="{00000000-0010-0000-5900-000002000000}" name="2018년 " dataDxfId="283" totalsRowDxfId="282" dataCellStyle="쉼표 [0]"/>
    <tableColumn id="3" xr3:uid="{00000000-0010-0000-5900-000003000000}" name="2019년" dataDxfId="281" totalsRowDxfId="280" dataCellStyle="쉼표 [0]"/>
    <tableColumn id="4" xr3:uid="{00000000-0010-0000-5900-000004000000}" name="2020년" dataDxfId="279" totalsRowDxfId="278" dataCellStyle="쉼표 [0]"/>
    <tableColumn id="5" xr3:uid="{00000000-0010-0000-5900-000005000000}" name="2021년" dataDxfId="277" totalsRowDxfId="276" dataCellStyle="쉼표 [0]"/>
    <tableColumn id="6" xr3:uid="{00000000-0010-0000-5900-000006000000}" name="2022년" dataDxfId="275" totalsRowDxfId="274" dataCellStyle="쉼표 [0]"/>
    <tableColumn id="7" xr3:uid="{00000000-0010-0000-5900-000007000000}" name="2023년" dataDxfId="273" totalsRowDxfId="272" dataCellStyle="쉼표 [0]"/>
  </tableColumns>
  <tableStyleInfo name="TableStyleLight1"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00000000-000C-0000-FFFF-FFFF5A000000}" name="표9_105" displayName="표9_105" ref="D113:J118" totalsRowCount="1" headerRowDxfId="271" dataDxfId="270" headerRowCellStyle="쉼표 [0]" dataCellStyle="쉼표 [0]">
  <autoFilter ref="D113:J117" xr:uid="{00000000-0009-0000-0100-000068000000}"/>
  <tableColumns count="7">
    <tableColumn id="1" xr3:uid="{00000000-0010-0000-5A00-000001000000}" name="구분" dataDxfId="269" totalsRowDxfId="268" dataCellStyle="쉼표 [0]"/>
    <tableColumn id="2" xr3:uid="{00000000-0010-0000-5A00-000002000000}" name="2018년 " totalsRowFunction="custom" dataDxfId="267" totalsRowDxfId="266" dataCellStyle="쉼표 [0]">
      <totalsRowFormula>SUM(E114:E117)</totalsRowFormula>
    </tableColumn>
    <tableColumn id="3" xr3:uid="{00000000-0010-0000-5A00-000003000000}" name="2019년" dataDxfId="265" totalsRowDxfId="264" dataCellStyle="쉼표 [0]"/>
    <tableColumn id="4" xr3:uid="{00000000-0010-0000-5A00-000004000000}" name="2020년" dataDxfId="263" totalsRowDxfId="262" dataCellStyle="쉼표 [0]"/>
    <tableColumn id="5" xr3:uid="{00000000-0010-0000-5A00-000005000000}" name="2021년" dataDxfId="261" totalsRowDxfId="260" dataCellStyle="쉼표 [0]"/>
    <tableColumn id="6" xr3:uid="{00000000-0010-0000-5A00-000006000000}" name="2022년" dataDxfId="259" totalsRowDxfId="258" dataCellStyle="쉼표 [0]"/>
    <tableColumn id="7" xr3:uid="{00000000-0010-0000-5A00-000007000000}" name="2023년" dataDxfId="257" totalsRowDxfId="256" dataCellStyle="쉼표 [0]"/>
  </tableColumns>
  <tableStyleInfo name="TableStyleLight1"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5B000000}" name="표6_36" displayName="표6_36" ref="D5:L7" totalsRowShown="0" headerRowDxfId="255" dataDxfId="254" headerRowCellStyle="쉼표 [0]" dataCellStyle="쉼표 [0]">
  <autoFilter ref="D5:L7" xr:uid="{00000000-0009-0000-0100-000023000000}"/>
  <tableColumns count="9">
    <tableColumn id="1" xr3:uid="{00000000-0010-0000-5B00-000001000000}" name="구분" dataDxfId="253" dataCellStyle="쉼표 [0]"/>
    <tableColumn id="2" xr3:uid="{00000000-0010-0000-5B00-000002000000}" name="2019년" dataDxfId="252" dataCellStyle="쉼표 [0]"/>
    <tableColumn id="3" xr3:uid="{00000000-0010-0000-5B00-000003000000}" name="2020년" dataDxfId="251"/>
    <tableColumn id="4" xr3:uid="{00000000-0010-0000-5B00-000004000000}" name="2021년" dataDxfId="250"/>
    <tableColumn id="5" xr3:uid="{00000000-0010-0000-5B00-000005000000}" name="2022년" dataDxfId="249"/>
    <tableColumn id="6" xr3:uid="{00000000-0010-0000-5B00-000006000000}" name="2023년" dataDxfId="248"/>
    <tableColumn id="7" xr3:uid="{00000000-0010-0000-5B00-000007000000}" name="2024년" dataDxfId="247"/>
    <tableColumn id="8" xr3:uid="{00000000-0010-0000-5B00-000008000000}" name="2025년" dataDxfId="246"/>
    <tableColumn id="11" xr3:uid="{00000000-0010-0000-5B00-00000B000000}" name="CAGR" dataDxfId="245" dataCellStyle="쉼표 [0]"/>
  </tableColumns>
  <tableStyleInfo name="TableStyleLight1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00000000-000C-0000-FFFF-FFFF5C000000}" name="표7_65" displayName="표7_65" ref="D30:K41" totalsRowCount="1" headerRowDxfId="244" dataDxfId="243" headerRowCellStyle="쉼표 [0]" dataCellStyle="쉼표 [0]">
  <autoFilter ref="D30:K40" xr:uid="{00000000-0009-0000-0100-000040000000}"/>
  <tableColumns count="8">
    <tableColumn id="1" xr3:uid="{00000000-0010-0000-5C00-000001000000}" name="구분" dataDxfId="242" totalsRowDxfId="241" dataCellStyle="쉼표 [0]"/>
    <tableColumn id="2" xr3:uid="{00000000-0010-0000-5C00-000002000000}" name="2019년" dataDxfId="240" totalsRowDxfId="239" dataCellStyle="쉼표 [0]"/>
    <tableColumn id="3" xr3:uid="{00000000-0010-0000-5C00-000003000000}" name="2020년" dataDxfId="238" totalsRowDxfId="237" dataCellStyle="쉼표 [0]"/>
    <tableColumn id="4" xr3:uid="{00000000-0010-0000-5C00-000004000000}" name="2021년" dataDxfId="236" totalsRowDxfId="235" dataCellStyle="쉼표 [0]"/>
    <tableColumn id="5" xr3:uid="{00000000-0010-0000-5C00-000005000000}" name="2022년" dataDxfId="234" totalsRowDxfId="233" dataCellStyle="쉼표 [0]"/>
    <tableColumn id="6" xr3:uid="{00000000-0010-0000-5C00-000006000000}" name="2023년" dataDxfId="232" totalsRowDxfId="231" dataCellStyle="쉼표 [0]"/>
    <tableColumn id="7" xr3:uid="{00000000-0010-0000-5C00-000007000000}" name="2024년" dataDxfId="230" totalsRowDxfId="229" dataCellStyle="쉼표 [0]"/>
    <tableColumn id="8" xr3:uid="{00000000-0010-0000-5C00-000008000000}" name="2025년" dataDxfId="228" totalsRowDxfId="227" dataCellStyle="쉼표 [0]"/>
  </tableColumns>
  <tableStyleInfo name="TableStyleLight1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5D000000}" name="표7_6513" displayName="표7_6513" ref="D62:K66" totalsRowCount="1" headerRowDxfId="226" dataDxfId="225" headerRowCellStyle="쉼표 [0]" dataCellStyle="쉼표 [0]">
  <autoFilter ref="D62:K65" xr:uid="{00000000-0009-0000-0100-00000C000000}"/>
  <tableColumns count="8">
    <tableColumn id="1" xr3:uid="{00000000-0010-0000-5D00-000001000000}" name="구분" dataDxfId="224" totalsRowDxfId="223" dataCellStyle="쉼표 [0]"/>
    <tableColumn id="2" xr3:uid="{00000000-0010-0000-5D00-000002000000}" name="2019년" dataDxfId="222" totalsRowDxfId="221" dataCellStyle="쉼표 [0]"/>
    <tableColumn id="3" xr3:uid="{00000000-0010-0000-5D00-000003000000}" name="2020년" dataDxfId="220" totalsRowDxfId="219" dataCellStyle="쉼표 [0]"/>
    <tableColumn id="4" xr3:uid="{00000000-0010-0000-5D00-000004000000}" name="2021년" dataDxfId="218" totalsRowDxfId="217" dataCellStyle="쉼표 [0]"/>
    <tableColumn id="5" xr3:uid="{00000000-0010-0000-5D00-000005000000}" name="2022년" dataDxfId="216" totalsRowDxfId="215" dataCellStyle="쉼표 [0]"/>
    <tableColumn id="6" xr3:uid="{00000000-0010-0000-5D00-000006000000}" name="2023년" dataDxfId="214" totalsRowDxfId="213" dataCellStyle="쉼표 [0]"/>
    <tableColumn id="7" xr3:uid="{00000000-0010-0000-5D00-000007000000}" name="2024년" dataDxfId="212" totalsRowDxfId="211" dataCellStyle="쉼표 [0]"/>
    <tableColumn id="8" xr3:uid="{00000000-0010-0000-5D00-000008000000}" name="2025년" dataDxfId="210" totalsRowDxfId="209" dataCellStyle="쉼표 [0]"/>
  </tableColumns>
  <tableStyleInfo name="TableStyleLight1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00000000-000C-0000-FFFF-FFFF5E000000}" name="표7_651366" displayName="표7_651366" ref="D90:K95" totalsRowCount="1" headerRowDxfId="208" dataDxfId="207" headerRowCellStyle="쉼표 [0]" dataCellStyle="쉼표 [0]">
  <autoFilter ref="D90:K94" xr:uid="{00000000-0009-0000-0100-000041000000}"/>
  <tableColumns count="8">
    <tableColumn id="1" xr3:uid="{00000000-0010-0000-5E00-000001000000}" name="구분" dataDxfId="206" totalsRowDxfId="205" dataCellStyle="쉼표 [0]"/>
    <tableColumn id="2" xr3:uid="{00000000-0010-0000-5E00-000002000000}" name="2019년" dataDxfId="204" totalsRowDxfId="203" dataCellStyle="쉼표 [0]"/>
    <tableColumn id="3" xr3:uid="{00000000-0010-0000-5E00-000003000000}" name="2020년" dataDxfId="202" totalsRowDxfId="201" dataCellStyle="쉼표 [0]"/>
    <tableColumn id="4" xr3:uid="{00000000-0010-0000-5E00-000004000000}" name="2021년" dataDxfId="200" totalsRowDxfId="199" dataCellStyle="쉼표 [0]"/>
    <tableColumn id="5" xr3:uid="{00000000-0010-0000-5E00-000005000000}" name="2022년" dataDxfId="198" totalsRowDxfId="197" dataCellStyle="쉼표 [0]"/>
    <tableColumn id="6" xr3:uid="{00000000-0010-0000-5E00-000006000000}" name="2023년" dataDxfId="196" totalsRowDxfId="195" dataCellStyle="쉼표 [0]"/>
    <tableColumn id="7" xr3:uid="{00000000-0010-0000-5E00-000007000000}" name="2024년" dataDxfId="194" totalsRowDxfId="193" dataCellStyle="쉼표 [0]"/>
    <tableColumn id="8" xr3:uid="{00000000-0010-0000-5E00-000008000000}" name="2025년" dataDxfId="192" totalsRowDxfId="191" dataCellStyle="쉼표 [0]"/>
  </tableColumns>
  <tableStyleInfo name="TableStyleLight1"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5F000000}" name="표6_2" displayName="표6_2" ref="D5:N6" totalsRowShown="0" headerRowDxfId="190" dataDxfId="189" headerRowCellStyle="쉼표 [0]" dataCellStyle="쉼표 [0]">
  <autoFilter ref="D5:N6" xr:uid="{00000000-0009-0000-0100-000001000000}"/>
  <tableColumns count="11">
    <tableColumn id="1" xr3:uid="{00000000-0010-0000-5F00-000001000000}" name="구분" dataDxfId="188" dataCellStyle="쉼표 [0]"/>
    <tableColumn id="2" xr3:uid="{00000000-0010-0000-5F00-000002000000}" name="2017년" dataDxfId="187" dataCellStyle="쉼표 [0]"/>
    <tableColumn id="3" xr3:uid="{00000000-0010-0000-5F00-000003000000}" name="2018년" dataDxfId="186"/>
    <tableColumn id="4" xr3:uid="{00000000-0010-0000-5F00-000004000000}" name="2019년" dataDxfId="185"/>
    <tableColumn id="5" xr3:uid="{00000000-0010-0000-5F00-000005000000}" name="2020년" dataDxfId="184"/>
    <tableColumn id="6" xr3:uid="{00000000-0010-0000-5F00-000006000000}" name="2021년" dataDxfId="183"/>
    <tableColumn id="7" xr3:uid="{00000000-0010-0000-5F00-000007000000}" name="2022년" dataDxfId="182"/>
    <tableColumn id="8" xr3:uid="{00000000-0010-0000-5F00-000008000000}" name="2023년" dataDxfId="181"/>
    <tableColumn id="9" xr3:uid="{00000000-0010-0000-5F00-000009000000}" name="2024년" dataDxfId="180" dataCellStyle="쉼표 [0]"/>
    <tableColumn id="10" xr3:uid="{00000000-0010-0000-5F00-00000A000000}" name="2025년" dataDxfId="179" dataCellStyle="쉼표 [0]"/>
    <tableColumn id="11" xr3:uid="{00000000-0010-0000-5F00-00000B000000}" name="CAGR('19~'25)" dataDxfId="178" dataCellStyle="쉼표 [0]"/>
  </tableColumns>
  <tableStyleInfo name="TableStyleLight1"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60000000}" name="표7_3" displayName="표7_3" ref="D30:M37" totalsRowCount="1" headerRowDxfId="177" dataDxfId="176" headerRowCellStyle="쉼표 [0]" dataCellStyle="쉼표 [0]">
  <autoFilter ref="D30:M36" xr:uid="{00000000-0009-0000-0100-000002000000}"/>
  <tableColumns count="10">
    <tableColumn id="1" xr3:uid="{00000000-0010-0000-6000-000001000000}" name="구분" dataDxfId="175" totalsRowDxfId="174" dataCellStyle="쉼표 [0]"/>
    <tableColumn id="2" xr3:uid="{00000000-0010-0000-6000-000002000000}" name="2017년" dataDxfId="173" totalsRowDxfId="172" dataCellStyle="쉼표 [0]"/>
    <tableColumn id="3" xr3:uid="{00000000-0010-0000-6000-000003000000}" name="2018년" dataDxfId="171" totalsRowDxfId="170" dataCellStyle="쉼표 [0]"/>
    <tableColumn id="4" xr3:uid="{00000000-0010-0000-6000-000004000000}" name="2019년" dataDxfId="169" totalsRowDxfId="168" dataCellStyle="쉼표 [0]"/>
    <tableColumn id="5" xr3:uid="{00000000-0010-0000-6000-000005000000}" name="2020년" dataDxfId="167" totalsRowDxfId="166" dataCellStyle="쉼표 [0]"/>
    <tableColumn id="6" xr3:uid="{00000000-0010-0000-6000-000006000000}" name="2021년" dataDxfId="165" totalsRowDxfId="164" dataCellStyle="쉼표 [0]"/>
    <tableColumn id="7" xr3:uid="{00000000-0010-0000-6000-000007000000}" name="2022년" dataDxfId="163" totalsRowDxfId="162" dataCellStyle="쉼표 [0]"/>
    <tableColumn id="8" xr3:uid="{00000000-0010-0000-6000-000008000000}" name="2023년" dataDxfId="161" totalsRowDxfId="160" dataCellStyle="쉼표 [0]"/>
    <tableColumn id="9" xr3:uid="{00000000-0010-0000-6000-000009000000}" name="2024년" dataDxfId="159" totalsRowDxfId="158" dataCellStyle="쉼표 [0]"/>
    <tableColumn id="10" xr3:uid="{00000000-0010-0000-6000-00000A000000}" name="2025년" dataDxfId="157" totalsRowDxfId="156" dataCellStyle="쉼표 [0]"/>
  </tableColumns>
  <tableStyleInfo name="TableStyleLight1"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00000000-000C-0000-FFFF-FFFF61000000}" name="표6_291" displayName="표6_291" ref="D5:K7" totalsRowShown="0" headerRowDxfId="155" dataDxfId="154" headerRowCellStyle="쉼표 [0]" dataCellStyle="쉼표 [0]">
  <autoFilter ref="D5:K7" xr:uid="{00000000-0009-0000-0100-00005A000000}"/>
  <tableColumns count="8">
    <tableColumn id="1" xr3:uid="{00000000-0010-0000-6100-000001000000}" name="구분" dataDxfId="153" dataCellStyle="쉼표 [0]"/>
    <tableColumn id="2" xr3:uid="{00000000-0010-0000-6100-000002000000}" name="2020년" dataDxfId="152" dataCellStyle="쉼표 [0]"/>
    <tableColumn id="3" xr3:uid="{00000000-0010-0000-6100-000003000000}" name="2021년" dataDxfId="151"/>
    <tableColumn id="4" xr3:uid="{00000000-0010-0000-6100-000004000000}" name="2022년" dataDxfId="150"/>
    <tableColumn id="5" xr3:uid="{00000000-0010-0000-6100-000005000000}" name="2023년" dataDxfId="149"/>
    <tableColumn id="6" xr3:uid="{00000000-0010-0000-6100-000006000000}" name="2024년" dataDxfId="148"/>
    <tableColumn id="7" xr3:uid="{00000000-0010-0000-6100-000007000000}" name="2025년" dataDxfId="147" dataCellStyle="쉼표 [0]"/>
    <tableColumn id="8" xr3:uid="{00000000-0010-0000-6100-000008000000}" name="2026년" dataDxfId="146"/>
  </tableColumns>
  <tableStyleInfo name="TableStyleLight1"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00000000-000C-0000-FFFF-FFFF62000000}" name="표11_100" displayName="표11_100" ref="D29:L32" totalsRowCount="1" headerRowDxfId="145" dataDxfId="144" headerRowCellStyle="쉼표 [0]" dataCellStyle="쉼표 [0]">
  <autoFilter ref="D29:L31" xr:uid="{00000000-0009-0000-0100-000063000000}"/>
  <tableColumns count="9">
    <tableColumn id="1" xr3:uid="{00000000-0010-0000-6200-000001000000}" name="구분" dataDxfId="143" totalsRowDxfId="142" dataCellStyle="쉼표 [0]"/>
    <tableColumn id="2" xr3:uid="{00000000-0010-0000-6200-000002000000}" name="2020년" dataDxfId="141" totalsRowDxfId="140" dataCellStyle="쉼표 [0]"/>
    <tableColumn id="3" xr3:uid="{00000000-0010-0000-6200-000003000000}" name="2021년" dataDxfId="139" totalsRowDxfId="138" dataCellStyle="쉼표 [0]"/>
    <tableColumn id="4" xr3:uid="{00000000-0010-0000-6200-000004000000}" name="2022년" dataDxfId="137" totalsRowDxfId="136" dataCellStyle="쉼표 [0]"/>
    <tableColumn id="5" xr3:uid="{00000000-0010-0000-6200-000005000000}" name="2023년" dataDxfId="135" totalsRowDxfId="134" dataCellStyle="쉼표 [0]"/>
    <tableColumn id="6" xr3:uid="{00000000-0010-0000-6200-000006000000}" name="2024년" dataDxfId="133" totalsRowDxfId="132" dataCellStyle="쉼표 [0]"/>
    <tableColumn id="12" xr3:uid="{00000000-0010-0000-6200-00000C000000}" name="2025년" dataDxfId="131" totalsRowDxfId="130" dataCellStyle="쉼표 [0]"/>
    <tableColumn id="7" xr3:uid="{00000000-0010-0000-6200-000007000000}" name="2026년" dataDxfId="129" totalsRowDxfId="128" dataCellStyle="쉼표 [0]"/>
    <tableColumn id="8" xr3:uid="{00000000-0010-0000-6200-000008000000}" name="CAGR" dataDxfId="127" totalsRowDxfId="126" dataCellStyle="쉼표 [0]"/>
  </tableColumns>
  <tableStyleInfo name="TableStyleLight1"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00000000-000C-0000-FFFF-FFFF63000000}" name="표11_100106" displayName="표11_100106" ref="D52:L56" totalsRowCount="1" headerRowDxfId="125" dataDxfId="124" headerRowCellStyle="쉼표 [0]" dataCellStyle="쉼표 [0]">
  <autoFilter ref="D52:L55" xr:uid="{00000000-0009-0000-0100-000069000000}"/>
  <tableColumns count="9">
    <tableColumn id="1" xr3:uid="{00000000-0010-0000-6300-000001000000}" name="구분" dataDxfId="123" totalsRowDxfId="122" dataCellStyle="쉼표 [0]"/>
    <tableColumn id="2" xr3:uid="{00000000-0010-0000-6300-000002000000}" name="2020년" totalsRowFunction="custom" dataDxfId="121" totalsRowDxfId="120" dataCellStyle="쉼표 [0]">
      <totalsRowFormula>SUM(E53:E55)</totalsRowFormula>
    </tableColumn>
    <tableColumn id="3" xr3:uid="{00000000-0010-0000-6300-000003000000}" name="2021년" dataDxfId="119" totalsRowDxfId="118" dataCellStyle="쉼표 [0]"/>
    <tableColumn id="4" xr3:uid="{00000000-0010-0000-6300-000004000000}" name="2022년" dataDxfId="117" totalsRowDxfId="116" dataCellStyle="쉼표 [0]"/>
    <tableColumn id="5" xr3:uid="{00000000-0010-0000-6300-000005000000}" name="2023년" dataDxfId="115" totalsRowDxfId="114" dataCellStyle="쉼표 [0]"/>
    <tableColumn id="6" xr3:uid="{00000000-0010-0000-6300-000006000000}" name="2024년" dataDxfId="113" totalsRowDxfId="112" dataCellStyle="쉼표 [0]"/>
    <tableColumn id="12" xr3:uid="{00000000-0010-0000-6300-00000C000000}" name="2025년" dataDxfId="111" totalsRowDxfId="110" dataCellStyle="쉼표 [0]"/>
    <tableColumn id="7" xr3:uid="{00000000-0010-0000-6300-000007000000}" name="2026년" dataDxfId="109" totalsRowDxfId="108" dataCellStyle="쉼표 [0]"/>
    <tableColumn id="8" xr3:uid="{00000000-0010-0000-6300-000008000000}" name="CAGR" dataDxfId="107" totalsRowDxfId="106" dataCellStyle="쉼표 [0]"/>
  </tableColumns>
  <tableStyleInfo name="TableStyleLight1" showFirstColumn="0" showLastColumn="0" showRowStripes="1" showColumnStripes="0"/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00000000-000C-0000-FFFF-FFFF64000000}" name="표11_100106107" displayName="표11_100106107" ref="D76:E84" totalsRowCount="1" headerRowDxfId="105" dataDxfId="104" headerRowCellStyle="쉼표 [0]" dataCellStyle="쉼표 [0]">
  <autoFilter ref="D76:E83" xr:uid="{00000000-0009-0000-0100-00006A000000}"/>
  <tableColumns count="2">
    <tableColumn id="1" xr3:uid="{00000000-0010-0000-6400-000001000000}" name="구분" totalsRowLabel=" 합계  " dataDxfId="103" totalsRowDxfId="102" dataCellStyle="쉼표 [0]"/>
    <tableColumn id="2" xr3:uid="{00000000-0010-0000-6400-000002000000}" name="2020년 시장 점유율" totalsRowLabel="100" dataDxfId="101" totalsRowDxfId="100" dataCellStyle="쉼표 [0]"/>
  </tableColumns>
  <tableStyleInfo name="TableStyleLight1" showFirstColumn="0" showLastColumn="0" showRowStripes="1" showColumnStripes="0"/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65000000}" name="표6_29121" displayName="표6_29121" ref="D6:K7" totalsRowShown="0" headerRowDxfId="99" dataDxfId="98" headerRowCellStyle="쉼표 [0]" dataCellStyle="쉼표 [0]">
  <autoFilter ref="D6:K7" xr:uid="{00000000-0009-0000-0100-000014000000}"/>
  <tableColumns count="8">
    <tableColumn id="1" xr3:uid="{00000000-0010-0000-6500-000001000000}" name="구분" dataDxfId="97" dataCellStyle="쉼표 [0]"/>
    <tableColumn id="2" xr3:uid="{00000000-0010-0000-6500-000002000000}" name="2021년"/>
    <tableColumn id="3" xr3:uid="{00000000-0010-0000-6500-000003000000}" name="2022년"/>
    <tableColumn id="4" xr3:uid="{00000000-0010-0000-6500-000004000000}" name="2023년"/>
    <tableColumn id="5" xr3:uid="{00000000-0010-0000-6500-000005000000}" name="2024년"/>
    <tableColumn id="6" xr3:uid="{00000000-0010-0000-6500-000006000000}" name="2025년"/>
    <tableColumn id="7" xr3:uid="{00000000-0010-0000-6500-000007000000}" name="2026년"/>
    <tableColumn id="8" xr3:uid="{00000000-0010-0000-6500-000008000000}" name="2027년"/>
  </tableColumns>
  <tableStyleInfo name="TableStyleLight1" showFirstColumn="0" showLastColumn="0" showRowStripes="1" showColumnStripes="0"/>
</table>
</file>

<file path=xl/tables/table1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66000000}" name="표11_10022" displayName="표11_10022" ref="D29:K36" totalsRowCount="1" headerRowDxfId="96" dataDxfId="95" headerRowCellStyle="쉼표 [0]" dataCellStyle="쉼표 [0]">
  <autoFilter ref="D29:K35" xr:uid="{00000000-0009-0000-0100-000015000000}"/>
  <tableColumns count="8">
    <tableColumn id="1" xr3:uid="{00000000-0010-0000-6600-000001000000}" name="구분" dataDxfId="94" totalsRowDxfId="93" dataCellStyle="쉼표 [0]"/>
    <tableColumn id="2" xr3:uid="{00000000-0010-0000-6600-000002000000}" name="2021년" dataDxfId="92" totalsRowDxfId="91" dataCellStyle="쉼표 [0]"/>
    <tableColumn id="3" xr3:uid="{00000000-0010-0000-6600-000003000000}" name="2022년" dataDxfId="90" totalsRowDxfId="89" dataCellStyle="쉼표 [0]"/>
    <tableColumn id="4" xr3:uid="{00000000-0010-0000-6600-000004000000}" name="2023년" dataDxfId="88" totalsRowDxfId="87" dataCellStyle="쉼표 [0]"/>
    <tableColumn id="5" xr3:uid="{00000000-0010-0000-6600-000005000000}" name="2024년" dataDxfId="86" totalsRowDxfId="85" dataCellStyle="쉼표 [0]"/>
    <tableColumn id="6" xr3:uid="{00000000-0010-0000-6600-000006000000}" name="2025년" dataDxfId="84" totalsRowDxfId="83" dataCellStyle="쉼표 [0]"/>
    <tableColumn id="12" xr3:uid="{00000000-0010-0000-6600-00000C000000}" name="2026년" dataDxfId="82" totalsRowDxfId="81" dataCellStyle="쉼표 [0]"/>
    <tableColumn id="7" xr3:uid="{00000000-0010-0000-6600-000007000000}" name="2027년" dataDxfId="80" totalsRowDxfId="79" dataCellStyle="쉼표 [0]"/>
  </tableColumns>
  <tableStyleInfo name="TableStyleLight1" showFirstColumn="0" showLastColumn="0" showRowStripes="1" showColumnStripes="0"/>
</table>
</file>

<file path=xl/tables/table1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00000000-000C-0000-FFFF-FFFF67000000}" name="표11_10010697" displayName="표11_10010697" ref="D56:F62" totalsRowCount="1" headerRowDxfId="78" dataDxfId="77" headerRowCellStyle="쉼표 [0]" dataCellStyle="쉼표 [0]">
  <autoFilter ref="D56:F61" xr:uid="{00000000-0009-0000-0100-000060000000}"/>
  <tableColumns count="3">
    <tableColumn id="1" xr3:uid="{00000000-0010-0000-6700-000001000000}" name="구분" totalsRowLabel=" 합계 " dataDxfId="76" totalsRowDxfId="75" dataCellStyle="쉼표 [0]"/>
    <tableColumn id="2" xr3:uid="{00000000-0010-0000-6700-000002000000}" name="시장 규모" totalsRowLabel="36.68" dataDxfId="74" totalsRowDxfId="73" dataCellStyle="쉼표 [0]"/>
    <tableColumn id="3" xr3:uid="{00000000-0010-0000-6700-000003000000}" name="점유율" totalsRowFunction="custom" dataDxfId="72" totalsRowDxfId="71" dataCellStyle="백분율">
      <totalsRowFormula>SUM(F57:F61)</totalsRowFormula>
    </tableColumn>
  </tableColumns>
  <tableStyleInfo name="TableStyleLight1" showFirstColumn="0" showLastColumn="0" showRowStripes="1" showColumnStripes="0"/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00000000-000C-0000-FFFF-FFFF68000000}" name="표11_100106107101" displayName="표11_100106107101" ref="D83:E88" totalsRowCount="1" headerRowDxfId="70" dataDxfId="69" headerRowCellStyle="쉼표 [0]" dataCellStyle="쉼표 [0]">
  <autoFilter ref="D83:E87" xr:uid="{00000000-0009-0000-0100-000064000000}"/>
  <tableColumns count="2">
    <tableColumn id="1" xr3:uid="{00000000-0010-0000-6800-000001000000}" name="구분" dataDxfId="68" totalsRowDxfId="67" dataCellStyle="쉼표 [0]"/>
    <tableColumn id="2" xr3:uid="{00000000-0010-0000-6800-000002000000}" name="2021년 시장 점유율(%)" dataDxfId="66" totalsRowDxfId="65" dataCellStyle="쉼표 [0]"/>
  </tableColumns>
  <tableStyleInfo name="TableStyleLight1" showFirstColumn="0" showLastColumn="0" showRowStripes="1" showColumnStripes="0"/>
</table>
</file>

<file path=xl/tables/table1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00000000-000C-0000-FFFF-FFFF69000000}" name="표11_100106107101102" displayName="표11_100106107101102" ref="D109:E115" totalsRowCount="1" headerRowDxfId="64" dataDxfId="63" totalsRowDxfId="62" headerRowCellStyle="쉼표 [0]" dataCellStyle="쉼표 [0]">
  <autoFilter ref="D109:E114" xr:uid="{00000000-0009-0000-0100-000065000000}"/>
  <tableColumns count="2">
    <tableColumn id="1" xr3:uid="{00000000-0010-0000-6900-000001000000}" name="구분" dataDxfId="61" totalsRowDxfId="60" dataCellStyle="쉼표 [0]"/>
    <tableColumn id="2" xr3:uid="{00000000-0010-0000-6900-000002000000}" name="2021년 시장 점유율(%)" dataDxfId="59" totalsRowDxfId="58" dataCellStyle="쉼표 [0]"/>
  </tableColumns>
  <tableStyleInfo name="TableStyleLight1" showFirstColumn="0" showLastColumn="0" showRowStripes="1" showColumnStripes="0"/>
</table>
</file>

<file path=xl/tables/table1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00000000-000C-0000-FFFF-FFFF6A000000}" name="표6_29121108" displayName="표6_29121108" ref="D137:K138" totalsRowShown="0" headerRowDxfId="57" dataDxfId="56" headerRowCellStyle="쉼표 [0]" dataCellStyle="쉼표 [0]">
  <autoFilter ref="D137:K138" xr:uid="{00000000-0009-0000-0100-00006B000000}"/>
  <tableColumns count="8">
    <tableColumn id="1" xr3:uid="{00000000-0010-0000-6A00-000001000000}" name="구분" dataDxfId="55" dataCellStyle="쉼표 [0]"/>
    <tableColumn id="2" xr3:uid="{00000000-0010-0000-6A00-000002000000}" name="2021년" dataDxfId="54"/>
    <tableColumn id="3" xr3:uid="{00000000-0010-0000-6A00-000003000000}" name="2022년" dataDxfId="53"/>
    <tableColumn id="4" xr3:uid="{00000000-0010-0000-6A00-000004000000}" name="2023년" dataDxfId="52"/>
    <tableColumn id="5" xr3:uid="{00000000-0010-0000-6A00-000005000000}" name="2024년" dataDxfId="51"/>
    <tableColumn id="6" xr3:uid="{00000000-0010-0000-6A00-000006000000}" name="2025년" dataDxfId="50"/>
    <tableColumn id="7" xr3:uid="{00000000-0010-0000-6A00-000007000000}" name="2026년" dataDxfId="49"/>
    <tableColumn id="8" xr3:uid="{00000000-0010-0000-6A00-000008000000}" name="2027년" dataDxfId="48"/>
  </tableColumns>
  <tableStyleInfo name="TableStyleLight1" showFirstColumn="0" showLastColumn="0" showRowStripes="1" showColumnStripes="0"/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00000000-000C-0000-FFFF-FFFF6B000000}" name="표11_10022109" displayName="표11_10022109" ref="D160:F167" totalsRowCount="1" headerRowDxfId="47" dataDxfId="46" headerRowCellStyle="쉼표 [0]" dataCellStyle="쉼표 [0]">
  <autoFilter ref="D160:F166" xr:uid="{00000000-0009-0000-0100-00006C000000}"/>
  <tableColumns count="3">
    <tableColumn id="1" xr3:uid="{00000000-0010-0000-6B00-000001000000}" name="구분" dataDxfId="45" totalsRowDxfId="44" dataCellStyle="쉼표 [0]"/>
    <tableColumn id="2" xr3:uid="{00000000-0010-0000-6B00-000002000000}" name=" 시장규모" dataDxfId="43" totalsRowDxfId="42" dataCellStyle="쉼표 [0]"/>
    <tableColumn id="3" xr3:uid="{00000000-0010-0000-6B00-000003000000}" name="점유율" dataDxfId="41" totalsRowDxfId="40" dataCellStyle="쉼표 [0]"/>
  </tableColumns>
  <tableStyleInfo name="TableStyleLight1" showFirstColumn="0" showLastColumn="0" showRowStripes="1" showColumnStripes="0"/>
</table>
</file>

<file path=xl/tables/table1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00000000-000C-0000-FFFF-FFFF6C000000}" name="표11_10010697110" displayName="표11_10010697110" ref="D187:F193" totalsRowCount="1" headerRowDxfId="39" dataDxfId="38" headerRowCellStyle="쉼표 [0]" dataCellStyle="쉼표 [0]">
  <autoFilter ref="D187:F192" xr:uid="{00000000-0009-0000-0100-00006D000000}"/>
  <tableColumns count="3">
    <tableColumn id="1" xr3:uid="{00000000-0010-0000-6C00-000001000000}" name="구분" dataDxfId="37" totalsRowDxfId="36" dataCellStyle="쉼표 [0]"/>
    <tableColumn id="2" xr3:uid="{00000000-0010-0000-6C00-000002000000}" name="시장 규모" dataDxfId="35" totalsRowDxfId="34" dataCellStyle="쉼표 [0]"/>
    <tableColumn id="3" xr3:uid="{00000000-0010-0000-6C00-000003000000}" name="점유율" dataDxfId="33" totalsRowDxfId="32" dataCellStyle="쉼표 [0]">
      <calculatedColumnFormula>표11_10010697110[[#This Row],[시장 규모]]/표11_10010697110[[#Totals],[시장 규모]]</calculatedColumnFormula>
    </tableColumn>
  </tableColumns>
  <tableStyleInfo name="TableStyleLight1" showFirstColumn="0" showLastColumn="0" showRowStripes="1" showColumnStripes="0"/>
</table>
</file>

<file path=xl/tables/table1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00000000-000C-0000-FFFF-FFFF6D000000}" name="표11_100106107101111" displayName="표11_100106107101111" ref="D214:E219" totalsRowCount="1" headerRowDxfId="31" dataDxfId="30" headerRowCellStyle="쉼표 [0]" dataCellStyle="쉼표 [0]">
  <autoFilter ref="D214:E218" xr:uid="{00000000-0009-0000-0100-00006E000000}"/>
  <tableColumns count="2">
    <tableColumn id="1" xr3:uid="{00000000-0010-0000-6D00-000001000000}" name="구분" dataDxfId="29" totalsRowDxfId="28" dataCellStyle="쉼표 [0]"/>
    <tableColumn id="2" xr3:uid="{00000000-0010-0000-6D00-000002000000}" name="2021년 시장 점유율(%)" dataDxfId="27" totalsRowDxfId="26" dataCellStyle="쉼표 [0]"/>
  </tableColumns>
  <tableStyleInfo name="TableStyleLight1" showFirstColumn="0" showLastColumn="0" showRowStripes="1" showColumnStripes="0"/>
</table>
</file>

<file path=xl/tables/table1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00000000-000C-0000-FFFF-FFFF6E000000}" name="표11_100106107101102112" displayName="표11_100106107101102112" ref="D240:E246" totalsRowCount="1" headerRowDxfId="25" dataDxfId="24" totalsRowDxfId="23" headerRowCellStyle="쉼표 [0]" dataCellStyle="쉼표 [0]">
  <autoFilter ref="D240:E245" xr:uid="{00000000-0009-0000-0100-00006F000000}"/>
  <tableColumns count="2">
    <tableColumn id="1" xr3:uid="{00000000-0010-0000-6E00-000001000000}" name="구분" dataDxfId="22" totalsRowDxfId="21" dataCellStyle="쉼표 [0]"/>
    <tableColumn id="2" xr3:uid="{00000000-0010-0000-6E00-000002000000}" name="2021년 시장 점유율(%)" dataDxfId="20" totalsRowDxfId="19" dataCellStyle="쉼표 [0]"/>
  </tableColumns>
  <tableStyleInfo name="TableStyleLight1" showFirstColumn="0" showLastColumn="0" showRowStripes="1" showColumnStripes="0"/>
</table>
</file>

<file path=xl/tables/table1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00000000-000C-0000-FFFF-FFFF6F000000}" name="표11_100102" displayName="표11_100102" ref="D29:K32" totalsRowShown="0" headerRowDxfId="18" dataDxfId="17" headerRowCellStyle="쉼표 [0]" dataCellStyle="쉼표 [0]">
  <autoFilter ref="D29:K32" xr:uid="{00000000-0009-0000-0100-000073000000}"/>
  <tableColumns count="8">
    <tableColumn id="1" xr3:uid="{00000000-0010-0000-6F00-000001000000}" name="구분" dataDxfId="16" dataCellStyle="쉼표 [0]"/>
    <tableColumn id="2" xr3:uid="{00000000-0010-0000-6F00-000002000000}" name="2021년" dataDxfId="15" dataCellStyle="쉼표 [0]"/>
    <tableColumn id="3" xr3:uid="{00000000-0010-0000-6F00-000003000000}" name="2022년" dataDxfId="14" dataCellStyle="쉼표 [0]"/>
    <tableColumn id="4" xr3:uid="{00000000-0010-0000-6F00-000004000000}" name="2023년" dataDxfId="13" dataCellStyle="쉼표 [0]"/>
    <tableColumn id="5" xr3:uid="{00000000-0010-0000-6F00-000005000000}" name="2024년" dataDxfId="12" dataCellStyle="쉼표 [0]"/>
    <tableColumn id="6" xr3:uid="{00000000-0010-0000-6F00-000006000000}" name="2025년" dataDxfId="11" dataCellStyle="쉼표 [0]"/>
    <tableColumn id="12" xr3:uid="{00000000-0010-0000-6F00-00000C000000}" name="2026년" dataDxfId="10" dataCellStyle="쉼표 [0]"/>
    <tableColumn id="7" xr3:uid="{00000000-0010-0000-6F00-000007000000}" name="CAGR" dataDxfId="9" dataCellStyle="쉼표 [0]"/>
  </tableColumns>
  <tableStyleInfo name="TableStyleLight1" showFirstColumn="0" showLastColumn="0" showRowStripes="1" showColumnStripes="0"/>
</table>
</file>

<file path=xl/tables/table1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00000000-000C-0000-FFFF-FFFF70000000}" name="표6_291101" displayName="표6_291101" ref="D6:J7" totalsRowShown="0" headerRowDxfId="8" dataDxfId="7" headerRowCellStyle="쉼표 [0]" dataCellStyle="쉼표 [0]">
  <autoFilter ref="D6:J7" xr:uid="{00000000-0009-0000-0100-000075000000}"/>
  <tableColumns count="7">
    <tableColumn id="1" xr3:uid="{00000000-0010-0000-7000-000001000000}" name="구분" dataDxfId="6" dataCellStyle="쉼표 [0]"/>
    <tableColumn id="2" xr3:uid="{00000000-0010-0000-7000-000002000000}" name="2021년" dataDxfId="5" dataCellStyle="쉼표 [0]"/>
    <tableColumn id="3" xr3:uid="{00000000-0010-0000-7000-000003000000}" name="2022년" dataDxfId="4"/>
    <tableColumn id="4" xr3:uid="{00000000-0010-0000-7000-000004000000}" name="2023년" dataDxfId="3"/>
    <tableColumn id="5" xr3:uid="{00000000-0010-0000-7000-000005000000}" name="2024년" dataDxfId="2"/>
    <tableColumn id="6" xr3:uid="{00000000-0010-0000-7000-000006000000}" name="2025년" dataDxfId="1"/>
    <tableColumn id="7" xr3:uid="{00000000-0010-0000-7000-000007000000}" name="2026년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13" Type="http://schemas.openxmlformats.org/officeDocument/2006/relationships/table" Target="../tables/table8.xml"/><Relationship Id="rId18" Type="http://schemas.openxmlformats.org/officeDocument/2006/relationships/table" Target="../tables/table13.xml"/><Relationship Id="rId26" Type="http://schemas.openxmlformats.org/officeDocument/2006/relationships/table" Target="../tables/table21.xml"/><Relationship Id="rId3" Type="http://schemas.openxmlformats.org/officeDocument/2006/relationships/hyperlink" Target="https://www.nistep.go.jp/research/science-and-technology-indicators-and-scientometrics/indicators" TargetMode="External"/><Relationship Id="rId21" Type="http://schemas.openxmlformats.org/officeDocument/2006/relationships/table" Target="../tables/table16.x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17" Type="http://schemas.openxmlformats.org/officeDocument/2006/relationships/table" Target="../tables/table12.xml"/><Relationship Id="rId25" Type="http://schemas.openxmlformats.org/officeDocument/2006/relationships/table" Target="../tables/table20.xml"/><Relationship Id="rId2" Type="http://schemas.openxmlformats.org/officeDocument/2006/relationships/hyperlink" Target="https://bio.nikkeibp.co.jp/atclyb/21/112800046/" TargetMode="External"/><Relationship Id="rId16" Type="http://schemas.openxmlformats.org/officeDocument/2006/relationships/table" Target="../tables/table11.xml"/><Relationship Id="rId20" Type="http://schemas.openxmlformats.org/officeDocument/2006/relationships/table" Target="../tables/table15.xml"/><Relationship Id="rId29" Type="http://schemas.openxmlformats.org/officeDocument/2006/relationships/table" Target="../tables/table24.xml"/><Relationship Id="rId1" Type="http://schemas.openxmlformats.org/officeDocument/2006/relationships/hyperlink" Target="http://index.go.kr/main.do?cate=1" TargetMode="External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24" Type="http://schemas.openxmlformats.org/officeDocument/2006/relationships/table" Target="../tables/table19.xml"/><Relationship Id="rId5" Type="http://schemas.openxmlformats.org/officeDocument/2006/relationships/drawing" Target="../drawings/drawing2.xml"/><Relationship Id="rId15" Type="http://schemas.openxmlformats.org/officeDocument/2006/relationships/table" Target="../tables/table10.xml"/><Relationship Id="rId23" Type="http://schemas.openxmlformats.org/officeDocument/2006/relationships/table" Target="../tables/table18.xml"/><Relationship Id="rId28" Type="http://schemas.openxmlformats.org/officeDocument/2006/relationships/table" Target="../tables/table23.xml"/><Relationship Id="rId10" Type="http://schemas.openxmlformats.org/officeDocument/2006/relationships/table" Target="../tables/table5.xml"/><Relationship Id="rId19" Type="http://schemas.openxmlformats.org/officeDocument/2006/relationships/table" Target="../tables/table14.xml"/><Relationship Id="rId4" Type="http://schemas.openxmlformats.org/officeDocument/2006/relationships/printerSettings" Target="../printerSettings/printerSettings2.bin"/><Relationship Id="rId9" Type="http://schemas.openxmlformats.org/officeDocument/2006/relationships/table" Target="../tables/table4.xml"/><Relationship Id="rId14" Type="http://schemas.openxmlformats.org/officeDocument/2006/relationships/table" Target="../tables/table9.xml"/><Relationship Id="rId22" Type="http://schemas.openxmlformats.org/officeDocument/2006/relationships/table" Target="../tables/table17.xml"/><Relationship Id="rId27" Type="http://schemas.openxmlformats.org/officeDocument/2006/relationships/table" Target="../tables/table22.xml"/><Relationship Id="rId30" Type="http://schemas.openxmlformats.org/officeDocument/2006/relationships/table" Target="../tables/table2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1.xml"/><Relationship Id="rId13" Type="http://schemas.openxmlformats.org/officeDocument/2006/relationships/table" Target="../tables/table36.xml"/><Relationship Id="rId3" Type="http://schemas.openxmlformats.org/officeDocument/2006/relationships/table" Target="../tables/table26.xml"/><Relationship Id="rId7" Type="http://schemas.openxmlformats.org/officeDocument/2006/relationships/table" Target="../tables/table30.xml"/><Relationship Id="rId12" Type="http://schemas.openxmlformats.org/officeDocument/2006/relationships/table" Target="../tables/table35.xml"/><Relationship Id="rId17" Type="http://schemas.openxmlformats.org/officeDocument/2006/relationships/table" Target="../tables/table40.xml"/><Relationship Id="rId2" Type="http://schemas.openxmlformats.org/officeDocument/2006/relationships/drawing" Target="../drawings/drawing23.xml"/><Relationship Id="rId16" Type="http://schemas.openxmlformats.org/officeDocument/2006/relationships/table" Target="../tables/table39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9.xml"/><Relationship Id="rId11" Type="http://schemas.openxmlformats.org/officeDocument/2006/relationships/table" Target="../tables/table34.xml"/><Relationship Id="rId5" Type="http://schemas.openxmlformats.org/officeDocument/2006/relationships/table" Target="../tables/table28.xml"/><Relationship Id="rId15" Type="http://schemas.openxmlformats.org/officeDocument/2006/relationships/table" Target="../tables/table38.xml"/><Relationship Id="rId10" Type="http://schemas.openxmlformats.org/officeDocument/2006/relationships/table" Target="../tables/table33.xml"/><Relationship Id="rId4" Type="http://schemas.openxmlformats.org/officeDocument/2006/relationships/table" Target="../tables/table27.xml"/><Relationship Id="rId9" Type="http://schemas.openxmlformats.org/officeDocument/2006/relationships/table" Target="../tables/table32.xml"/><Relationship Id="rId14" Type="http://schemas.openxmlformats.org/officeDocument/2006/relationships/table" Target="../tables/table3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4.xml"/><Relationship Id="rId5" Type="http://schemas.openxmlformats.org/officeDocument/2006/relationships/table" Target="../tables/table43.xml"/><Relationship Id="rId4" Type="http://schemas.openxmlformats.org/officeDocument/2006/relationships/table" Target="../tables/table4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8.xml"/><Relationship Id="rId5" Type="http://schemas.openxmlformats.org/officeDocument/2006/relationships/table" Target="../tables/table47.xml"/><Relationship Id="rId4" Type="http://schemas.openxmlformats.org/officeDocument/2006/relationships/table" Target="../tables/table4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38.xml"/><Relationship Id="rId13" Type="http://schemas.openxmlformats.org/officeDocument/2006/relationships/table" Target="../tables/table53.xml"/><Relationship Id="rId18" Type="http://schemas.openxmlformats.org/officeDocument/2006/relationships/table" Target="../tables/table58.xml"/><Relationship Id="rId26" Type="http://schemas.openxmlformats.org/officeDocument/2006/relationships/table" Target="../tables/table66.xml"/><Relationship Id="rId3" Type="http://schemas.openxmlformats.org/officeDocument/2006/relationships/hyperlink" Target="https://www.pharmnews.com/news/articleView.html?idxno=202966" TargetMode="External"/><Relationship Id="rId21" Type="http://schemas.openxmlformats.org/officeDocument/2006/relationships/table" Target="../tables/table61.xml"/><Relationship Id="rId7" Type="http://schemas.openxmlformats.org/officeDocument/2006/relationships/printerSettings" Target="../printerSettings/printerSettings6.bin"/><Relationship Id="rId12" Type="http://schemas.openxmlformats.org/officeDocument/2006/relationships/table" Target="../tables/table52.xml"/><Relationship Id="rId17" Type="http://schemas.openxmlformats.org/officeDocument/2006/relationships/table" Target="../tables/table57.xml"/><Relationship Id="rId25" Type="http://schemas.openxmlformats.org/officeDocument/2006/relationships/table" Target="../tables/table65.xml"/><Relationship Id="rId2" Type="http://schemas.openxmlformats.org/officeDocument/2006/relationships/hyperlink" Target="https://www.pharmexec.com/view/2022-pharm-exec-top-50-companies" TargetMode="External"/><Relationship Id="rId16" Type="http://schemas.openxmlformats.org/officeDocument/2006/relationships/table" Target="../tables/table56.xml"/><Relationship Id="rId20" Type="http://schemas.openxmlformats.org/officeDocument/2006/relationships/table" Target="../tables/table60.xml"/><Relationship Id="rId29" Type="http://schemas.openxmlformats.org/officeDocument/2006/relationships/table" Target="../tables/table69.xml"/><Relationship Id="rId1" Type="http://schemas.openxmlformats.org/officeDocument/2006/relationships/hyperlink" Target="https://www.pharmnews.com/news/articleView.html?idxno=202431" TargetMode="External"/><Relationship Id="rId6" Type="http://schemas.openxmlformats.org/officeDocument/2006/relationships/hyperlink" Target="https://www.mfds.go.kr/wpge/m_651/de010619l0001.do" TargetMode="External"/><Relationship Id="rId11" Type="http://schemas.openxmlformats.org/officeDocument/2006/relationships/table" Target="../tables/table51.xml"/><Relationship Id="rId24" Type="http://schemas.openxmlformats.org/officeDocument/2006/relationships/table" Target="../tables/table64.xml"/><Relationship Id="rId5" Type="http://schemas.openxmlformats.org/officeDocument/2006/relationships/hyperlink" Target="https://medigatenews.com/news/1650330222" TargetMode="External"/><Relationship Id="rId15" Type="http://schemas.openxmlformats.org/officeDocument/2006/relationships/table" Target="../tables/table55.xml"/><Relationship Id="rId23" Type="http://schemas.openxmlformats.org/officeDocument/2006/relationships/table" Target="../tables/table63.xml"/><Relationship Id="rId28" Type="http://schemas.openxmlformats.org/officeDocument/2006/relationships/table" Target="../tables/table68.xml"/><Relationship Id="rId10" Type="http://schemas.openxmlformats.org/officeDocument/2006/relationships/table" Target="../tables/table50.xml"/><Relationship Id="rId19" Type="http://schemas.openxmlformats.org/officeDocument/2006/relationships/table" Target="../tables/table59.xml"/><Relationship Id="rId4" Type="http://schemas.openxmlformats.org/officeDocument/2006/relationships/hyperlink" Target="https://www.fda.gov/drugs/new-drugs-fda-cders-new-molecular-entities-and-new-therapeutic-biological-products/novel-drug-approvals-2021" TargetMode="External"/><Relationship Id="rId9" Type="http://schemas.openxmlformats.org/officeDocument/2006/relationships/table" Target="../tables/table49.xml"/><Relationship Id="rId14" Type="http://schemas.openxmlformats.org/officeDocument/2006/relationships/table" Target="../tables/table54.xml"/><Relationship Id="rId22" Type="http://schemas.openxmlformats.org/officeDocument/2006/relationships/table" Target="../tables/table62.xml"/><Relationship Id="rId27" Type="http://schemas.openxmlformats.org/officeDocument/2006/relationships/table" Target="../tables/table67.xml"/><Relationship Id="rId30" Type="http://schemas.openxmlformats.org/officeDocument/2006/relationships/table" Target="../tables/table7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3.xml"/><Relationship Id="rId13" Type="http://schemas.openxmlformats.org/officeDocument/2006/relationships/table" Target="../tables/table78.xml"/><Relationship Id="rId3" Type="http://schemas.openxmlformats.org/officeDocument/2006/relationships/hyperlink" Target="https://www.medicaldesignandoutsourcing.com/2021-big-100/" TargetMode="External"/><Relationship Id="rId7" Type="http://schemas.openxmlformats.org/officeDocument/2006/relationships/table" Target="../tables/table72.xml"/><Relationship Id="rId12" Type="http://schemas.openxmlformats.org/officeDocument/2006/relationships/table" Target="../tables/table77.xml"/><Relationship Id="rId2" Type="http://schemas.openxmlformats.org/officeDocument/2006/relationships/hyperlink" Target="https://www.khidi.or.kr/board;jsessionid=CBFE09DF7F16CA25BE0FF361CD01805C.jvm1?menuId=MENU01511&amp;siteId=SITE00004" TargetMode="External"/><Relationship Id="rId1" Type="http://schemas.openxmlformats.org/officeDocument/2006/relationships/hyperlink" Target="https://www.khidi.or.kr/board;jsessionid=CBFE09DF7F16CA25BE0FF361CD01805C.jvm1?menuId=MENU01511&amp;siteId=SITE00004" TargetMode="External"/><Relationship Id="rId6" Type="http://schemas.openxmlformats.org/officeDocument/2006/relationships/table" Target="../tables/table71.xml"/><Relationship Id="rId11" Type="http://schemas.openxmlformats.org/officeDocument/2006/relationships/table" Target="../tables/table76.xml"/><Relationship Id="rId5" Type="http://schemas.openxmlformats.org/officeDocument/2006/relationships/drawing" Target="../drawings/drawing42.xml"/><Relationship Id="rId10" Type="http://schemas.openxmlformats.org/officeDocument/2006/relationships/table" Target="../tables/table75.xml"/><Relationship Id="rId4" Type="http://schemas.openxmlformats.org/officeDocument/2006/relationships/printerSettings" Target="../printerSettings/printerSettings7.bin"/><Relationship Id="rId9" Type="http://schemas.openxmlformats.org/officeDocument/2006/relationships/table" Target="../tables/table7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9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82.xml"/><Relationship Id="rId5" Type="http://schemas.openxmlformats.org/officeDocument/2006/relationships/table" Target="../tables/table81.xml"/><Relationship Id="rId4" Type="http://schemas.openxmlformats.org/officeDocument/2006/relationships/table" Target="../tables/table8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3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6.xml"/><Relationship Id="rId5" Type="http://schemas.openxmlformats.org/officeDocument/2006/relationships/table" Target="../tables/table85.xml"/><Relationship Id="rId4" Type="http://schemas.openxmlformats.org/officeDocument/2006/relationships/table" Target="../tables/table8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7.xml"/><Relationship Id="rId7" Type="http://schemas.openxmlformats.org/officeDocument/2006/relationships/table" Target="../tables/table91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90.xml"/><Relationship Id="rId5" Type="http://schemas.openxmlformats.org/officeDocument/2006/relationships/table" Target="../tables/table89.xml"/><Relationship Id="rId4" Type="http://schemas.openxmlformats.org/officeDocument/2006/relationships/table" Target="../tables/table8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2.xml"/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95.xml"/><Relationship Id="rId5" Type="http://schemas.openxmlformats.org/officeDocument/2006/relationships/table" Target="../tables/table94.xml"/><Relationship Id="rId4" Type="http://schemas.openxmlformats.org/officeDocument/2006/relationships/table" Target="../tables/table9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6.xml"/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12.bin"/><Relationship Id="rId4" Type="http://schemas.openxmlformats.org/officeDocument/2006/relationships/table" Target="../tables/table9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8.xml"/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101.xml"/><Relationship Id="rId5" Type="http://schemas.openxmlformats.org/officeDocument/2006/relationships/table" Target="../tables/table100.xml"/><Relationship Id="rId4" Type="http://schemas.openxmlformats.org/officeDocument/2006/relationships/table" Target="../tables/table99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7.xml"/><Relationship Id="rId3" Type="http://schemas.openxmlformats.org/officeDocument/2006/relationships/table" Target="../tables/table102.xml"/><Relationship Id="rId7" Type="http://schemas.openxmlformats.org/officeDocument/2006/relationships/table" Target="../tables/table106.xml"/><Relationship Id="rId12" Type="http://schemas.openxmlformats.org/officeDocument/2006/relationships/table" Target="../tables/table111.xml"/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105.xml"/><Relationship Id="rId11" Type="http://schemas.openxmlformats.org/officeDocument/2006/relationships/table" Target="../tables/table110.xml"/><Relationship Id="rId5" Type="http://schemas.openxmlformats.org/officeDocument/2006/relationships/table" Target="../tables/table104.xml"/><Relationship Id="rId10" Type="http://schemas.openxmlformats.org/officeDocument/2006/relationships/table" Target="../tables/table109.xml"/><Relationship Id="rId4" Type="http://schemas.openxmlformats.org/officeDocument/2006/relationships/table" Target="../tables/table103.xml"/><Relationship Id="rId9" Type="http://schemas.openxmlformats.org/officeDocument/2006/relationships/table" Target="../tables/table10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2.xml"/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15.bin"/><Relationship Id="rId4" Type="http://schemas.openxmlformats.org/officeDocument/2006/relationships/table" Target="../tables/table1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99"/>
  <dimension ref="A1:X115"/>
  <sheetViews>
    <sheetView tabSelected="1" topLeftCell="A10" zoomScale="85" zoomScaleNormal="85" workbookViewId="0">
      <selection activeCell="C26" sqref="C26"/>
    </sheetView>
  </sheetViews>
  <sheetFormatPr defaultColWidth="9" defaultRowHeight="16.5"/>
  <cols>
    <col min="1" max="1" width="15.375" style="81" customWidth="1"/>
    <col min="2" max="2" width="7.625" style="81" bestFit="1" customWidth="1"/>
    <col min="3" max="3" width="63.625" style="81" bestFit="1" customWidth="1"/>
    <col min="4" max="4" width="9.375" style="77" bestFit="1" customWidth="1"/>
    <col min="5" max="5" width="52" style="2" bestFit="1" customWidth="1"/>
    <col min="6" max="16384" width="9" style="2"/>
  </cols>
  <sheetData>
    <row r="1" spans="1:13">
      <c r="A1" s="1" t="s">
        <v>12</v>
      </c>
      <c r="B1" s="1" t="s">
        <v>585</v>
      </c>
      <c r="C1" s="1" t="s">
        <v>150</v>
      </c>
      <c r="D1" s="1" t="s">
        <v>151</v>
      </c>
      <c r="E1" s="2" t="s">
        <v>905</v>
      </c>
    </row>
    <row r="2" spans="1:13">
      <c r="A2" s="81" t="s">
        <v>152</v>
      </c>
      <c r="B2" s="81">
        <v>1</v>
      </c>
      <c r="C2" s="394" t="s">
        <v>1053</v>
      </c>
      <c r="D2" s="77" t="s">
        <v>879</v>
      </c>
      <c r="E2" s="193" t="s">
        <v>883</v>
      </c>
    </row>
    <row r="3" spans="1:13">
      <c r="A3" s="81" t="s">
        <v>153</v>
      </c>
      <c r="B3" s="81">
        <v>2</v>
      </c>
      <c r="C3" s="394" t="s">
        <v>1059</v>
      </c>
      <c r="D3" s="77" t="s">
        <v>879</v>
      </c>
      <c r="E3" s="2" t="s">
        <v>884</v>
      </c>
      <c r="M3" s="62" t="s">
        <v>598</v>
      </c>
    </row>
    <row r="4" spans="1:13">
      <c r="A4" s="81" t="s">
        <v>152</v>
      </c>
      <c r="B4" s="81">
        <v>3</v>
      </c>
      <c r="C4" s="394" t="s">
        <v>1006</v>
      </c>
      <c r="D4" s="77" t="s">
        <v>879</v>
      </c>
      <c r="E4" s="67"/>
    </row>
    <row r="5" spans="1:13">
      <c r="A5" s="81" t="s">
        <v>154</v>
      </c>
      <c r="B5" s="81">
        <v>4</v>
      </c>
      <c r="C5" s="394" t="s">
        <v>332</v>
      </c>
      <c r="D5" s="77" t="s">
        <v>879</v>
      </c>
      <c r="E5" s="81"/>
    </row>
    <row r="6" spans="1:13">
      <c r="A6" s="81" t="s">
        <v>152</v>
      </c>
      <c r="B6" s="81">
        <v>5</v>
      </c>
      <c r="C6" s="394" t="s">
        <v>1078</v>
      </c>
      <c r="D6" s="77" t="s">
        <v>879</v>
      </c>
    </row>
    <row r="7" spans="1:13">
      <c r="A7" s="81" t="s">
        <v>153</v>
      </c>
      <c r="B7" s="81">
        <v>6</v>
      </c>
      <c r="C7" s="394" t="s">
        <v>1085</v>
      </c>
      <c r="D7" s="77" t="s">
        <v>879</v>
      </c>
    </row>
    <row r="8" spans="1:13">
      <c r="A8" s="81" t="s">
        <v>153</v>
      </c>
      <c r="B8" s="81">
        <v>7</v>
      </c>
      <c r="C8" s="394" t="s">
        <v>1090</v>
      </c>
      <c r="D8" s="77" t="s">
        <v>879</v>
      </c>
      <c r="E8" s="2" t="s">
        <v>885</v>
      </c>
    </row>
    <row r="9" spans="1:13">
      <c r="A9" s="81" t="s">
        <v>155</v>
      </c>
      <c r="B9" s="81">
        <v>8</v>
      </c>
      <c r="C9" s="394" t="s">
        <v>1096</v>
      </c>
      <c r="D9" s="77" t="s">
        <v>879</v>
      </c>
    </row>
    <row r="10" spans="1:13">
      <c r="A10" s="81" t="s">
        <v>153</v>
      </c>
      <c r="B10" s="81">
        <v>9</v>
      </c>
      <c r="C10" s="394" t="s">
        <v>1107</v>
      </c>
      <c r="D10" s="77" t="s">
        <v>879</v>
      </c>
    </row>
    <row r="11" spans="1:13">
      <c r="A11" s="81" t="s">
        <v>152</v>
      </c>
      <c r="B11" s="81">
        <v>10</v>
      </c>
      <c r="C11" s="394" t="s">
        <v>1112</v>
      </c>
      <c r="D11" s="77" t="s">
        <v>879</v>
      </c>
    </row>
    <row r="12" spans="1:13">
      <c r="A12" s="81" t="s">
        <v>153</v>
      </c>
      <c r="B12" s="81">
        <v>11</v>
      </c>
      <c r="C12" s="394" t="s">
        <v>2229</v>
      </c>
      <c r="E12" s="67"/>
    </row>
    <row r="13" spans="1:13">
      <c r="A13" s="81" t="s">
        <v>155</v>
      </c>
      <c r="B13" s="81">
        <v>12</v>
      </c>
      <c r="C13" s="394" t="s">
        <v>1119</v>
      </c>
      <c r="D13" s="77" t="s">
        <v>582</v>
      </c>
      <c r="E13" s="2" t="s">
        <v>891</v>
      </c>
    </row>
    <row r="14" spans="1:13">
      <c r="A14" s="81" t="s">
        <v>153</v>
      </c>
      <c r="B14" s="81">
        <v>13</v>
      </c>
      <c r="C14" s="394" t="s">
        <v>1123</v>
      </c>
      <c r="D14" s="77" t="s">
        <v>583</v>
      </c>
    </row>
    <row r="15" spans="1:13">
      <c r="A15" s="81" t="s">
        <v>153</v>
      </c>
      <c r="B15" s="81">
        <v>14</v>
      </c>
      <c r="C15" s="394" t="s">
        <v>1127</v>
      </c>
      <c r="D15" s="77" t="s">
        <v>582</v>
      </c>
    </row>
    <row r="16" spans="1:13">
      <c r="A16" s="81" t="s">
        <v>152</v>
      </c>
      <c r="B16" s="81">
        <v>15</v>
      </c>
      <c r="C16" s="394" t="s">
        <v>1137</v>
      </c>
      <c r="D16" s="77" t="s">
        <v>582</v>
      </c>
    </row>
    <row r="17" spans="1:22">
      <c r="A17" s="81" t="s">
        <v>153</v>
      </c>
      <c r="B17" s="81">
        <v>16</v>
      </c>
      <c r="C17" s="394" t="s">
        <v>1141</v>
      </c>
      <c r="D17" s="77" t="s">
        <v>582</v>
      </c>
    </row>
    <row r="18" spans="1:22">
      <c r="A18" s="81" t="s">
        <v>153</v>
      </c>
      <c r="B18" s="81">
        <v>17</v>
      </c>
      <c r="C18" s="394" t="s">
        <v>1149</v>
      </c>
      <c r="D18" s="77" t="s">
        <v>584</v>
      </c>
    </row>
    <row r="19" spans="1:22">
      <c r="A19" s="81" t="s">
        <v>152</v>
      </c>
      <c r="B19" s="81">
        <v>18</v>
      </c>
      <c r="C19" s="394" t="s">
        <v>1153</v>
      </c>
      <c r="D19" s="77" t="s">
        <v>582</v>
      </c>
    </row>
    <row r="20" spans="1:22">
      <c r="A20" s="81" t="s">
        <v>152</v>
      </c>
      <c r="B20" s="81">
        <v>19</v>
      </c>
      <c r="C20" s="394" t="s">
        <v>1154</v>
      </c>
      <c r="D20" s="77" t="s">
        <v>583</v>
      </c>
      <c r="M20" s="5" t="s">
        <v>588</v>
      </c>
      <c r="N20" s="5" t="s">
        <v>589</v>
      </c>
      <c r="O20" s="5" t="s">
        <v>590</v>
      </c>
      <c r="P20" s="5" t="s">
        <v>591</v>
      </c>
      <c r="Q20" s="5" t="s">
        <v>592</v>
      </c>
      <c r="R20" s="5" t="s">
        <v>593</v>
      </c>
      <c r="S20" s="5" t="s">
        <v>594</v>
      </c>
      <c r="T20" s="5" t="s">
        <v>595</v>
      </c>
      <c r="U20" s="5" t="s">
        <v>596</v>
      </c>
      <c r="V20" s="5" t="s">
        <v>597</v>
      </c>
    </row>
    <row r="21" spans="1:22">
      <c r="A21" s="81" t="s">
        <v>152</v>
      </c>
      <c r="B21" s="81">
        <v>20</v>
      </c>
      <c r="C21" s="394" t="s">
        <v>1155</v>
      </c>
      <c r="D21" s="77" t="s">
        <v>582</v>
      </c>
      <c r="M21" s="11">
        <v>1</v>
      </c>
      <c r="N21" s="12">
        <v>2</v>
      </c>
      <c r="O21" s="13">
        <v>3</v>
      </c>
      <c r="P21" s="14">
        <v>4</v>
      </c>
      <c r="Q21" s="85">
        <v>5</v>
      </c>
      <c r="R21" s="15">
        <v>6</v>
      </c>
      <c r="S21" s="16">
        <v>7</v>
      </c>
      <c r="T21" s="86">
        <v>8</v>
      </c>
      <c r="U21" s="17">
        <v>9</v>
      </c>
      <c r="V21" s="18">
        <v>10</v>
      </c>
    </row>
    <row r="22" spans="1:22">
      <c r="A22" s="81" t="s">
        <v>152</v>
      </c>
      <c r="B22" s="81">
        <v>21</v>
      </c>
      <c r="C22" s="394" t="s">
        <v>1163</v>
      </c>
      <c r="D22" s="77" t="s">
        <v>586</v>
      </c>
    </row>
    <row r="23" spans="1:22" ht="17.25" thickBot="1">
      <c r="A23" s="81" t="s">
        <v>152</v>
      </c>
      <c r="B23" s="81">
        <v>22</v>
      </c>
      <c r="C23" s="394" t="s">
        <v>1164</v>
      </c>
      <c r="D23" s="77" t="s">
        <v>587</v>
      </c>
      <c r="M23" s="5" t="s">
        <v>588</v>
      </c>
      <c r="N23" s="5" t="s">
        <v>589</v>
      </c>
      <c r="O23" s="5" t="s">
        <v>590</v>
      </c>
      <c r="P23" s="5" t="s">
        <v>591</v>
      </c>
      <c r="Q23" s="5" t="s">
        <v>592</v>
      </c>
      <c r="R23" s="5" t="s">
        <v>593</v>
      </c>
      <c r="S23" s="5" t="s">
        <v>594</v>
      </c>
      <c r="T23" s="5" t="s">
        <v>595</v>
      </c>
      <c r="U23" s="5" t="s">
        <v>596</v>
      </c>
      <c r="V23" s="5" t="s">
        <v>597</v>
      </c>
    </row>
    <row r="24" spans="1:22" ht="17.25" thickTop="1">
      <c r="A24" s="82" t="s">
        <v>157</v>
      </c>
      <c r="B24" s="82">
        <v>1</v>
      </c>
      <c r="C24" s="480" t="s">
        <v>1168</v>
      </c>
      <c r="D24" s="78"/>
      <c r="E24" s="2" t="s">
        <v>892</v>
      </c>
      <c r="M24" s="11">
        <v>1</v>
      </c>
      <c r="N24" s="12">
        <v>2</v>
      </c>
      <c r="O24" s="13">
        <v>3</v>
      </c>
      <c r="P24" s="14">
        <v>4</v>
      </c>
      <c r="Q24" s="85">
        <v>5</v>
      </c>
      <c r="R24" s="15">
        <v>6</v>
      </c>
      <c r="S24" s="16">
        <v>7</v>
      </c>
      <c r="T24" s="86">
        <v>8</v>
      </c>
      <c r="U24" s="17">
        <v>9</v>
      </c>
      <c r="V24" s="18">
        <v>10</v>
      </c>
    </row>
    <row r="25" spans="1:22">
      <c r="A25" s="83" t="s">
        <v>156</v>
      </c>
      <c r="B25" s="83">
        <v>2</v>
      </c>
      <c r="C25" s="319" t="s">
        <v>1167</v>
      </c>
      <c r="D25" s="79" t="s">
        <v>879</v>
      </c>
      <c r="E25" s="2" t="s">
        <v>893</v>
      </c>
    </row>
    <row r="26" spans="1:22">
      <c r="A26" s="83" t="s">
        <v>158</v>
      </c>
      <c r="B26" s="83">
        <v>3</v>
      </c>
      <c r="C26" s="319" t="s">
        <v>1175</v>
      </c>
      <c r="D26" s="79" t="s">
        <v>879</v>
      </c>
      <c r="E26" s="2" t="s">
        <v>894</v>
      </c>
    </row>
    <row r="27" spans="1:22">
      <c r="A27" s="83" t="s">
        <v>157</v>
      </c>
      <c r="B27" s="83">
        <v>4</v>
      </c>
      <c r="C27" s="319" t="s">
        <v>1182</v>
      </c>
      <c r="D27" s="79" t="s">
        <v>879</v>
      </c>
    </row>
    <row r="28" spans="1:22">
      <c r="A28" s="83" t="s">
        <v>156</v>
      </c>
      <c r="B28" s="83">
        <v>5</v>
      </c>
      <c r="C28" s="319" t="s">
        <v>1185</v>
      </c>
      <c r="D28" s="79" t="s">
        <v>879</v>
      </c>
    </row>
    <row r="29" spans="1:22">
      <c r="A29" s="83" t="s">
        <v>156</v>
      </c>
      <c r="B29" s="83">
        <v>6</v>
      </c>
      <c r="C29" s="319" t="s">
        <v>1188</v>
      </c>
      <c r="D29" s="79" t="s">
        <v>879</v>
      </c>
      <c r="M29" s="62" t="s">
        <v>636</v>
      </c>
      <c r="N29" s="62" t="s">
        <v>662</v>
      </c>
    </row>
    <row r="30" spans="1:22">
      <c r="A30" s="83" t="s">
        <v>158</v>
      </c>
      <c r="B30" s="83">
        <v>7</v>
      </c>
      <c r="C30" s="319" t="s">
        <v>1191</v>
      </c>
      <c r="D30" s="79" t="s">
        <v>879</v>
      </c>
      <c r="N30" s="67"/>
    </row>
    <row r="31" spans="1:22">
      <c r="A31" s="83" t="s">
        <v>157</v>
      </c>
      <c r="B31" s="83">
        <v>8</v>
      </c>
      <c r="C31" s="319" t="s">
        <v>1197</v>
      </c>
      <c r="D31" s="79" t="s">
        <v>879</v>
      </c>
      <c r="E31" s="2" t="s">
        <v>895</v>
      </c>
      <c r="N31" s="67"/>
    </row>
    <row r="32" spans="1:22">
      <c r="A32" s="83" t="s">
        <v>157</v>
      </c>
      <c r="B32" s="83">
        <v>9</v>
      </c>
      <c r="C32" s="319" t="s">
        <v>1198</v>
      </c>
      <c r="D32" s="79" t="s">
        <v>879</v>
      </c>
      <c r="N32" s="67"/>
    </row>
    <row r="33" spans="1:24">
      <c r="A33" s="83" t="s">
        <v>156</v>
      </c>
      <c r="B33" s="83">
        <v>10</v>
      </c>
      <c r="C33" s="319" t="s">
        <v>1201</v>
      </c>
      <c r="D33" s="79" t="s">
        <v>879</v>
      </c>
      <c r="W33" s="92"/>
    </row>
    <row r="34" spans="1:24">
      <c r="A34" s="83" t="s">
        <v>156</v>
      </c>
      <c r="B34" s="83">
        <v>11</v>
      </c>
      <c r="C34" s="271" t="s">
        <v>2241</v>
      </c>
      <c r="D34" s="79"/>
      <c r="E34" s="2" t="s">
        <v>896</v>
      </c>
      <c r="N34" s="67"/>
    </row>
    <row r="35" spans="1:24">
      <c r="A35" s="83" t="s">
        <v>156</v>
      </c>
      <c r="B35" s="83">
        <v>12</v>
      </c>
      <c r="C35" s="271" t="s">
        <v>2248</v>
      </c>
      <c r="D35" s="79" t="s">
        <v>879</v>
      </c>
      <c r="N35" s="63"/>
      <c r="X35" s="88"/>
    </row>
    <row r="36" spans="1:24">
      <c r="A36" s="83" t="s">
        <v>156</v>
      </c>
      <c r="B36" s="83">
        <v>13</v>
      </c>
      <c r="C36" s="271" t="s">
        <v>2249</v>
      </c>
      <c r="D36" s="79"/>
      <c r="N36" s="67"/>
    </row>
    <row r="37" spans="1:24" ht="17.25" thickBot="1">
      <c r="A37" s="84" t="s">
        <v>156</v>
      </c>
      <c r="B37" s="84">
        <v>14</v>
      </c>
      <c r="C37" s="494" t="s">
        <v>2250</v>
      </c>
      <c r="D37" s="80" t="s">
        <v>879</v>
      </c>
      <c r="N37" s="67"/>
    </row>
    <row r="38" spans="1:24" ht="17.25" thickTop="1">
      <c r="A38" s="83" t="s">
        <v>886</v>
      </c>
      <c r="B38" s="83">
        <v>1</v>
      </c>
      <c r="C38" s="83" t="s">
        <v>926</v>
      </c>
      <c r="D38" s="79" t="s">
        <v>879</v>
      </c>
      <c r="E38" s="2" t="s">
        <v>897</v>
      </c>
      <c r="N38" s="67"/>
    </row>
    <row r="39" spans="1:24">
      <c r="A39" s="83" t="s">
        <v>886</v>
      </c>
      <c r="B39" s="83">
        <v>2</v>
      </c>
      <c r="C39" s="83" t="s">
        <v>1634</v>
      </c>
      <c r="D39" s="79" t="s">
        <v>879</v>
      </c>
      <c r="N39" s="67"/>
    </row>
    <row r="40" spans="1:24">
      <c r="A40" s="83" t="s">
        <v>886</v>
      </c>
      <c r="B40" s="83">
        <v>3</v>
      </c>
      <c r="C40" s="83" t="s">
        <v>2190</v>
      </c>
      <c r="D40" s="324" t="s">
        <v>879</v>
      </c>
      <c r="E40" s="67"/>
      <c r="N40" s="67"/>
    </row>
    <row r="41" spans="1:24">
      <c r="A41" s="83" t="s">
        <v>886</v>
      </c>
      <c r="B41" s="83">
        <v>4</v>
      </c>
      <c r="C41" s="83" t="s">
        <v>887</v>
      </c>
      <c r="D41" s="324"/>
      <c r="N41" s="67"/>
    </row>
    <row r="42" spans="1:24">
      <c r="A42" s="83" t="s">
        <v>886</v>
      </c>
      <c r="B42" s="83">
        <v>5</v>
      </c>
      <c r="C42" s="83" t="s">
        <v>2198</v>
      </c>
      <c r="D42" s="324" t="s">
        <v>879</v>
      </c>
      <c r="N42" s="67"/>
    </row>
    <row r="43" spans="1:24">
      <c r="A43" s="83" t="s">
        <v>886</v>
      </c>
      <c r="B43" s="83">
        <v>6</v>
      </c>
      <c r="C43" s="521" t="s">
        <v>1052</v>
      </c>
      <c r="D43" s="79" t="s">
        <v>879</v>
      </c>
      <c r="E43" s="240" t="s">
        <v>1219</v>
      </c>
      <c r="N43" s="67"/>
    </row>
    <row r="44" spans="1:24" ht="17.25" thickBot="1">
      <c r="A44" s="84" t="s">
        <v>886</v>
      </c>
      <c r="B44" s="84">
        <v>7</v>
      </c>
      <c r="C44" s="522" t="s">
        <v>1218</v>
      </c>
      <c r="D44" s="80" t="s">
        <v>879</v>
      </c>
      <c r="N44" s="67"/>
    </row>
    <row r="45" spans="1:24" ht="17.25" thickTop="1">
      <c r="A45" s="81" t="s">
        <v>888</v>
      </c>
      <c r="B45" s="81">
        <v>1</v>
      </c>
      <c r="C45" s="394" t="s">
        <v>2261</v>
      </c>
      <c r="E45" s="2" t="s">
        <v>898</v>
      </c>
    </row>
    <row r="46" spans="1:24">
      <c r="A46" s="81" t="s">
        <v>888</v>
      </c>
      <c r="B46" s="81">
        <v>2</v>
      </c>
      <c r="C46" s="394" t="s">
        <v>1232</v>
      </c>
      <c r="E46" s="67"/>
    </row>
    <row r="47" spans="1:24">
      <c r="A47" s="81" t="s">
        <v>888</v>
      </c>
      <c r="B47" s="81">
        <v>3</v>
      </c>
      <c r="C47" s="394" t="s">
        <v>1243</v>
      </c>
      <c r="D47" s="77" t="s">
        <v>879</v>
      </c>
      <c r="E47" s="240" t="s">
        <v>1249</v>
      </c>
    </row>
    <row r="48" spans="1:24" ht="17.25" thickBot="1">
      <c r="A48" s="81" t="s">
        <v>888</v>
      </c>
      <c r="B48" s="81">
        <v>4</v>
      </c>
      <c r="C48" s="394" t="s">
        <v>1247</v>
      </c>
      <c r="D48" s="77" t="s">
        <v>879</v>
      </c>
      <c r="E48" s="240" t="s">
        <v>1248</v>
      </c>
    </row>
    <row r="49" spans="1:5" ht="17.25" thickTop="1">
      <c r="A49" s="82" t="s">
        <v>889</v>
      </c>
      <c r="B49" s="82">
        <v>1</v>
      </c>
      <c r="C49" s="395" t="s">
        <v>1250</v>
      </c>
      <c r="D49" s="78" t="s">
        <v>879</v>
      </c>
      <c r="E49" s="2" t="s">
        <v>899</v>
      </c>
    </row>
    <row r="50" spans="1:5">
      <c r="A50" s="83" t="s">
        <v>889</v>
      </c>
      <c r="B50" s="83">
        <v>2</v>
      </c>
      <c r="C50" s="561" t="s">
        <v>1594</v>
      </c>
      <c r="D50" s="79"/>
    </row>
    <row r="51" spans="1:5">
      <c r="A51" s="83" t="s">
        <v>889</v>
      </c>
      <c r="B51" s="83">
        <v>3</v>
      </c>
      <c r="C51" s="319" t="s">
        <v>1258</v>
      </c>
      <c r="D51" s="79" t="s">
        <v>879</v>
      </c>
    </row>
    <row r="52" spans="1:5">
      <c r="A52" s="83" t="s">
        <v>889</v>
      </c>
      <c r="B52" s="83">
        <v>4</v>
      </c>
      <c r="C52" s="319" t="s">
        <v>1265</v>
      </c>
      <c r="D52" s="79" t="s">
        <v>879</v>
      </c>
    </row>
    <row r="53" spans="1:5">
      <c r="A53" s="83" t="s">
        <v>889</v>
      </c>
      <c r="B53" s="83">
        <v>5</v>
      </c>
      <c r="C53" s="319" t="s">
        <v>1271</v>
      </c>
      <c r="D53" s="79"/>
      <c r="E53" s="2" t="s">
        <v>900</v>
      </c>
    </row>
    <row r="54" spans="1:5">
      <c r="A54" s="83" t="s">
        <v>889</v>
      </c>
      <c r="B54" s="83">
        <v>6</v>
      </c>
      <c r="C54" s="319" t="s">
        <v>1281</v>
      </c>
      <c r="D54" s="79"/>
      <c r="E54" s="67"/>
    </row>
    <row r="55" spans="1:5">
      <c r="A55" s="83" t="s">
        <v>889</v>
      </c>
      <c r="B55" s="83">
        <v>7</v>
      </c>
      <c r="C55" s="319" t="s">
        <v>1284</v>
      </c>
      <c r="D55" s="79"/>
    </row>
    <row r="56" spans="1:5">
      <c r="A56" s="83" t="s">
        <v>889</v>
      </c>
      <c r="B56" s="83">
        <v>8</v>
      </c>
      <c r="C56" s="319" t="s">
        <v>2230</v>
      </c>
      <c r="D56" s="79"/>
      <c r="E56" s="2" t="s">
        <v>901</v>
      </c>
    </row>
    <row r="57" spans="1:5">
      <c r="A57" s="83" t="s">
        <v>889</v>
      </c>
      <c r="B57" s="83">
        <v>9</v>
      </c>
      <c r="C57" s="319" t="s">
        <v>1307</v>
      </c>
      <c r="D57" s="79"/>
    </row>
    <row r="58" spans="1:5">
      <c r="A58" s="83" t="s">
        <v>889</v>
      </c>
      <c r="B58" s="83">
        <v>10</v>
      </c>
      <c r="C58" s="319" t="s">
        <v>1308</v>
      </c>
      <c r="D58" s="79"/>
    </row>
    <row r="59" spans="1:5">
      <c r="A59" s="83" t="s">
        <v>889</v>
      </c>
      <c r="B59" s="83">
        <v>11</v>
      </c>
      <c r="C59" s="319" t="s">
        <v>1323</v>
      </c>
      <c r="D59" s="79"/>
      <c r="E59" s="2" t="s">
        <v>902</v>
      </c>
    </row>
    <row r="60" spans="1:5">
      <c r="A60" s="83" t="s">
        <v>889</v>
      </c>
      <c r="B60" s="83">
        <v>12</v>
      </c>
      <c r="C60" s="83" t="s">
        <v>2264</v>
      </c>
      <c r="D60" s="79"/>
      <c r="E60" s="67"/>
    </row>
    <row r="61" spans="1:5">
      <c r="A61" s="83" t="s">
        <v>889</v>
      </c>
      <c r="B61" s="83">
        <v>13</v>
      </c>
      <c r="C61" s="83" t="s">
        <v>2265</v>
      </c>
      <c r="D61" s="79"/>
      <c r="E61" s="67"/>
    </row>
    <row r="62" spans="1:5">
      <c r="A62" s="83" t="s">
        <v>889</v>
      </c>
      <c r="B62" s="83">
        <v>14</v>
      </c>
      <c r="C62" s="83" t="s">
        <v>2266</v>
      </c>
      <c r="D62" s="79"/>
      <c r="E62" s="67"/>
    </row>
    <row r="63" spans="1:5">
      <c r="A63" s="83" t="s">
        <v>889</v>
      </c>
      <c r="B63" s="83">
        <v>15</v>
      </c>
      <c r="C63" s="319" t="s">
        <v>978</v>
      </c>
      <c r="D63" s="79"/>
      <c r="E63" s="2" t="s">
        <v>903</v>
      </c>
    </row>
    <row r="64" spans="1:5">
      <c r="A64" s="83" t="s">
        <v>889</v>
      </c>
      <c r="B64" s="83">
        <v>16</v>
      </c>
      <c r="C64" s="521" t="s">
        <v>1331</v>
      </c>
      <c r="D64" s="548" t="s">
        <v>2003</v>
      </c>
    </row>
    <row r="65" spans="1:17">
      <c r="A65" s="83" t="s">
        <v>889</v>
      </c>
      <c r="B65" s="83">
        <v>17</v>
      </c>
      <c r="C65" s="319" t="s">
        <v>1389</v>
      </c>
      <c r="D65" s="79" t="s">
        <v>879</v>
      </c>
    </row>
    <row r="66" spans="1:17">
      <c r="A66" s="83" t="s">
        <v>889</v>
      </c>
      <c r="B66" s="83">
        <v>18</v>
      </c>
      <c r="C66" s="319" t="s">
        <v>1395</v>
      </c>
      <c r="D66" s="79" t="s">
        <v>879</v>
      </c>
      <c r="E66" s="2" t="s">
        <v>904</v>
      </c>
    </row>
    <row r="67" spans="1:17">
      <c r="A67" s="83" t="s">
        <v>889</v>
      </c>
      <c r="B67" s="83">
        <v>19</v>
      </c>
      <c r="C67" s="319" t="s">
        <v>326</v>
      </c>
      <c r="D67" s="79"/>
    </row>
    <row r="68" spans="1:17">
      <c r="A68" s="83" t="s">
        <v>889</v>
      </c>
      <c r="B68" s="83">
        <v>20</v>
      </c>
      <c r="C68" s="319" t="s">
        <v>1430</v>
      </c>
      <c r="D68" s="79"/>
    </row>
    <row r="69" spans="1:17" ht="17.25" thickBot="1">
      <c r="A69" s="84" t="s">
        <v>889</v>
      </c>
      <c r="B69" s="84">
        <v>21</v>
      </c>
      <c r="C69" s="522" t="s">
        <v>1431</v>
      </c>
      <c r="D69" s="80" t="s">
        <v>879</v>
      </c>
    </row>
    <row r="70" spans="1:17" ht="17.25" thickTop="1">
      <c r="A70" s="81" t="s">
        <v>890</v>
      </c>
      <c r="B70" s="81">
        <v>1</v>
      </c>
      <c r="C70" s="394" t="s">
        <v>1636</v>
      </c>
      <c r="D70" s="77" t="s">
        <v>879</v>
      </c>
      <c r="E70" s="2" t="s">
        <v>906</v>
      </c>
      <c r="I70" s="67"/>
    </row>
    <row r="71" spans="1:17">
      <c r="A71" s="81" t="s">
        <v>890</v>
      </c>
      <c r="B71" s="81">
        <v>2</v>
      </c>
      <c r="C71" s="394" t="s">
        <v>2004</v>
      </c>
      <c r="E71" s="67"/>
      <c r="G71" s="217"/>
      <c r="I71" s="67"/>
    </row>
    <row r="72" spans="1:17">
      <c r="A72" s="81" t="s">
        <v>890</v>
      </c>
      <c r="B72" s="81">
        <v>3</v>
      </c>
      <c r="C72" s="245" t="s">
        <v>2025</v>
      </c>
      <c r="D72" s="652" t="s">
        <v>2002</v>
      </c>
      <c r="E72" s="67"/>
      <c r="G72" s="217"/>
      <c r="I72" s="67"/>
    </row>
    <row r="73" spans="1:17">
      <c r="A73" s="81" t="s">
        <v>890</v>
      </c>
      <c r="B73" s="81">
        <v>4</v>
      </c>
      <c r="C73" s="245" t="s">
        <v>2036</v>
      </c>
      <c r="D73" s="652" t="s">
        <v>2002</v>
      </c>
      <c r="E73" s="67"/>
      <c r="G73" s="217"/>
      <c r="I73" s="67"/>
    </row>
    <row r="74" spans="1:17">
      <c r="A74" s="81" t="s">
        <v>890</v>
      </c>
      <c r="B74" s="81">
        <v>5</v>
      </c>
      <c r="C74" s="394" t="s">
        <v>1647</v>
      </c>
      <c r="D74" s="77" t="s">
        <v>879</v>
      </c>
      <c r="E74" s="67"/>
    </row>
    <row r="75" spans="1:17">
      <c r="A75" s="81" t="s">
        <v>890</v>
      </c>
      <c r="B75" s="81">
        <v>6</v>
      </c>
      <c r="C75" s="394" t="s">
        <v>1697</v>
      </c>
      <c r="E75" s="2" t="s">
        <v>907</v>
      </c>
    </row>
    <row r="76" spans="1:17">
      <c r="A76" s="81" t="s">
        <v>890</v>
      </c>
      <c r="B76" s="81">
        <v>7</v>
      </c>
      <c r="C76" s="394" t="s">
        <v>1698</v>
      </c>
      <c r="I76" s="67"/>
    </row>
    <row r="77" spans="1:17">
      <c r="A77" s="81" t="s">
        <v>890</v>
      </c>
      <c r="B77" s="2">
        <v>8</v>
      </c>
      <c r="C77" s="394" t="s">
        <v>1701</v>
      </c>
      <c r="D77" s="397" t="s">
        <v>879</v>
      </c>
      <c r="E77" s="394" t="s">
        <v>1034</v>
      </c>
    </row>
    <row r="78" spans="1:17">
      <c r="A78" s="83" t="s">
        <v>890</v>
      </c>
      <c r="B78" s="2">
        <v>9</v>
      </c>
      <c r="C78" s="319" t="s">
        <v>1707</v>
      </c>
      <c r="D78" s="324"/>
      <c r="E78" s="394"/>
      <c r="K78" s="368"/>
      <c r="L78" s="368"/>
      <c r="M78" s="368"/>
      <c r="N78" s="368"/>
      <c r="O78" s="368"/>
      <c r="P78" s="368"/>
      <c r="Q78" s="368"/>
    </row>
    <row r="79" spans="1:17" ht="17.25" thickBot="1">
      <c r="A79" s="84" t="s">
        <v>890</v>
      </c>
      <c r="B79" s="81">
        <v>10</v>
      </c>
      <c r="C79" s="396" t="s">
        <v>1723</v>
      </c>
      <c r="D79" s="398"/>
      <c r="E79" s="394"/>
      <c r="I79" s="67"/>
      <c r="K79" s="368"/>
      <c r="L79" s="368"/>
      <c r="M79" s="368"/>
      <c r="N79" s="368"/>
      <c r="O79" s="368"/>
      <c r="P79" s="368"/>
      <c r="Q79" s="368"/>
    </row>
    <row r="80" spans="1:17" s="559" customFormat="1" ht="17.25" thickTop="1">
      <c r="A80" s="599" t="s">
        <v>1734</v>
      </c>
      <c r="B80" s="664">
        <v>1</v>
      </c>
      <c r="C80" s="665" t="s">
        <v>1949</v>
      </c>
      <c r="D80" s="666" t="s">
        <v>879</v>
      </c>
      <c r="E80" s="559" t="s">
        <v>1736</v>
      </c>
      <c r="I80" s="63"/>
      <c r="K80" s="400" t="s">
        <v>2051</v>
      </c>
      <c r="L80" s="399"/>
      <c r="M80" s="402"/>
      <c r="N80" s="401"/>
      <c r="O80" s="560"/>
      <c r="P80" s="560"/>
      <c r="Q80" s="560"/>
    </row>
    <row r="81" spans="1:17" s="559" customFormat="1">
      <c r="A81" s="599" t="s">
        <v>1734</v>
      </c>
      <c r="B81" s="596">
        <v>2</v>
      </c>
      <c r="C81" s="599" t="s">
        <v>1735</v>
      </c>
      <c r="D81" s="597"/>
      <c r="I81" s="63"/>
      <c r="J81" s="63"/>
      <c r="K81" s="560"/>
      <c r="L81" s="596"/>
      <c r="M81" s="598"/>
      <c r="N81" s="560"/>
      <c r="O81" s="560"/>
      <c r="P81" s="560"/>
      <c r="Q81" s="560"/>
    </row>
    <row r="82" spans="1:17" s="559" customFormat="1">
      <c r="A82" s="599" t="s">
        <v>1734</v>
      </c>
      <c r="B82" s="596">
        <v>3</v>
      </c>
      <c r="C82" s="599" t="s">
        <v>1756</v>
      </c>
      <c r="D82" s="597"/>
      <c r="I82" s="63"/>
      <c r="J82" s="63"/>
      <c r="K82" s="560"/>
      <c r="L82" s="596"/>
      <c r="M82" s="598"/>
      <c r="N82" s="560"/>
      <c r="O82" s="560"/>
      <c r="P82" s="560"/>
      <c r="Q82" s="560"/>
    </row>
    <row r="83" spans="1:17" ht="17.25" thickBot="1">
      <c r="A83" s="599" t="s">
        <v>1734</v>
      </c>
      <c r="B83" s="84">
        <v>4</v>
      </c>
      <c r="C83" s="245" t="s">
        <v>1768</v>
      </c>
      <c r="D83" s="80" t="s">
        <v>879</v>
      </c>
      <c r="I83" s="217"/>
      <c r="K83" s="606" t="s">
        <v>1590</v>
      </c>
      <c r="L83" s="319"/>
      <c r="M83" s="271"/>
      <c r="N83" s="368"/>
      <c r="O83" s="368"/>
      <c r="P83" s="368"/>
      <c r="Q83" s="368"/>
    </row>
    <row r="84" spans="1:17" ht="17.25" thickTop="1">
      <c r="A84" s="680" t="s">
        <v>2235</v>
      </c>
      <c r="B84" s="82">
        <v>1</v>
      </c>
      <c r="C84" s="604" t="s">
        <v>1777</v>
      </c>
      <c r="D84" s="78" t="s">
        <v>879</v>
      </c>
      <c r="E84" s="2" t="s">
        <v>1776</v>
      </c>
      <c r="I84" s="217"/>
      <c r="K84" s="606" t="s">
        <v>1586</v>
      </c>
      <c r="L84" s="368"/>
      <c r="M84" s="368"/>
      <c r="N84" s="368"/>
      <c r="O84" s="368"/>
      <c r="P84" s="368"/>
      <c r="Q84" s="368"/>
    </row>
    <row r="85" spans="1:17">
      <c r="A85" s="271" t="s">
        <v>2236</v>
      </c>
      <c r="B85" s="83">
        <v>2</v>
      </c>
      <c r="C85" s="521" t="s">
        <v>1774</v>
      </c>
      <c r="D85" s="79" t="s">
        <v>879</v>
      </c>
      <c r="I85" s="217"/>
      <c r="K85" s="606" t="s">
        <v>1591</v>
      </c>
      <c r="L85" s="368"/>
      <c r="M85" s="368"/>
      <c r="N85" s="368"/>
      <c r="O85" s="368"/>
      <c r="P85" s="368"/>
      <c r="Q85" s="368"/>
    </row>
    <row r="86" spans="1:17">
      <c r="A86" s="271" t="s">
        <v>2236</v>
      </c>
      <c r="B86" s="83">
        <v>3</v>
      </c>
      <c r="C86" s="521" t="s">
        <v>1775</v>
      </c>
      <c r="D86" s="79" t="s">
        <v>879</v>
      </c>
      <c r="E86" s="67" t="s">
        <v>2182</v>
      </c>
      <c r="I86" s="217"/>
      <c r="K86" s="606" t="s">
        <v>1589</v>
      </c>
      <c r="L86" s="368"/>
      <c r="N86" s="621" t="s">
        <v>1588</v>
      </c>
      <c r="O86" s="368"/>
      <c r="P86" s="368"/>
      <c r="Q86" s="368"/>
    </row>
    <row r="87" spans="1:17" ht="17.25" thickBot="1">
      <c r="A87" s="494" t="s">
        <v>2235</v>
      </c>
      <c r="B87" s="84">
        <v>4</v>
      </c>
      <c r="C87" s="522" t="s">
        <v>1813</v>
      </c>
      <c r="D87" s="605"/>
      <c r="I87" s="391"/>
      <c r="K87" s="606" t="s">
        <v>1585</v>
      </c>
      <c r="L87" s="368"/>
      <c r="M87" s="368"/>
      <c r="N87" s="621" t="s">
        <v>1587</v>
      </c>
      <c r="O87" s="368"/>
      <c r="P87" s="368"/>
      <c r="Q87" s="368"/>
    </row>
    <row r="88" spans="1:17" ht="17.25" thickTop="1">
      <c r="A88" s="521" t="s">
        <v>1811</v>
      </c>
      <c r="B88" s="83">
        <v>1</v>
      </c>
      <c r="C88" s="521" t="s">
        <v>1950</v>
      </c>
      <c r="D88" s="79" t="s">
        <v>879</v>
      </c>
      <c r="E88" s="2" t="s">
        <v>1869</v>
      </c>
      <c r="I88" s="67"/>
      <c r="J88" s="240"/>
      <c r="K88" s="240" t="s">
        <v>1993</v>
      </c>
      <c r="L88" s="368"/>
      <c r="M88" s="368"/>
      <c r="N88" s="621" t="s">
        <v>1592</v>
      </c>
      <c r="O88" s="368"/>
      <c r="P88" s="368"/>
      <c r="Q88" s="368"/>
    </row>
    <row r="89" spans="1:17">
      <c r="A89" s="521" t="s">
        <v>1811</v>
      </c>
      <c r="B89" s="83">
        <v>2</v>
      </c>
      <c r="C89" s="521" t="s">
        <v>1814</v>
      </c>
      <c r="D89" s="79" t="s">
        <v>879</v>
      </c>
      <c r="E89" s="368"/>
      <c r="I89" s="67"/>
      <c r="J89" s="245"/>
      <c r="L89" s="368"/>
      <c r="M89" s="368"/>
      <c r="N89" s="368"/>
      <c r="O89" s="368"/>
      <c r="P89" s="368"/>
      <c r="Q89" s="368"/>
    </row>
    <row r="90" spans="1:17">
      <c r="A90" s="521" t="s">
        <v>1811</v>
      </c>
      <c r="B90" s="83">
        <v>3</v>
      </c>
      <c r="C90" s="521" t="s">
        <v>1815</v>
      </c>
      <c r="D90" s="79" t="s">
        <v>879</v>
      </c>
      <c r="E90" s="368"/>
      <c r="I90" s="67"/>
      <c r="J90" s="245"/>
      <c r="L90" s="368"/>
      <c r="M90" s="368"/>
      <c r="N90" s="368"/>
      <c r="O90" s="368"/>
      <c r="P90" s="368"/>
      <c r="Q90" s="368"/>
    </row>
    <row r="91" spans="1:17">
      <c r="A91" s="521" t="s">
        <v>1811</v>
      </c>
      <c r="B91" s="83">
        <v>4</v>
      </c>
      <c r="C91" s="521" t="s">
        <v>1816</v>
      </c>
      <c r="D91" s="79" t="s">
        <v>879</v>
      </c>
      <c r="E91" s="368"/>
      <c r="I91" s="67"/>
      <c r="J91" s="245"/>
      <c r="K91" s="368"/>
      <c r="L91" s="368"/>
      <c r="M91" s="368"/>
      <c r="N91" s="368"/>
      <c r="O91" s="368"/>
      <c r="P91" s="368"/>
      <c r="Q91" s="368"/>
    </row>
    <row r="92" spans="1:17" ht="17.25" thickBot="1">
      <c r="A92" s="521" t="s">
        <v>1811</v>
      </c>
      <c r="B92" s="83">
        <v>5</v>
      </c>
      <c r="C92" s="522" t="s">
        <v>1817</v>
      </c>
      <c r="D92" s="80" t="s">
        <v>879</v>
      </c>
      <c r="E92" s="368"/>
      <c r="I92" s="67"/>
      <c r="J92" s="245"/>
      <c r="L92" s="368"/>
      <c r="M92" s="368"/>
      <c r="N92" s="368"/>
      <c r="O92" s="368"/>
      <c r="P92" s="368"/>
      <c r="Q92" s="368"/>
    </row>
    <row r="93" spans="1:17" ht="17.25" thickTop="1">
      <c r="A93" s="604" t="s">
        <v>1866</v>
      </c>
      <c r="B93" s="82">
        <v>1</v>
      </c>
      <c r="C93" s="604" t="s">
        <v>2037</v>
      </c>
      <c r="D93" s="79" t="s">
        <v>879</v>
      </c>
      <c r="E93" s="2" t="s">
        <v>1870</v>
      </c>
      <c r="I93" s="67"/>
      <c r="J93" s="245"/>
      <c r="L93" s="368"/>
      <c r="M93" s="368"/>
      <c r="N93" s="368"/>
      <c r="O93" s="368"/>
      <c r="P93" s="368"/>
      <c r="Q93" s="368"/>
    </row>
    <row r="94" spans="1:17">
      <c r="A94" s="521" t="s">
        <v>1867</v>
      </c>
      <c r="B94" s="83">
        <v>2</v>
      </c>
      <c r="C94" s="521" t="s">
        <v>1871</v>
      </c>
      <c r="D94" s="79" t="s">
        <v>879</v>
      </c>
      <c r="I94" s="67"/>
      <c r="J94" s="245"/>
    </row>
    <row r="95" spans="1:17">
      <c r="A95" s="521" t="s">
        <v>1867</v>
      </c>
      <c r="B95" s="83">
        <v>3</v>
      </c>
      <c r="C95" s="521" t="s">
        <v>1868</v>
      </c>
      <c r="D95" s="79"/>
      <c r="I95" s="67"/>
      <c r="J95" s="245"/>
    </row>
    <row r="96" spans="1:17" ht="17.25" thickBot="1">
      <c r="A96" s="521" t="s">
        <v>1867</v>
      </c>
      <c r="B96" s="81">
        <v>4</v>
      </c>
      <c r="C96" s="245" t="s">
        <v>1872</v>
      </c>
      <c r="D96" s="80" t="s">
        <v>879</v>
      </c>
      <c r="I96" s="67"/>
      <c r="J96" s="245"/>
    </row>
    <row r="97" spans="1:11" ht="17.25" thickTop="1">
      <c r="A97" s="604" t="s">
        <v>1924</v>
      </c>
      <c r="B97" s="82">
        <v>1</v>
      </c>
      <c r="C97" s="604" t="s">
        <v>1951</v>
      </c>
      <c r="D97" s="78"/>
      <c r="E97" s="2" t="s">
        <v>1927</v>
      </c>
      <c r="I97" s="67"/>
      <c r="J97" s="245"/>
    </row>
    <row r="98" spans="1:11" ht="17.25" thickBot="1">
      <c r="A98" s="522" t="s">
        <v>1925</v>
      </c>
      <c r="B98" s="83">
        <v>2</v>
      </c>
      <c r="C98" s="521" t="s">
        <v>1926</v>
      </c>
      <c r="D98" s="79"/>
      <c r="I98" s="67"/>
      <c r="J98" s="245"/>
    </row>
    <row r="99" spans="1:11" ht="17.25" thickTop="1">
      <c r="A99" s="521" t="s">
        <v>1948</v>
      </c>
      <c r="B99" s="82">
        <v>1</v>
      </c>
      <c r="C99" s="604" t="s">
        <v>1954</v>
      </c>
      <c r="D99" s="78"/>
      <c r="E99" s="2" t="s">
        <v>1955</v>
      </c>
      <c r="I99" s="67"/>
      <c r="J99" s="245"/>
    </row>
    <row r="100" spans="1:11">
      <c r="A100" s="521" t="s">
        <v>1948</v>
      </c>
      <c r="B100" s="83">
        <v>2</v>
      </c>
      <c r="C100" s="521" t="s">
        <v>2149</v>
      </c>
      <c r="D100" s="79"/>
      <c r="I100" s="67"/>
      <c r="J100" s="245"/>
    </row>
    <row r="101" spans="1:11">
      <c r="A101" s="521" t="s">
        <v>1948</v>
      </c>
      <c r="B101" s="83">
        <v>3</v>
      </c>
      <c r="C101" s="240" t="s">
        <v>2150</v>
      </c>
      <c r="D101" s="79"/>
      <c r="I101" s="67"/>
      <c r="J101" s="245"/>
    </row>
    <row r="102" spans="1:11" ht="17.25" thickBot="1">
      <c r="A102" s="522" t="s">
        <v>1948</v>
      </c>
      <c r="B102" s="84">
        <v>4</v>
      </c>
      <c r="C102" s="522" t="s">
        <v>2151</v>
      </c>
      <c r="D102" s="80"/>
      <c r="I102" s="67"/>
      <c r="J102" s="245"/>
      <c r="K102" s="387"/>
    </row>
    <row r="103" spans="1:11" ht="17.25" thickTop="1">
      <c r="A103" s="521" t="s">
        <v>1997</v>
      </c>
      <c r="B103" s="83">
        <v>1</v>
      </c>
      <c r="C103" s="521" t="s">
        <v>2144</v>
      </c>
      <c r="D103" s="79"/>
      <c r="E103" s="2" t="s">
        <v>2142</v>
      </c>
      <c r="I103" s="67"/>
    </row>
    <row r="104" spans="1:11">
      <c r="A104" s="521" t="s">
        <v>1997</v>
      </c>
      <c r="B104" s="81">
        <v>2</v>
      </c>
      <c r="C104" s="245" t="s">
        <v>2145</v>
      </c>
      <c r="I104" s="67"/>
    </row>
    <row r="105" spans="1:11">
      <c r="A105" s="521" t="s">
        <v>1997</v>
      </c>
      <c r="B105" s="83">
        <v>3</v>
      </c>
      <c r="C105" s="521" t="s">
        <v>2146</v>
      </c>
      <c r="D105" s="79"/>
      <c r="E105" s="368"/>
      <c r="I105" s="67"/>
    </row>
    <row r="106" spans="1:11">
      <c r="A106" s="521" t="s">
        <v>1997</v>
      </c>
      <c r="B106" s="81">
        <v>4</v>
      </c>
      <c r="C106" s="521" t="s">
        <v>2147</v>
      </c>
      <c r="D106" s="79"/>
      <c r="E106" s="368"/>
      <c r="I106" s="67"/>
    </row>
    <row r="107" spans="1:11">
      <c r="A107" s="521" t="s">
        <v>1997</v>
      </c>
      <c r="B107" s="83">
        <v>5</v>
      </c>
      <c r="C107" s="521" t="s">
        <v>2148</v>
      </c>
      <c r="D107" s="79"/>
      <c r="E107" s="368"/>
      <c r="I107" s="67"/>
    </row>
    <row r="108" spans="1:11">
      <c r="A108" s="521" t="s">
        <v>1997</v>
      </c>
      <c r="B108" s="81">
        <v>6</v>
      </c>
      <c r="C108" s="521" t="s">
        <v>2141</v>
      </c>
    </row>
    <row r="109" spans="1:11">
      <c r="A109" s="521" t="s">
        <v>1997</v>
      </c>
      <c r="B109" s="83">
        <v>7</v>
      </c>
      <c r="C109" s="245" t="s">
        <v>2119</v>
      </c>
    </row>
    <row r="110" spans="1:11">
      <c r="A110" s="521" t="s">
        <v>1997</v>
      </c>
      <c r="B110" s="81">
        <v>8</v>
      </c>
      <c r="C110" s="245" t="s">
        <v>2112</v>
      </c>
    </row>
    <row r="111" spans="1:11">
      <c r="A111" s="521" t="s">
        <v>1997</v>
      </c>
      <c r="B111" s="83">
        <v>9</v>
      </c>
      <c r="C111" s="245" t="s">
        <v>2038</v>
      </c>
    </row>
    <row r="112" spans="1:11" ht="17.25" thickBot="1">
      <c r="A112" s="522" t="s">
        <v>1997</v>
      </c>
      <c r="B112" s="84">
        <v>10</v>
      </c>
      <c r="C112" s="522" t="s">
        <v>2111</v>
      </c>
      <c r="D112" s="80"/>
    </row>
    <row r="113" spans="1:5" ht="17.25" thickTop="1">
      <c r="A113" s="604" t="s">
        <v>1998</v>
      </c>
      <c r="B113" s="82">
        <v>1</v>
      </c>
      <c r="C113" s="604" t="s">
        <v>2143</v>
      </c>
      <c r="D113" s="78"/>
      <c r="E113" s="2" t="s">
        <v>2152</v>
      </c>
    </row>
    <row r="114" spans="1:5" ht="17.25" thickBot="1">
      <c r="A114" s="522" t="s">
        <v>1998</v>
      </c>
      <c r="B114" s="84">
        <v>2</v>
      </c>
      <c r="C114" s="522" t="s">
        <v>2180</v>
      </c>
      <c r="D114" s="80"/>
    </row>
    <row r="115" spans="1:5" ht="17.25" thickTop="1"/>
  </sheetData>
  <autoFilter ref="A1:D96" xr:uid="{00000000-0009-0000-0000-000000000000}"/>
  <phoneticPr fontId="1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O657"/>
  <sheetViews>
    <sheetView topLeftCell="A73" zoomScale="85" zoomScaleNormal="85" workbookViewId="0">
      <selection activeCell="K90" sqref="K90"/>
    </sheetView>
  </sheetViews>
  <sheetFormatPr defaultColWidth="10.625" defaultRowHeight="16.5"/>
  <cols>
    <col min="1" max="2" width="15.625" style="22" customWidth="1"/>
    <col min="3" max="3" width="1.625" style="22" customWidth="1"/>
    <col min="4" max="4" width="10.625" style="22" customWidth="1"/>
    <col min="5" max="5" width="14" style="22" customWidth="1"/>
    <col min="6" max="19" width="10.625" style="22" customWidth="1"/>
    <col min="20" max="20" width="18.875" style="22" customWidth="1"/>
    <col min="21" max="21" width="10.625" style="411" customWidth="1"/>
    <col min="22" max="25" width="10.625" style="22" customWidth="1"/>
    <col min="26" max="26" width="14.875" style="22" customWidth="1"/>
    <col min="27" max="16384" width="10.625" style="22"/>
  </cols>
  <sheetData>
    <row r="1" spans="1:21">
      <c r="A1" s="20" t="s">
        <v>149</v>
      </c>
      <c r="B1" s="21" t="s">
        <v>340</v>
      </c>
      <c r="C1" s="21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U1" s="410" t="s">
        <v>1055</v>
      </c>
    </row>
    <row r="2" spans="1:21">
      <c r="A2" s="69" t="s">
        <v>330</v>
      </c>
      <c r="B2" s="69" t="s">
        <v>119</v>
      </c>
      <c r="C2" s="69"/>
      <c r="D2" s="211" t="s">
        <v>1054</v>
      </c>
      <c r="E2" s="210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</row>
    <row r="3" spans="1:21">
      <c r="A3" s="22" t="s">
        <v>330</v>
      </c>
      <c r="B3" s="22" t="s">
        <v>122</v>
      </c>
      <c r="D3" s="208" t="s">
        <v>1056</v>
      </c>
    </row>
    <row r="4" spans="1:21">
      <c r="A4" s="22" t="s">
        <v>330</v>
      </c>
      <c r="B4" s="22" t="s">
        <v>122</v>
      </c>
      <c r="D4" s="209" t="s">
        <v>1058</v>
      </c>
    </row>
    <row r="5" spans="1:21">
      <c r="A5" s="22" t="s">
        <v>330</v>
      </c>
      <c r="B5" s="22" t="s">
        <v>122</v>
      </c>
      <c r="D5" s="208" t="s">
        <v>1057</v>
      </c>
    </row>
    <row r="6" spans="1:21">
      <c r="A6" s="22" t="s">
        <v>330</v>
      </c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</row>
    <row r="7" spans="1:21">
      <c r="A7" s="22" t="s">
        <v>330</v>
      </c>
      <c r="B7" s="22" t="s">
        <v>111</v>
      </c>
      <c r="D7" s="2" t="s">
        <v>19</v>
      </c>
      <c r="E7" s="2" t="s">
        <v>670</v>
      </c>
      <c r="F7" s="2" t="s">
        <v>206</v>
      </c>
      <c r="H7" s="22" t="s">
        <v>19</v>
      </c>
      <c r="I7" s="22" t="s">
        <v>525</v>
      </c>
      <c r="J7" s="22" t="s">
        <v>206</v>
      </c>
      <c r="L7" s="22" t="s">
        <v>19</v>
      </c>
      <c r="M7" s="22" t="s">
        <v>526</v>
      </c>
      <c r="N7" s="22" t="s">
        <v>206</v>
      </c>
      <c r="P7" s="22" t="s">
        <v>19</v>
      </c>
      <c r="Q7" s="22" t="s">
        <v>527</v>
      </c>
      <c r="R7" s="22" t="s">
        <v>206</v>
      </c>
      <c r="S7" s="22" t="s">
        <v>222</v>
      </c>
    </row>
    <row r="8" spans="1:21">
      <c r="A8" s="22" t="s">
        <v>330</v>
      </c>
      <c r="B8" s="22" t="s">
        <v>111</v>
      </c>
      <c r="D8" s="240" t="s">
        <v>522</v>
      </c>
      <c r="E8" s="201">
        <v>19330000</v>
      </c>
      <c r="F8" s="244">
        <v>1</v>
      </c>
      <c r="H8" s="208" t="s">
        <v>528</v>
      </c>
      <c r="I8" s="243">
        <v>16638.875653539602</v>
      </c>
      <c r="J8" s="242">
        <f>I8/$E$11</f>
        <v>0.40333734888467754</v>
      </c>
      <c r="L8" s="208" t="s">
        <v>532</v>
      </c>
      <c r="M8" s="243">
        <v>7436</v>
      </c>
      <c r="N8" s="242">
        <f>M8/$E$12</f>
        <v>0.44690185708275737</v>
      </c>
      <c r="P8" s="208" t="s">
        <v>599</v>
      </c>
      <c r="Q8" s="208">
        <v>2760</v>
      </c>
      <c r="R8" s="242">
        <v>0.54520000000000002</v>
      </c>
    </row>
    <row r="9" spans="1:21">
      <c r="A9" s="22" t="s">
        <v>330</v>
      </c>
      <c r="B9" s="22" t="s">
        <v>111</v>
      </c>
      <c r="D9" s="245" t="s">
        <v>523</v>
      </c>
      <c r="E9" s="201">
        <v>930717</v>
      </c>
      <c r="F9" s="244">
        <f>E9/E8</f>
        <v>4.8148836006207965E-2</v>
      </c>
      <c r="H9" s="208" t="s">
        <v>529</v>
      </c>
      <c r="I9" s="458">
        <v>7147</v>
      </c>
      <c r="J9" s="242">
        <f>I9/$E$11</f>
        <v>0.17324800620560929</v>
      </c>
      <c r="L9" s="208" t="s">
        <v>533</v>
      </c>
      <c r="M9" s="243">
        <v>5062</v>
      </c>
      <c r="N9" s="242">
        <f>M9/$E$12</f>
        <v>0.30422501352244724</v>
      </c>
      <c r="P9" s="208" t="s">
        <v>535</v>
      </c>
      <c r="Q9" s="208">
        <v>2302</v>
      </c>
      <c r="R9" s="242">
        <v>0.45479999999999998</v>
      </c>
    </row>
    <row r="10" spans="1:21">
      <c r="A10" s="22" t="s">
        <v>330</v>
      </c>
      <c r="B10" s="22" t="s">
        <v>111</v>
      </c>
      <c r="D10" s="245" t="s">
        <v>524</v>
      </c>
      <c r="E10" s="201">
        <v>238803</v>
      </c>
      <c r="F10" s="244">
        <f>E10/E9</f>
        <v>0.25657960475633301</v>
      </c>
      <c r="H10" s="208" t="s">
        <v>530</v>
      </c>
      <c r="I10" s="243">
        <v>5524</v>
      </c>
      <c r="J10" s="242">
        <f>I10/$E$11</f>
        <v>0.13390541293966499</v>
      </c>
      <c r="L10" s="208" t="s">
        <v>534</v>
      </c>
      <c r="M10" s="243">
        <v>3972</v>
      </c>
      <c r="N10" s="242">
        <f>M10/$E$12</f>
        <v>0.23871626900655088</v>
      </c>
    </row>
    <row r="11" spans="1:21">
      <c r="A11" s="22" t="s">
        <v>330</v>
      </c>
      <c r="B11" s="22" t="s">
        <v>111</v>
      </c>
      <c r="D11" s="245" t="s">
        <v>525</v>
      </c>
      <c r="E11" s="201">
        <v>41253</v>
      </c>
      <c r="F11" s="244">
        <v>0.191</v>
      </c>
      <c r="H11" s="208" t="s">
        <v>531</v>
      </c>
      <c r="I11" s="243">
        <v>3092.7495315399997</v>
      </c>
      <c r="J11" s="242">
        <f>I11/$E$11</f>
        <v>7.4970293834145385E-2</v>
      </c>
      <c r="L11" s="208" t="s">
        <v>35</v>
      </c>
      <c r="M11" s="243">
        <v>169</v>
      </c>
      <c r="N11" s="242">
        <f>M11/$E$12</f>
        <v>1.0156860388244485E-2</v>
      </c>
    </row>
    <row r="12" spans="1:21">
      <c r="A12" s="22" t="s">
        <v>330</v>
      </c>
      <c r="B12" s="22" t="s">
        <v>111</v>
      </c>
      <c r="D12" s="245" t="s">
        <v>526</v>
      </c>
      <c r="E12" s="201">
        <v>16639</v>
      </c>
      <c r="F12" s="244">
        <f>E12/E11</f>
        <v>0.40334036312510607</v>
      </c>
      <c r="H12" s="208" t="s">
        <v>35</v>
      </c>
      <c r="I12" s="459">
        <v>8851</v>
      </c>
      <c r="J12" s="242">
        <f>I12/$E$11</f>
        <v>0.21455409303565801</v>
      </c>
      <c r="L12" s="208"/>
      <c r="M12" s="208"/>
      <c r="N12" s="208"/>
    </row>
    <row r="13" spans="1:21">
      <c r="A13" s="22" t="s">
        <v>330</v>
      </c>
      <c r="B13" s="22" t="s">
        <v>111</v>
      </c>
      <c r="D13" s="245" t="s">
        <v>527</v>
      </c>
      <c r="E13" s="201">
        <v>5062</v>
      </c>
      <c r="F13" s="244">
        <f>E13/E12</f>
        <v>0.30422501352244724</v>
      </c>
      <c r="I13" s="208"/>
      <c r="R13" s="26"/>
    </row>
    <row r="14" spans="1:21">
      <c r="A14" s="22" t="s">
        <v>330</v>
      </c>
      <c r="R14" s="26"/>
    </row>
    <row r="15" spans="1:21">
      <c r="A15" s="22" t="s">
        <v>330</v>
      </c>
      <c r="B15" s="22" t="s">
        <v>112</v>
      </c>
      <c r="D15" s="707" t="s">
        <v>664</v>
      </c>
      <c r="E15" s="707"/>
      <c r="L15" s="108"/>
      <c r="M15" s="187"/>
      <c r="N15" s="108"/>
    </row>
    <row r="16" spans="1:21">
      <c r="A16" s="22" t="s">
        <v>330</v>
      </c>
      <c r="B16" s="22" t="s">
        <v>112</v>
      </c>
      <c r="D16" s="409">
        <f>E8</f>
        <v>19330000</v>
      </c>
      <c r="E16" s="90">
        <f>F8</f>
        <v>1</v>
      </c>
      <c r="G16" s="89"/>
      <c r="H16" s="89"/>
      <c r="I16" s="89"/>
      <c r="J16" s="89"/>
      <c r="K16" s="89"/>
      <c r="L16" s="109"/>
      <c r="M16" s="187"/>
      <c r="N16" s="109"/>
      <c r="O16" s="89"/>
      <c r="P16" s="89"/>
      <c r="Q16" s="89"/>
      <c r="R16" s="89"/>
      <c r="S16" s="89"/>
      <c r="T16" s="89"/>
      <c r="U16" s="412"/>
    </row>
    <row r="17" spans="1:21">
      <c r="A17" s="22" t="s">
        <v>330</v>
      </c>
      <c r="B17" s="22" t="s">
        <v>112</v>
      </c>
      <c r="D17" s="93" t="s">
        <v>671</v>
      </c>
      <c r="G17" s="89"/>
      <c r="H17" s="89"/>
      <c r="I17" s="89"/>
      <c r="J17" s="89"/>
      <c r="K17" s="89"/>
      <c r="L17" s="109"/>
      <c r="M17" s="187"/>
      <c r="N17" s="109"/>
      <c r="O17" s="89"/>
      <c r="P17" s="89"/>
      <c r="Q17" s="89"/>
      <c r="R17" s="89"/>
      <c r="S17" s="89"/>
      <c r="T17" s="89"/>
      <c r="U17" s="412"/>
    </row>
    <row r="18" spans="1:21">
      <c r="A18" s="22" t="s">
        <v>330</v>
      </c>
      <c r="B18" s="22" t="s">
        <v>112</v>
      </c>
      <c r="L18" s="108"/>
      <c r="M18" s="187"/>
      <c r="N18" s="108"/>
    </row>
    <row r="19" spans="1:21">
      <c r="A19" s="22" t="s">
        <v>330</v>
      </c>
      <c r="B19" s="22" t="s">
        <v>112</v>
      </c>
      <c r="D19" s="707" t="s">
        <v>665</v>
      </c>
      <c r="E19" s="707"/>
      <c r="G19" s="89"/>
      <c r="H19" s="89"/>
      <c r="I19" s="89"/>
      <c r="J19" s="89"/>
      <c r="K19" s="89"/>
      <c r="L19" s="109"/>
      <c r="M19" s="109"/>
      <c r="N19" s="109"/>
      <c r="O19" s="89"/>
      <c r="P19" s="89"/>
      <c r="Q19" s="89"/>
      <c r="R19" s="89"/>
      <c r="S19" s="89"/>
      <c r="T19" s="89"/>
      <c r="U19" s="412"/>
    </row>
    <row r="20" spans="1:21">
      <c r="A20" s="22" t="s">
        <v>330</v>
      </c>
      <c r="B20" s="22" t="s">
        <v>112</v>
      </c>
      <c r="D20" s="405">
        <f>E9</f>
        <v>930717</v>
      </c>
      <c r="E20" s="90">
        <f>F9</f>
        <v>4.8148836006207965E-2</v>
      </c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412"/>
    </row>
    <row r="21" spans="1:21">
      <c r="A21" s="22" t="s">
        <v>330</v>
      </c>
      <c r="B21" s="22" t="s">
        <v>112</v>
      </c>
      <c r="D21" s="93" t="s">
        <v>671</v>
      </c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412"/>
    </row>
    <row r="22" spans="1:21">
      <c r="A22" s="22" t="s">
        <v>330</v>
      </c>
      <c r="B22" s="22" t="s">
        <v>112</v>
      </c>
      <c r="G22" s="89"/>
      <c r="H22" s="89"/>
      <c r="I22" s="89"/>
      <c r="J22" s="89"/>
      <c r="K22" s="89"/>
      <c r="L22" s="89"/>
    </row>
    <row r="23" spans="1:21">
      <c r="A23" s="22" t="s">
        <v>330</v>
      </c>
      <c r="B23" s="22" t="s">
        <v>112</v>
      </c>
      <c r="D23" s="707" t="s">
        <v>666</v>
      </c>
      <c r="E23" s="707"/>
    </row>
    <row r="24" spans="1:21">
      <c r="A24" s="22" t="s">
        <v>330</v>
      </c>
      <c r="B24" s="22" t="s">
        <v>112</v>
      </c>
      <c r="D24" s="405">
        <f>E10</f>
        <v>238803</v>
      </c>
      <c r="E24" s="90">
        <f>F10</f>
        <v>0.25657960475633301</v>
      </c>
    </row>
    <row r="25" spans="1:21">
      <c r="A25" s="22" t="s">
        <v>330</v>
      </c>
      <c r="B25" s="22" t="s">
        <v>112</v>
      </c>
      <c r="D25" s="93" t="s">
        <v>671</v>
      </c>
    </row>
    <row r="26" spans="1:21">
      <c r="A26" s="22" t="s">
        <v>330</v>
      </c>
      <c r="B26" s="22" t="s">
        <v>112</v>
      </c>
      <c r="D26" s="68"/>
      <c r="M26" s="68"/>
      <c r="U26" s="413"/>
    </row>
    <row r="27" spans="1:21">
      <c r="A27" s="22" t="s">
        <v>330</v>
      </c>
      <c r="B27" s="22" t="s">
        <v>112</v>
      </c>
      <c r="D27" s="707" t="s">
        <v>667</v>
      </c>
      <c r="E27" s="707"/>
      <c r="G27" s="68"/>
      <c r="H27" s="93"/>
      <c r="I27" s="68"/>
      <c r="J27" s="68"/>
      <c r="K27" s="68"/>
      <c r="L27" s="707" t="s">
        <v>668</v>
      </c>
      <c r="M27" s="707"/>
      <c r="N27" s="68"/>
      <c r="O27" s="68"/>
      <c r="P27" s="93" t="s">
        <v>663</v>
      </c>
      <c r="Q27" s="68"/>
      <c r="R27" s="68"/>
      <c r="T27" s="707" t="s">
        <v>669</v>
      </c>
      <c r="U27" s="707"/>
    </row>
    <row r="28" spans="1:21">
      <c r="A28" s="22" t="s">
        <v>330</v>
      </c>
      <c r="B28" s="22" t="s">
        <v>112</v>
      </c>
      <c r="D28" s="405">
        <f>E11</f>
        <v>41253</v>
      </c>
      <c r="E28" s="406">
        <f>F11</f>
        <v>0.191</v>
      </c>
      <c r="L28" s="405">
        <f>E12</f>
        <v>16639</v>
      </c>
      <c r="M28" s="406">
        <f>F12</f>
        <v>0.40334036312510607</v>
      </c>
      <c r="T28" s="405">
        <f>E13</f>
        <v>5062</v>
      </c>
      <c r="U28" s="414">
        <v>0.30420000000000003</v>
      </c>
    </row>
    <row r="29" spans="1:21">
      <c r="A29" s="22" t="s">
        <v>330</v>
      </c>
      <c r="B29" s="22" t="s">
        <v>112</v>
      </c>
      <c r="D29" s="93" t="s">
        <v>671</v>
      </c>
      <c r="L29" s="93" t="s">
        <v>671</v>
      </c>
      <c r="T29" s="93" t="s">
        <v>671</v>
      </c>
    </row>
    <row r="30" spans="1:21">
      <c r="A30" s="22" t="s">
        <v>330</v>
      </c>
      <c r="B30" s="22" t="s">
        <v>112</v>
      </c>
    </row>
    <row r="31" spans="1:21">
      <c r="A31" s="22" t="s">
        <v>330</v>
      </c>
      <c r="B31" s="22" t="s">
        <v>112</v>
      </c>
    </row>
    <row r="32" spans="1:21">
      <c r="A32" s="22" t="s">
        <v>330</v>
      </c>
      <c r="B32" s="22" t="s">
        <v>112</v>
      </c>
    </row>
    <row r="33" spans="1:22">
      <c r="A33" s="22" t="s">
        <v>330</v>
      </c>
      <c r="B33" s="22" t="s">
        <v>112</v>
      </c>
    </row>
    <row r="34" spans="1:22">
      <c r="A34" s="22" t="s">
        <v>330</v>
      </c>
      <c r="B34" s="22" t="s">
        <v>112</v>
      </c>
    </row>
    <row r="35" spans="1:22">
      <c r="A35" s="22" t="s">
        <v>330</v>
      </c>
      <c r="B35" s="22" t="s">
        <v>112</v>
      </c>
    </row>
    <row r="36" spans="1:22">
      <c r="A36" s="22" t="s">
        <v>330</v>
      </c>
      <c r="B36" s="22" t="s">
        <v>112</v>
      </c>
    </row>
    <row r="37" spans="1:22">
      <c r="A37" s="22" t="s">
        <v>330</v>
      </c>
      <c r="B37" s="22" t="s">
        <v>112</v>
      </c>
    </row>
    <row r="38" spans="1:22">
      <c r="A38" s="22" t="s">
        <v>330</v>
      </c>
      <c r="B38" s="22" t="s">
        <v>112</v>
      </c>
    </row>
    <row r="39" spans="1:22">
      <c r="A39" s="22" t="s">
        <v>330</v>
      </c>
      <c r="B39" s="22" t="s">
        <v>112</v>
      </c>
    </row>
    <row r="40" spans="1:22">
      <c r="A40" s="22" t="s">
        <v>330</v>
      </c>
      <c r="B40" s="22" t="s">
        <v>112</v>
      </c>
    </row>
    <row r="41" spans="1:22">
      <c r="A41" s="22" t="s">
        <v>330</v>
      </c>
      <c r="B41" s="22" t="s">
        <v>112</v>
      </c>
    </row>
    <row r="42" spans="1:22">
      <c r="A42" s="22" t="s">
        <v>330</v>
      </c>
      <c r="B42" s="22" t="s">
        <v>112</v>
      </c>
    </row>
    <row r="43" spans="1:22">
      <c r="A43" s="22" t="s">
        <v>330</v>
      </c>
      <c r="B43" s="22" t="s">
        <v>112</v>
      </c>
    </row>
    <row r="44" spans="1:22">
      <c r="A44" s="22" t="s">
        <v>330</v>
      </c>
      <c r="B44" s="22" t="s">
        <v>112</v>
      </c>
    </row>
    <row r="45" spans="1:22">
      <c r="A45" s="22" t="s">
        <v>330</v>
      </c>
    </row>
    <row r="46" spans="1:22">
      <c r="A46" s="22" t="s">
        <v>330</v>
      </c>
      <c r="B46" s="22" t="s">
        <v>124</v>
      </c>
      <c r="D46" s="208" t="s">
        <v>2227</v>
      </c>
      <c r="U46" s="415"/>
      <c r="V46" s="115"/>
    </row>
    <row r="47" spans="1:22" s="24" customFormat="1">
      <c r="A47" s="24" t="s">
        <v>330</v>
      </c>
      <c r="D47" s="208"/>
      <c r="U47" s="411"/>
    </row>
    <row r="48" spans="1:22">
      <c r="A48" s="69" t="s">
        <v>331</v>
      </c>
      <c r="B48" s="69" t="s">
        <v>119</v>
      </c>
      <c r="C48" s="69"/>
      <c r="D48" s="212" t="s">
        <v>1060</v>
      </c>
      <c r="E48" s="69"/>
      <c r="F48" s="69"/>
      <c r="G48" s="69"/>
      <c r="H48" s="69"/>
      <c r="I48" s="69"/>
      <c r="J48" s="69"/>
      <c r="K48" s="69"/>
      <c r="L48" s="69"/>
      <c r="M48" s="69"/>
      <c r="N48" s="69"/>
      <c r="O48" s="69"/>
      <c r="P48" s="69"/>
      <c r="Q48" s="69"/>
      <c r="R48" s="69"/>
    </row>
    <row r="49" spans="1:19">
      <c r="A49" s="22" t="s">
        <v>331</v>
      </c>
      <c r="B49" s="22" t="s">
        <v>122</v>
      </c>
      <c r="D49" s="208" t="s">
        <v>1063</v>
      </c>
    </row>
    <row r="50" spans="1:19">
      <c r="A50" s="22" t="s">
        <v>331</v>
      </c>
    </row>
    <row r="51" spans="1:19">
      <c r="A51" s="22" t="s">
        <v>331</v>
      </c>
      <c r="B51" s="22" t="s">
        <v>111</v>
      </c>
      <c r="D51" s="22" t="s">
        <v>19</v>
      </c>
      <c r="E51" s="22" t="s">
        <v>709</v>
      </c>
      <c r="F51" s="22" t="s">
        <v>202</v>
      </c>
      <c r="G51" s="22" t="s">
        <v>8</v>
      </c>
      <c r="H51" s="22" t="s">
        <v>25</v>
      </c>
      <c r="I51" s="22" t="s">
        <v>26</v>
      </c>
      <c r="J51" s="22" t="s">
        <v>27</v>
      </c>
      <c r="K51" s="22" t="s">
        <v>28</v>
      </c>
      <c r="L51" s="22" t="s">
        <v>166</v>
      </c>
      <c r="M51" s="22" t="s">
        <v>913</v>
      </c>
      <c r="N51" s="208" t="s">
        <v>1061</v>
      </c>
      <c r="P51" s="22" t="s">
        <v>222</v>
      </c>
    </row>
    <row r="52" spans="1:19">
      <c r="A52" s="22" t="s">
        <v>331</v>
      </c>
      <c r="B52" s="22" t="s">
        <v>111</v>
      </c>
      <c r="D52" s="24" t="s">
        <v>600</v>
      </c>
      <c r="E52" s="24">
        <v>498904</v>
      </c>
      <c r="F52" s="24">
        <v>554501</v>
      </c>
      <c r="G52" s="24">
        <v>593009</v>
      </c>
      <c r="H52" s="24">
        <v>637341</v>
      </c>
      <c r="I52" s="24">
        <v>659594</v>
      </c>
      <c r="J52" s="24">
        <v>694055</v>
      </c>
      <c r="K52" s="24">
        <v>787892</v>
      </c>
      <c r="L52" s="22">
        <v>857287</v>
      </c>
      <c r="M52" s="22">
        <v>890471</v>
      </c>
      <c r="N52" s="226">
        <v>930717</v>
      </c>
      <c r="O52" s="24"/>
      <c r="P52" s="24"/>
      <c r="Q52" s="24"/>
      <c r="R52" s="24"/>
      <c r="S52" s="24"/>
    </row>
    <row r="53" spans="1:19">
      <c r="A53" s="22" t="s">
        <v>331</v>
      </c>
      <c r="B53" s="22" t="s">
        <v>111</v>
      </c>
      <c r="D53" s="24" t="s">
        <v>601</v>
      </c>
      <c r="E53" s="25">
        <v>3.5900000000000001E-2</v>
      </c>
      <c r="F53" s="25">
        <v>3.85E-2</v>
      </c>
      <c r="G53" s="25">
        <v>3.95E-2</v>
      </c>
      <c r="H53" s="25">
        <v>4.0800000000000003E-2</v>
      </c>
      <c r="I53" s="25">
        <v>3.9800000000000002E-2</v>
      </c>
      <c r="J53" s="25">
        <v>3.9899999999999998E-2</v>
      </c>
      <c r="K53" s="25">
        <v>4.2900000000000001E-2</v>
      </c>
      <c r="L53" s="25">
        <v>4.5199999999999997E-2</v>
      </c>
      <c r="M53" s="213">
        <v>4.6300000000000001E-2</v>
      </c>
      <c r="N53" s="433">
        <v>4.8099999999999997E-2</v>
      </c>
      <c r="O53" s="25"/>
      <c r="P53" s="24"/>
      <c r="Q53" s="24"/>
      <c r="R53" s="24"/>
      <c r="S53" s="24"/>
    </row>
    <row r="54" spans="1:19">
      <c r="A54" s="22" t="s">
        <v>331</v>
      </c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</row>
    <row r="55" spans="1:19">
      <c r="A55" s="22" t="s">
        <v>331</v>
      </c>
      <c r="B55" s="22" t="s">
        <v>112</v>
      </c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</row>
    <row r="56" spans="1:19">
      <c r="A56" s="22" t="s">
        <v>331</v>
      </c>
      <c r="B56" s="22" t="s">
        <v>112</v>
      </c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</row>
    <row r="57" spans="1:19">
      <c r="A57" s="22" t="s">
        <v>331</v>
      </c>
      <c r="B57" s="22" t="s">
        <v>112</v>
      </c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</row>
    <row r="58" spans="1:19">
      <c r="A58" s="22" t="s">
        <v>331</v>
      </c>
      <c r="B58" s="22" t="s">
        <v>112</v>
      </c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</row>
    <row r="59" spans="1:19">
      <c r="A59" s="22" t="s">
        <v>331</v>
      </c>
      <c r="B59" s="22" t="s">
        <v>112</v>
      </c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</row>
    <row r="60" spans="1:19">
      <c r="A60" s="22" t="s">
        <v>331</v>
      </c>
      <c r="B60" s="22" t="s">
        <v>112</v>
      </c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</row>
    <row r="61" spans="1:19">
      <c r="A61" s="22" t="s">
        <v>331</v>
      </c>
      <c r="B61" s="22" t="s">
        <v>112</v>
      </c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</row>
    <row r="62" spans="1:19">
      <c r="A62" s="22" t="s">
        <v>331</v>
      </c>
      <c r="B62" s="22" t="s">
        <v>112</v>
      </c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</row>
    <row r="63" spans="1:19">
      <c r="A63" s="22" t="s">
        <v>331</v>
      </c>
      <c r="B63" s="22" t="s">
        <v>112</v>
      </c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</row>
    <row r="64" spans="1:19">
      <c r="A64" s="22" t="s">
        <v>331</v>
      </c>
      <c r="B64" s="22" t="s">
        <v>112</v>
      </c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</row>
    <row r="65" spans="1:25">
      <c r="A65" s="22" t="s">
        <v>331</v>
      </c>
      <c r="B65" s="22" t="s">
        <v>112</v>
      </c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</row>
    <row r="66" spans="1:25">
      <c r="A66" s="22" t="s">
        <v>331</v>
      </c>
      <c r="B66" s="22" t="s">
        <v>112</v>
      </c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</row>
    <row r="67" spans="1:25">
      <c r="A67" s="22" t="s">
        <v>331</v>
      </c>
      <c r="B67" s="22" t="s">
        <v>112</v>
      </c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</row>
    <row r="68" spans="1:25">
      <c r="A68" s="22" t="s">
        <v>331</v>
      </c>
      <c r="B68" s="22" t="s">
        <v>112</v>
      </c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</row>
    <row r="69" spans="1:25">
      <c r="A69" s="22" t="s">
        <v>331</v>
      </c>
      <c r="B69" s="22" t="s">
        <v>112</v>
      </c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</row>
    <row r="70" spans="1:25">
      <c r="A70" s="22" t="s">
        <v>331</v>
      </c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</row>
    <row r="71" spans="1:25">
      <c r="A71" s="22" t="s">
        <v>331</v>
      </c>
      <c r="B71" s="22" t="s">
        <v>124</v>
      </c>
      <c r="D71" s="208" t="s">
        <v>1062</v>
      </c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115"/>
      <c r="T71" s="115"/>
    </row>
    <row r="72" spans="1:25" s="24" customFormat="1">
      <c r="A72" s="24" t="s">
        <v>331</v>
      </c>
      <c r="U72" s="411"/>
    </row>
    <row r="73" spans="1:25">
      <c r="A73" s="69" t="s">
        <v>333</v>
      </c>
      <c r="B73" s="69" t="s">
        <v>119</v>
      </c>
      <c r="C73" s="69"/>
      <c r="D73" s="212" t="s">
        <v>871</v>
      </c>
      <c r="E73" s="69"/>
      <c r="F73" s="69"/>
      <c r="G73" s="69"/>
      <c r="H73" s="69"/>
      <c r="I73" s="69"/>
      <c r="J73" s="69"/>
      <c r="K73" s="69"/>
      <c r="L73" s="69"/>
      <c r="M73" s="69"/>
      <c r="N73" s="69"/>
      <c r="O73" s="69"/>
      <c r="P73" s="69"/>
      <c r="Q73" s="69"/>
      <c r="R73" s="69"/>
    </row>
    <row r="74" spans="1:25">
      <c r="A74" s="22" t="s">
        <v>333</v>
      </c>
      <c r="B74" s="22" t="s">
        <v>122</v>
      </c>
      <c r="D74" s="208" t="s">
        <v>1067</v>
      </c>
    </row>
    <row r="75" spans="1:25">
      <c r="A75" s="22" t="s">
        <v>333</v>
      </c>
      <c r="O75" s="101" t="s">
        <v>601</v>
      </c>
    </row>
    <row r="76" spans="1:25">
      <c r="A76" s="22" t="s">
        <v>333</v>
      </c>
      <c r="B76" s="22" t="s">
        <v>111</v>
      </c>
      <c r="D76" s="22" t="s">
        <v>19</v>
      </c>
      <c r="E76" s="22" t="s">
        <v>133</v>
      </c>
      <c r="F76" s="22" t="s">
        <v>134</v>
      </c>
      <c r="G76" s="22" t="s">
        <v>135</v>
      </c>
      <c r="H76" s="22" t="s">
        <v>0</v>
      </c>
      <c r="I76" s="22" t="s">
        <v>1</v>
      </c>
      <c r="J76" s="22" t="s">
        <v>2</v>
      </c>
      <c r="K76" s="22" t="s">
        <v>3</v>
      </c>
      <c r="L76" s="22" t="s">
        <v>7</v>
      </c>
      <c r="M76" s="208" t="s">
        <v>1064</v>
      </c>
      <c r="N76" s="208" t="s">
        <v>1065</v>
      </c>
      <c r="O76" s="108" t="s">
        <v>109</v>
      </c>
    </row>
    <row r="77" spans="1:25">
      <c r="A77" s="22" t="s">
        <v>333</v>
      </c>
      <c r="B77" s="22" t="s">
        <v>111</v>
      </c>
      <c r="D77" s="24" t="s">
        <v>207</v>
      </c>
      <c r="E77" s="110">
        <v>4.0199999999999996</v>
      </c>
      <c r="F77" s="110">
        <v>4.16</v>
      </c>
      <c r="G77" s="110">
        <v>4.0999999999999996</v>
      </c>
      <c r="H77" s="110">
        <v>4.17</v>
      </c>
      <c r="I77" s="110">
        <v>4.2699999999999996</v>
      </c>
      <c r="J77" s="110">
        <v>4.51</v>
      </c>
      <c r="K77" s="110">
        <v>4.82</v>
      </c>
      <c r="L77" s="110">
        <v>4.9400000000000004</v>
      </c>
      <c r="M77" s="214">
        <v>4.93</v>
      </c>
      <c r="N77" s="214"/>
      <c r="O77" s="110"/>
    </row>
    <row r="78" spans="1:25">
      <c r="A78" s="22" t="s">
        <v>333</v>
      </c>
      <c r="B78" s="22" t="s">
        <v>111</v>
      </c>
      <c r="D78" s="24" t="s">
        <v>208</v>
      </c>
      <c r="E78" s="111">
        <v>3.59</v>
      </c>
      <c r="F78" s="111">
        <v>3.85</v>
      </c>
      <c r="G78" s="111">
        <v>3.95</v>
      </c>
      <c r="H78" s="111">
        <v>4.08</v>
      </c>
      <c r="I78" s="111">
        <v>3.98</v>
      </c>
      <c r="J78" s="111">
        <v>3.99</v>
      </c>
      <c r="K78" s="111">
        <v>4.29</v>
      </c>
      <c r="L78" s="434">
        <v>4.5199999999999996</v>
      </c>
      <c r="M78" s="215">
        <v>4.63</v>
      </c>
      <c r="N78" s="215">
        <v>4.8099999999999996</v>
      </c>
      <c r="O78" s="111"/>
      <c r="P78" s="26"/>
      <c r="Q78" s="26"/>
      <c r="R78" s="26"/>
      <c r="S78" s="26"/>
      <c r="T78" s="26"/>
      <c r="U78" s="416"/>
      <c r="V78" s="26"/>
      <c r="W78" s="26"/>
      <c r="X78" s="26"/>
      <c r="Y78" s="26"/>
    </row>
    <row r="79" spans="1:25">
      <c r="A79" s="22" t="s">
        <v>333</v>
      </c>
      <c r="B79" s="22" t="s">
        <v>111</v>
      </c>
      <c r="D79" s="24" t="s">
        <v>210</v>
      </c>
      <c r="E79" s="112">
        <v>3.24</v>
      </c>
      <c r="F79" s="112">
        <v>3.21</v>
      </c>
      <c r="G79" s="112">
        <v>3.31</v>
      </c>
      <c r="H79" s="112">
        <v>3.4</v>
      </c>
      <c r="I79" s="112">
        <v>3.28</v>
      </c>
      <c r="J79" s="112">
        <v>3.16</v>
      </c>
      <c r="K79" s="112">
        <v>3.21</v>
      </c>
      <c r="L79" s="112">
        <v>3.26</v>
      </c>
      <c r="M79" s="216">
        <v>3.2</v>
      </c>
      <c r="N79" s="216">
        <v>3.3</v>
      </c>
      <c r="O79" s="112"/>
    </row>
    <row r="80" spans="1:25">
      <c r="A80" s="22" t="s">
        <v>333</v>
      </c>
      <c r="B80" s="22" t="s">
        <v>111</v>
      </c>
      <c r="D80" s="24" t="s">
        <v>212</v>
      </c>
      <c r="E80" s="112">
        <v>2.81</v>
      </c>
      <c r="F80" s="112">
        <v>2.88</v>
      </c>
      <c r="G80" s="112">
        <v>2.84</v>
      </c>
      <c r="H80" s="112">
        <v>2.88</v>
      </c>
      <c r="I80" s="112">
        <v>2.93</v>
      </c>
      <c r="J80" s="112">
        <v>2.94</v>
      </c>
      <c r="K80" s="112">
        <v>3.07</v>
      </c>
      <c r="L80" s="112">
        <v>3.13</v>
      </c>
      <c r="M80" s="216">
        <v>3.2</v>
      </c>
      <c r="N80" s="216">
        <v>3.1</v>
      </c>
      <c r="O80" s="112"/>
    </row>
    <row r="81" spans="1:21">
      <c r="A81" s="22" t="s">
        <v>333</v>
      </c>
      <c r="B81" s="22" t="s">
        <v>111</v>
      </c>
      <c r="D81" s="24" t="s">
        <v>214</v>
      </c>
      <c r="E81" s="112">
        <v>2.77</v>
      </c>
      <c r="F81" s="112">
        <v>2.68</v>
      </c>
      <c r="G81" s="112">
        <v>2.71</v>
      </c>
      <c r="H81" s="112">
        <v>2.72</v>
      </c>
      <c r="I81" s="112">
        <v>2.72</v>
      </c>
      <c r="J81" s="216">
        <v>2.79</v>
      </c>
      <c r="K81" s="216">
        <v>2.85</v>
      </c>
      <c r="L81" s="216">
        <v>2.95</v>
      </c>
      <c r="M81" s="216">
        <v>3.2</v>
      </c>
      <c r="N81" s="216">
        <v>3.5</v>
      </c>
      <c r="O81" s="112"/>
    </row>
    <row r="82" spans="1:21">
      <c r="A82" s="22" t="s">
        <v>333</v>
      </c>
      <c r="B82" s="22" t="s">
        <v>111</v>
      </c>
      <c r="D82" s="24" t="s">
        <v>211</v>
      </c>
      <c r="E82" s="112">
        <v>2.19</v>
      </c>
      <c r="F82" s="112">
        <v>2.23</v>
      </c>
      <c r="G82" s="112">
        <v>2.2400000000000002</v>
      </c>
      <c r="H82" s="112">
        <v>2.2799999999999998</v>
      </c>
      <c r="I82" s="112">
        <v>2.27</v>
      </c>
      <c r="J82" s="112">
        <v>2.2200000000000002</v>
      </c>
      <c r="K82" s="216">
        <v>2.2000000000000002</v>
      </c>
      <c r="L82" s="216">
        <v>2.19</v>
      </c>
      <c r="M82" s="216">
        <v>2.2000000000000002</v>
      </c>
      <c r="N82" s="216"/>
      <c r="O82" s="112"/>
    </row>
    <row r="83" spans="1:21">
      <c r="A83" s="22" t="s">
        <v>333</v>
      </c>
      <c r="B83" s="22" t="s">
        <v>111</v>
      </c>
      <c r="D83" s="24" t="s">
        <v>225</v>
      </c>
      <c r="E83" s="112">
        <v>1.78</v>
      </c>
      <c r="F83" s="112">
        <v>1.91</v>
      </c>
      <c r="G83" s="112">
        <v>2</v>
      </c>
      <c r="H83" s="216">
        <v>2.02</v>
      </c>
      <c r="I83" s="216">
        <v>2.06</v>
      </c>
      <c r="J83" s="216">
        <v>2.1</v>
      </c>
      <c r="K83" s="216">
        <v>2.12</v>
      </c>
      <c r="L83" s="216">
        <v>2.14</v>
      </c>
      <c r="M83" s="216">
        <v>2.23</v>
      </c>
      <c r="N83" s="216"/>
      <c r="O83" s="112"/>
    </row>
    <row r="84" spans="1:21">
      <c r="A84" s="22" t="s">
        <v>333</v>
      </c>
      <c r="B84" s="22" t="s">
        <v>111</v>
      </c>
      <c r="D84" s="24" t="s">
        <v>209</v>
      </c>
      <c r="E84" s="112">
        <v>1.65</v>
      </c>
      <c r="F84" s="112">
        <v>1.58</v>
      </c>
      <c r="G84" s="112">
        <v>1.62</v>
      </c>
      <c r="H84" s="112">
        <v>1.64</v>
      </c>
      <c r="I84" s="112">
        <v>1.65</v>
      </c>
      <c r="J84" s="216">
        <v>1.66</v>
      </c>
      <c r="K84" s="216">
        <v>1.68</v>
      </c>
      <c r="L84" s="216">
        <v>1.73</v>
      </c>
      <c r="M84" s="216">
        <v>1.76</v>
      </c>
      <c r="N84" s="216"/>
      <c r="O84" s="112"/>
    </row>
    <row r="85" spans="1:21">
      <c r="A85" s="22" t="s">
        <v>333</v>
      </c>
      <c r="B85" s="22" t="s">
        <v>111</v>
      </c>
    </row>
    <row r="86" spans="1:21">
      <c r="A86" s="22" t="s">
        <v>333</v>
      </c>
    </row>
    <row r="87" spans="1:21">
      <c r="A87" s="22" t="s">
        <v>333</v>
      </c>
    </row>
    <row r="88" spans="1:21">
      <c r="A88" s="22" t="s">
        <v>333</v>
      </c>
    </row>
    <row r="89" spans="1:21">
      <c r="A89" s="22" t="s">
        <v>333</v>
      </c>
    </row>
    <row r="90" spans="1:21">
      <c r="A90" s="22" t="s">
        <v>333</v>
      </c>
    </row>
    <row r="91" spans="1:21">
      <c r="A91" s="22" t="s">
        <v>333</v>
      </c>
    </row>
    <row r="92" spans="1:21">
      <c r="A92" s="22" t="s">
        <v>333</v>
      </c>
    </row>
    <row r="93" spans="1:21">
      <c r="A93" s="22" t="s">
        <v>333</v>
      </c>
    </row>
    <row r="94" spans="1:21">
      <c r="A94" s="22" t="s">
        <v>333</v>
      </c>
    </row>
    <row r="95" spans="1:21">
      <c r="A95" s="22" t="s">
        <v>333</v>
      </c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</row>
    <row r="96" spans="1:21">
      <c r="A96" s="22" t="s">
        <v>333</v>
      </c>
      <c r="B96" s="22" t="s">
        <v>124</v>
      </c>
      <c r="D96" s="103" t="s">
        <v>1007</v>
      </c>
      <c r="E96" s="235" t="s">
        <v>1066</v>
      </c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S96" s="115"/>
      <c r="T96" s="325"/>
      <c r="U96" s="411" t="s">
        <v>1133</v>
      </c>
    </row>
    <row r="97" spans="1:21" s="24" customFormat="1">
      <c r="A97" s="24" t="s">
        <v>333</v>
      </c>
      <c r="U97" s="411"/>
    </row>
    <row r="98" spans="1:21">
      <c r="A98" s="69" t="s">
        <v>334</v>
      </c>
      <c r="B98" s="69" t="s">
        <v>119</v>
      </c>
      <c r="C98" s="69"/>
      <c r="D98" s="435" t="s">
        <v>332</v>
      </c>
      <c r="E98" s="69"/>
      <c r="F98" s="69"/>
      <c r="G98" s="69"/>
      <c r="H98" s="69"/>
      <c r="I98" s="69"/>
      <c r="J98" s="69"/>
      <c r="K98" s="69"/>
      <c r="L98" s="69"/>
      <c r="M98" s="69"/>
      <c r="N98" s="69"/>
      <c r="O98" s="69"/>
      <c r="P98" s="69"/>
      <c r="Q98" s="69"/>
      <c r="R98" s="69"/>
    </row>
    <row r="99" spans="1:21">
      <c r="A99" s="22" t="s">
        <v>334</v>
      </c>
      <c r="B99" s="22" t="s">
        <v>122</v>
      </c>
      <c r="D99" s="208" t="s">
        <v>1068</v>
      </c>
    </row>
    <row r="100" spans="1:21">
      <c r="A100" s="22" t="s">
        <v>334</v>
      </c>
      <c r="B100" s="22" t="s">
        <v>122</v>
      </c>
      <c r="D100" s="208" t="s">
        <v>1069</v>
      </c>
    </row>
    <row r="101" spans="1:21">
      <c r="A101" s="22" t="s">
        <v>334</v>
      </c>
    </row>
    <row r="102" spans="1:21">
      <c r="A102" s="22" t="s">
        <v>334</v>
      </c>
      <c r="B102" s="22" t="s">
        <v>111</v>
      </c>
      <c r="D102" s="22" t="s">
        <v>19</v>
      </c>
      <c r="E102" s="208" t="s">
        <v>1070</v>
      </c>
      <c r="F102" s="208" t="s">
        <v>1071</v>
      </c>
      <c r="G102" s="208" t="s">
        <v>1072</v>
      </c>
      <c r="H102" s="208" t="s">
        <v>1073</v>
      </c>
      <c r="I102" s="208" t="s">
        <v>1074</v>
      </c>
      <c r="J102" s="208" t="s">
        <v>1075</v>
      </c>
      <c r="K102" s="208" t="s">
        <v>1076</v>
      </c>
      <c r="L102" s="22" t="s">
        <v>220</v>
      </c>
    </row>
    <row r="103" spans="1:21">
      <c r="A103" s="22" t="s">
        <v>334</v>
      </c>
      <c r="B103" s="22" t="s">
        <v>111</v>
      </c>
      <c r="D103" s="22" t="s">
        <v>536</v>
      </c>
      <c r="E103" s="234">
        <v>788.56</v>
      </c>
      <c r="F103" s="234">
        <v>6574.59</v>
      </c>
      <c r="G103" s="234">
        <v>1647.09</v>
      </c>
      <c r="H103" s="234">
        <v>1231.71</v>
      </c>
      <c r="I103" s="234">
        <v>599.33000000000004</v>
      </c>
      <c r="J103" s="234">
        <v>497.07</v>
      </c>
      <c r="K103" s="234">
        <v>3205.32</v>
      </c>
    </row>
    <row r="104" spans="1:21">
      <c r="A104" s="22" t="s">
        <v>334</v>
      </c>
      <c r="B104" s="22" t="s">
        <v>111</v>
      </c>
      <c r="D104" s="22" t="s">
        <v>870</v>
      </c>
      <c r="E104" s="234">
        <v>4.8099999999999996</v>
      </c>
      <c r="F104" s="234">
        <v>3.07</v>
      </c>
      <c r="G104" s="234">
        <v>3.2</v>
      </c>
      <c r="H104" s="234">
        <v>3.19</v>
      </c>
      <c r="I104" s="234">
        <v>2.2000000000000002</v>
      </c>
      <c r="J104" s="234">
        <v>1.76</v>
      </c>
      <c r="K104" s="234">
        <v>2.23</v>
      </c>
      <c r="Q104" s="52"/>
    </row>
    <row r="105" spans="1:21">
      <c r="A105" s="22" t="s">
        <v>334</v>
      </c>
      <c r="B105" s="22" t="s">
        <v>111</v>
      </c>
      <c r="D105" s="22" t="s">
        <v>710</v>
      </c>
      <c r="E105" s="216">
        <v>1</v>
      </c>
      <c r="F105" s="234">
        <f>F103/E103</f>
        <v>8.3374632241046971</v>
      </c>
      <c r="G105" s="234">
        <f>G103/E103</f>
        <v>2.0887313584254845</v>
      </c>
      <c r="H105" s="234">
        <f>H103/E103</f>
        <v>1.5619737242568734</v>
      </c>
      <c r="I105" s="234">
        <f>I103/E103</f>
        <v>0.76003094247742731</v>
      </c>
      <c r="J105" s="234">
        <f>J103/E103</f>
        <v>0.63035152683372231</v>
      </c>
      <c r="K105" s="234">
        <f>K103/E103</f>
        <v>4.0647763011058133</v>
      </c>
      <c r="S105" s="115"/>
    </row>
    <row r="106" spans="1:21">
      <c r="A106" s="22" t="s">
        <v>334</v>
      </c>
      <c r="B106" s="22" t="s">
        <v>111</v>
      </c>
      <c r="E106" s="26"/>
      <c r="F106" s="404"/>
      <c r="G106" s="404"/>
      <c r="H106" s="404"/>
      <c r="I106" s="404"/>
      <c r="J106" s="404"/>
      <c r="K106" s="404"/>
    </row>
    <row r="107" spans="1:21">
      <c r="A107" s="22" t="s">
        <v>334</v>
      </c>
    </row>
    <row r="108" spans="1:21">
      <c r="A108" s="22" t="s">
        <v>334</v>
      </c>
      <c r="B108" s="22" t="s">
        <v>112</v>
      </c>
    </row>
    <row r="109" spans="1:21">
      <c r="A109" s="22" t="s">
        <v>334</v>
      </c>
      <c r="B109" s="22" t="s">
        <v>112</v>
      </c>
    </row>
    <row r="110" spans="1:21">
      <c r="A110" s="22" t="s">
        <v>334</v>
      </c>
      <c r="B110" s="22" t="s">
        <v>112</v>
      </c>
    </row>
    <row r="111" spans="1:21">
      <c r="A111" s="22" t="s">
        <v>334</v>
      </c>
      <c r="B111" s="22" t="s">
        <v>112</v>
      </c>
    </row>
    <row r="112" spans="1:21">
      <c r="A112" s="22" t="s">
        <v>334</v>
      </c>
      <c r="B112" s="22" t="s">
        <v>112</v>
      </c>
    </row>
    <row r="113" spans="1:21">
      <c r="A113" s="22" t="s">
        <v>334</v>
      </c>
      <c r="B113" s="22" t="s">
        <v>112</v>
      </c>
    </row>
    <row r="114" spans="1:21">
      <c r="A114" s="22" t="s">
        <v>334</v>
      </c>
      <c r="B114" s="22" t="s">
        <v>112</v>
      </c>
    </row>
    <row r="115" spans="1:21">
      <c r="A115" s="22" t="s">
        <v>334</v>
      </c>
      <c r="B115" s="22" t="s">
        <v>112</v>
      </c>
    </row>
    <row r="116" spans="1:21">
      <c r="A116" s="22" t="s">
        <v>334</v>
      </c>
      <c r="B116" s="22" t="s">
        <v>112</v>
      </c>
    </row>
    <row r="117" spans="1:21">
      <c r="A117" s="22" t="s">
        <v>334</v>
      </c>
      <c r="B117" s="22" t="s">
        <v>112</v>
      </c>
    </row>
    <row r="118" spans="1:21">
      <c r="A118" s="22" t="s">
        <v>334</v>
      </c>
      <c r="B118" s="22" t="s">
        <v>112</v>
      </c>
    </row>
    <row r="119" spans="1:21">
      <c r="A119" s="22" t="s">
        <v>334</v>
      </c>
      <c r="B119" s="22" t="s">
        <v>112</v>
      </c>
    </row>
    <row r="120" spans="1:21">
      <c r="A120" s="22" t="s">
        <v>334</v>
      </c>
      <c r="B120" s="22" t="s">
        <v>112</v>
      </c>
    </row>
    <row r="121" spans="1:21">
      <c r="A121" s="22" t="s">
        <v>334</v>
      </c>
      <c r="B121" s="22" t="s">
        <v>112</v>
      </c>
    </row>
    <row r="122" spans="1:21">
      <c r="A122" s="22" t="s">
        <v>334</v>
      </c>
      <c r="B122" s="22" t="s">
        <v>112</v>
      </c>
    </row>
    <row r="123" spans="1:21">
      <c r="A123" s="22" t="s">
        <v>334</v>
      </c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</row>
    <row r="124" spans="1:21">
      <c r="A124" s="22" t="s">
        <v>334</v>
      </c>
      <c r="B124" s="22" t="s">
        <v>124</v>
      </c>
      <c r="D124" s="208" t="s">
        <v>1062</v>
      </c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U124" s="415"/>
    </row>
    <row r="125" spans="1:21" s="24" customFormat="1">
      <c r="A125" s="24" t="s">
        <v>334</v>
      </c>
      <c r="U125" s="411"/>
    </row>
    <row r="126" spans="1:21">
      <c r="A126" s="69" t="s">
        <v>335</v>
      </c>
      <c r="B126" s="69" t="s">
        <v>119</v>
      </c>
      <c r="C126" s="69"/>
      <c r="D126" s="212" t="s">
        <v>1077</v>
      </c>
      <c r="E126" s="69"/>
      <c r="F126" s="69"/>
      <c r="G126" s="69"/>
      <c r="H126" s="69"/>
      <c r="I126" s="69"/>
      <c r="J126" s="69"/>
      <c r="K126" s="69"/>
      <c r="L126" s="69"/>
      <c r="M126" s="69"/>
      <c r="N126" s="69"/>
      <c r="O126" s="69"/>
      <c r="P126" s="69"/>
      <c r="Q126" s="69"/>
      <c r="R126" s="69"/>
    </row>
    <row r="127" spans="1:21">
      <c r="A127" s="22" t="s">
        <v>335</v>
      </c>
      <c r="B127" s="22" t="s">
        <v>122</v>
      </c>
      <c r="D127" s="208" t="s">
        <v>1080</v>
      </c>
    </row>
    <row r="128" spans="1:21">
      <c r="A128" s="22" t="s">
        <v>335</v>
      </c>
      <c r="B128" s="22" t="s">
        <v>122</v>
      </c>
      <c r="D128" s="208" t="s">
        <v>1081</v>
      </c>
    </row>
    <row r="129" spans="1:19">
      <c r="A129" s="22" t="s">
        <v>335</v>
      </c>
      <c r="B129" s="22" t="s">
        <v>122</v>
      </c>
      <c r="D129" s="208" t="s">
        <v>1082</v>
      </c>
    </row>
    <row r="130" spans="1:19">
      <c r="A130" s="22" t="s">
        <v>335</v>
      </c>
      <c r="B130" s="22" t="s">
        <v>122</v>
      </c>
      <c r="D130" s="208" t="s">
        <v>1083</v>
      </c>
    </row>
    <row r="131" spans="1:19">
      <c r="A131" s="22" t="s">
        <v>335</v>
      </c>
    </row>
    <row r="132" spans="1:19">
      <c r="A132" s="22" t="s">
        <v>335</v>
      </c>
      <c r="B132" s="22" t="s">
        <v>111</v>
      </c>
      <c r="D132" s="22" t="s">
        <v>19</v>
      </c>
      <c r="E132" s="22" t="s">
        <v>133</v>
      </c>
      <c r="F132" s="22" t="s">
        <v>134</v>
      </c>
      <c r="G132" s="22" t="s">
        <v>135</v>
      </c>
      <c r="H132" s="22" t="s">
        <v>0</v>
      </c>
      <c r="I132" s="22" t="s">
        <v>1</v>
      </c>
      <c r="J132" s="22" t="s">
        <v>2</v>
      </c>
      <c r="K132" s="22" t="s">
        <v>3</v>
      </c>
      <c r="L132" s="22" t="s">
        <v>7</v>
      </c>
      <c r="M132" s="403" t="s">
        <v>913</v>
      </c>
      <c r="N132" s="208" t="s">
        <v>1079</v>
      </c>
      <c r="O132" s="22" t="s">
        <v>286</v>
      </c>
    </row>
    <row r="133" spans="1:19">
      <c r="A133" s="22" t="s">
        <v>335</v>
      </c>
      <c r="B133" s="22" t="s">
        <v>111</v>
      </c>
      <c r="D133" s="22" t="s">
        <v>625</v>
      </c>
      <c r="E133" s="22">
        <v>130033</v>
      </c>
      <c r="F133" s="22">
        <v>138221</v>
      </c>
      <c r="G133" s="22">
        <v>142417</v>
      </c>
      <c r="H133" s="22">
        <v>152750</v>
      </c>
      <c r="I133" s="22">
        <v>162935</v>
      </c>
      <c r="J133" s="22">
        <v>164100</v>
      </c>
      <c r="K133" s="22">
        <v>177371</v>
      </c>
      <c r="L133" s="22">
        <v>183630</v>
      </c>
      <c r="M133" s="436">
        <v>190955</v>
      </c>
      <c r="N133" s="218">
        <v>215812</v>
      </c>
      <c r="P133" s="45">
        <f>표97_149[[#This Row],[2020년]]/표97_149[[#Totals],[2020년]]</f>
        <v>0.23187739331869228</v>
      </c>
      <c r="S133" s="45"/>
    </row>
    <row r="134" spans="1:19">
      <c r="A134" s="22" t="s">
        <v>335</v>
      </c>
      <c r="B134" s="22" t="s">
        <v>111</v>
      </c>
      <c r="D134" s="22" t="s">
        <v>626</v>
      </c>
      <c r="E134" s="22">
        <v>367753</v>
      </c>
      <c r="F134" s="22">
        <v>414378</v>
      </c>
      <c r="G134" s="22">
        <v>448792</v>
      </c>
      <c r="H134" s="22">
        <v>480083</v>
      </c>
      <c r="I134" s="22">
        <v>491700</v>
      </c>
      <c r="J134" s="22">
        <v>523459</v>
      </c>
      <c r="K134" s="22">
        <v>600643</v>
      </c>
      <c r="L134" s="22">
        <v>657028</v>
      </c>
      <c r="M134" s="436">
        <v>685216</v>
      </c>
      <c r="N134" s="218">
        <v>712692</v>
      </c>
      <c r="P134" s="45"/>
      <c r="S134" s="45"/>
    </row>
    <row r="135" spans="1:19">
      <c r="A135" s="22" t="s">
        <v>335</v>
      </c>
      <c r="B135" s="22" t="s">
        <v>111</v>
      </c>
      <c r="D135" s="22" t="s">
        <v>627</v>
      </c>
      <c r="E135" s="22">
        <v>1118</v>
      </c>
      <c r="F135" s="22">
        <v>1902</v>
      </c>
      <c r="G135" s="22">
        <v>1800</v>
      </c>
      <c r="H135" s="22">
        <v>4508</v>
      </c>
      <c r="I135" s="22">
        <v>4959</v>
      </c>
      <c r="J135" s="22">
        <v>6496</v>
      </c>
      <c r="K135" s="22">
        <v>9878</v>
      </c>
      <c r="L135" s="22">
        <v>16629</v>
      </c>
      <c r="M135" s="436">
        <v>14300</v>
      </c>
      <c r="N135" s="218">
        <v>2212</v>
      </c>
      <c r="S135" s="45"/>
    </row>
    <row r="136" spans="1:19">
      <c r="A136" s="22" t="s">
        <v>335</v>
      </c>
      <c r="M136" s="437"/>
      <c r="N136" s="438">
        <f>SUM(N133:N135)</f>
        <v>930716</v>
      </c>
    </row>
    <row r="137" spans="1:19">
      <c r="A137" s="22" t="s">
        <v>335</v>
      </c>
      <c r="B137" s="22" t="s">
        <v>112</v>
      </c>
    </row>
    <row r="138" spans="1:19">
      <c r="A138" s="22" t="s">
        <v>335</v>
      </c>
      <c r="B138" s="22" t="s">
        <v>112</v>
      </c>
    </row>
    <row r="139" spans="1:19">
      <c r="A139" s="22" t="s">
        <v>335</v>
      </c>
      <c r="B139" s="22" t="s">
        <v>112</v>
      </c>
    </row>
    <row r="140" spans="1:19">
      <c r="A140" s="22" t="s">
        <v>335</v>
      </c>
      <c r="B140" s="22" t="s">
        <v>112</v>
      </c>
    </row>
    <row r="141" spans="1:19">
      <c r="A141" s="22" t="s">
        <v>335</v>
      </c>
      <c r="B141" s="22" t="s">
        <v>112</v>
      </c>
    </row>
    <row r="142" spans="1:19">
      <c r="A142" s="22" t="s">
        <v>335</v>
      </c>
      <c r="B142" s="22" t="s">
        <v>112</v>
      </c>
    </row>
    <row r="143" spans="1:19">
      <c r="A143" s="22" t="s">
        <v>335</v>
      </c>
      <c r="B143" s="22" t="s">
        <v>112</v>
      </c>
    </row>
    <row r="144" spans="1:19">
      <c r="A144" s="22" t="s">
        <v>335</v>
      </c>
      <c r="B144" s="22" t="s">
        <v>112</v>
      </c>
    </row>
    <row r="145" spans="1:21">
      <c r="A145" s="22" t="s">
        <v>335</v>
      </c>
      <c r="B145" s="22" t="s">
        <v>112</v>
      </c>
    </row>
    <row r="146" spans="1:21">
      <c r="A146" s="22" t="s">
        <v>335</v>
      </c>
      <c r="B146" s="22" t="s">
        <v>112</v>
      </c>
    </row>
    <row r="147" spans="1:21">
      <c r="A147" s="22" t="s">
        <v>335</v>
      </c>
      <c r="B147" s="22" t="s">
        <v>112</v>
      </c>
    </row>
    <row r="148" spans="1:21">
      <c r="A148" s="22" t="s">
        <v>335</v>
      </c>
      <c r="B148" s="22" t="s">
        <v>112</v>
      </c>
    </row>
    <row r="149" spans="1:21">
      <c r="A149" s="22" t="s">
        <v>335</v>
      </c>
      <c r="B149" s="22" t="s">
        <v>112</v>
      </c>
    </row>
    <row r="150" spans="1:21">
      <c r="A150" s="22" t="s">
        <v>335</v>
      </c>
      <c r="B150" s="22" t="s">
        <v>112</v>
      </c>
    </row>
    <row r="151" spans="1:21">
      <c r="A151" s="22" t="s">
        <v>335</v>
      </c>
      <c r="B151" s="22" t="s">
        <v>112</v>
      </c>
    </row>
    <row r="152" spans="1:21">
      <c r="A152" s="22" t="s">
        <v>335</v>
      </c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</row>
    <row r="153" spans="1:21">
      <c r="A153" s="22" t="s">
        <v>335</v>
      </c>
      <c r="B153" s="22" t="s">
        <v>124</v>
      </c>
      <c r="D153" s="208" t="s">
        <v>1062</v>
      </c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115"/>
    </row>
    <row r="154" spans="1:21" s="24" customFormat="1">
      <c r="A154" s="24" t="s">
        <v>335</v>
      </c>
      <c r="U154" s="411"/>
    </row>
    <row r="155" spans="1:21">
      <c r="A155" s="69" t="s">
        <v>336</v>
      </c>
      <c r="B155" s="69" t="s">
        <v>119</v>
      </c>
      <c r="C155" s="69"/>
      <c r="D155" s="212" t="s">
        <v>1084</v>
      </c>
      <c r="E155" s="69"/>
      <c r="F155" s="69"/>
      <c r="G155" s="69"/>
      <c r="H155" s="69"/>
      <c r="I155" s="69"/>
      <c r="J155" s="69"/>
      <c r="K155" s="69"/>
      <c r="L155" s="69"/>
      <c r="M155" s="69"/>
      <c r="N155" s="69"/>
      <c r="O155" s="69"/>
      <c r="P155" s="69"/>
      <c r="Q155" s="69"/>
      <c r="R155" s="69"/>
    </row>
    <row r="156" spans="1:21">
      <c r="A156" s="22" t="s">
        <v>336</v>
      </c>
      <c r="B156" s="22" t="s">
        <v>122</v>
      </c>
      <c r="D156" s="208" t="s">
        <v>1087</v>
      </c>
    </row>
    <row r="157" spans="1:21">
      <c r="A157" s="22" t="s">
        <v>336</v>
      </c>
      <c r="B157" s="22" t="s">
        <v>122</v>
      </c>
      <c r="D157" s="208" t="s">
        <v>1088</v>
      </c>
    </row>
    <row r="158" spans="1:21">
      <c r="A158" s="22" t="s">
        <v>336</v>
      </c>
    </row>
    <row r="159" spans="1:21">
      <c r="A159" s="22" t="s">
        <v>336</v>
      </c>
      <c r="B159" s="22" t="s">
        <v>111</v>
      </c>
      <c r="D159" s="22" t="s">
        <v>19</v>
      </c>
      <c r="E159" s="22" t="s">
        <v>133</v>
      </c>
      <c r="F159" s="22" t="s">
        <v>134</v>
      </c>
      <c r="G159" s="22" t="s">
        <v>135</v>
      </c>
      <c r="H159" s="22" t="s">
        <v>0</v>
      </c>
      <c r="I159" s="22" t="s">
        <v>1</v>
      </c>
      <c r="J159" s="22" t="s">
        <v>2</v>
      </c>
      <c r="K159" s="22" t="s">
        <v>3</v>
      </c>
      <c r="L159" s="22" t="s">
        <v>166</v>
      </c>
      <c r="M159" s="403" t="s">
        <v>913</v>
      </c>
      <c r="N159" s="208" t="s">
        <v>1061</v>
      </c>
      <c r="O159" s="22" t="s">
        <v>537</v>
      </c>
    </row>
    <row r="160" spans="1:21">
      <c r="A160" s="22" t="s">
        <v>336</v>
      </c>
      <c r="B160" s="22" t="s">
        <v>111</v>
      </c>
      <c r="D160" s="22" t="s">
        <v>604</v>
      </c>
      <c r="E160" s="22">
        <v>148528</v>
      </c>
      <c r="F160" s="22">
        <v>159064</v>
      </c>
      <c r="G160" s="22">
        <v>169139</v>
      </c>
      <c r="H160" s="22">
        <v>176395</v>
      </c>
      <c r="I160" s="22">
        <v>188747</v>
      </c>
      <c r="J160" s="22">
        <v>190044</v>
      </c>
      <c r="K160" s="22">
        <v>193927</v>
      </c>
      <c r="L160" s="22">
        <v>197759</v>
      </c>
      <c r="M160" s="403">
        <v>206254</v>
      </c>
      <c r="N160" s="440">
        <v>238803</v>
      </c>
      <c r="O160" s="224"/>
    </row>
    <row r="161" spans="1:14">
      <c r="A161" s="22" t="s">
        <v>336</v>
      </c>
      <c r="B161" s="22" t="s">
        <v>111</v>
      </c>
      <c r="D161" s="22" t="s">
        <v>605</v>
      </c>
      <c r="E161" s="22">
        <v>41619</v>
      </c>
      <c r="F161" s="22">
        <v>49948</v>
      </c>
      <c r="G161" s="22">
        <v>50865</v>
      </c>
      <c r="H161" s="22">
        <v>53493</v>
      </c>
      <c r="I161" s="22">
        <v>54433</v>
      </c>
      <c r="J161" s="22">
        <v>54827</v>
      </c>
      <c r="K161" s="22">
        <v>61280</v>
      </c>
      <c r="L161" s="22">
        <v>63697</v>
      </c>
      <c r="M161" s="439">
        <v>70327</v>
      </c>
      <c r="N161" s="440">
        <v>73501</v>
      </c>
    </row>
    <row r="162" spans="1:14">
      <c r="A162" s="22" t="s">
        <v>336</v>
      </c>
    </row>
    <row r="163" spans="1:14">
      <c r="A163" s="22" t="s">
        <v>336</v>
      </c>
      <c r="B163" s="22" t="s">
        <v>112</v>
      </c>
    </row>
    <row r="164" spans="1:14">
      <c r="A164" s="22" t="s">
        <v>336</v>
      </c>
      <c r="B164" s="22" t="s">
        <v>112</v>
      </c>
    </row>
    <row r="165" spans="1:14">
      <c r="A165" s="22" t="s">
        <v>336</v>
      </c>
      <c r="B165" s="22" t="s">
        <v>112</v>
      </c>
    </row>
    <row r="166" spans="1:14">
      <c r="A166" s="22" t="s">
        <v>336</v>
      </c>
      <c r="B166" s="22" t="s">
        <v>112</v>
      </c>
    </row>
    <row r="167" spans="1:14">
      <c r="A167" s="22" t="s">
        <v>336</v>
      </c>
      <c r="B167" s="22" t="s">
        <v>112</v>
      </c>
    </row>
    <row r="168" spans="1:14">
      <c r="A168" s="22" t="s">
        <v>336</v>
      </c>
      <c r="B168" s="22" t="s">
        <v>112</v>
      </c>
    </row>
    <row r="169" spans="1:14">
      <c r="A169" s="22" t="s">
        <v>336</v>
      </c>
      <c r="B169" s="22" t="s">
        <v>112</v>
      </c>
    </row>
    <row r="170" spans="1:14">
      <c r="A170" s="22" t="s">
        <v>336</v>
      </c>
      <c r="B170" s="22" t="s">
        <v>112</v>
      </c>
    </row>
    <row r="171" spans="1:14">
      <c r="A171" s="22" t="s">
        <v>336</v>
      </c>
      <c r="B171" s="22" t="s">
        <v>112</v>
      </c>
    </row>
    <row r="172" spans="1:14">
      <c r="A172" s="22" t="s">
        <v>336</v>
      </c>
      <c r="B172" s="22" t="s">
        <v>112</v>
      </c>
    </row>
    <row r="173" spans="1:14">
      <c r="A173" s="22" t="s">
        <v>336</v>
      </c>
      <c r="B173" s="22" t="s">
        <v>112</v>
      </c>
    </row>
    <row r="174" spans="1:14">
      <c r="A174" s="22" t="s">
        <v>336</v>
      </c>
      <c r="B174" s="22" t="s">
        <v>112</v>
      </c>
    </row>
    <row r="175" spans="1:14">
      <c r="A175" s="22" t="s">
        <v>336</v>
      </c>
      <c r="B175" s="22" t="s">
        <v>112</v>
      </c>
    </row>
    <row r="176" spans="1:14">
      <c r="A176" s="22" t="s">
        <v>336</v>
      </c>
      <c r="B176" s="22" t="s">
        <v>112</v>
      </c>
    </row>
    <row r="177" spans="1:21">
      <c r="A177" s="22" t="s">
        <v>336</v>
      </c>
      <c r="B177" s="22" t="s">
        <v>112</v>
      </c>
    </row>
    <row r="178" spans="1:21">
      <c r="A178" s="22" t="s">
        <v>336</v>
      </c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</row>
    <row r="179" spans="1:21">
      <c r="A179" s="22" t="s">
        <v>336</v>
      </c>
      <c r="B179" s="22" t="s">
        <v>124</v>
      </c>
      <c r="D179" s="208" t="s">
        <v>1086</v>
      </c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115"/>
      <c r="T179" s="115"/>
    </row>
    <row r="180" spans="1:21" s="24" customFormat="1">
      <c r="A180" s="24" t="s">
        <v>336</v>
      </c>
      <c r="U180" s="411"/>
    </row>
    <row r="181" spans="1:21">
      <c r="A181" s="69" t="s">
        <v>338</v>
      </c>
      <c r="B181" s="69" t="s">
        <v>119</v>
      </c>
      <c r="C181" s="69"/>
      <c r="D181" s="212" t="s">
        <v>1089</v>
      </c>
      <c r="E181" s="212"/>
      <c r="F181" s="69"/>
      <c r="G181" s="69"/>
      <c r="H181" s="69"/>
      <c r="I181" s="69"/>
      <c r="J181" s="69"/>
      <c r="K181" s="69"/>
      <c r="L181" s="69"/>
      <c r="M181" s="69"/>
      <c r="N181" s="69"/>
      <c r="O181" s="69"/>
      <c r="P181" s="69"/>
      <c r="Q181" s="69"/>
      <c r="R181" s="69"/>
    </row>
    <row r="182" spans="1:21">
      <c r="A182" s="22" t="s">
        <v>338</v>
      </c>
      <c r="B182" s="22" t="s">
        <v>122</v>
      </c>
      <c r="D182" s="208" t="s">
        <v>1094</v>
      </c>
    </row>
    <row r="183" spans="1:21">
      <c r="A183" s="22" t="s">
        <v>338</v>
      </c>
      <c r="B183" s="22" t="s">
        <v>122</v>
      </c>
      <c r="D183" s="22" t="s">
        <v>337</v>
      </c>
    </row>
    <row r="184" spans="1:21">
      <c r="A184" s="22" t="s">
        <v>338</v>
      </c>
      <c r="U184" s="417"/>
    </row>
    <row r="185" spans="1:21">
      <c r="A185" s="22" t="s">
        <v>338</v>
      </c>
      <c r="B185" s="22" t="s">
        <v>111</v>
      </c>
      <c r="D185" s="22" t="s">
        <v>19</v>
      </c>
      <c r="E185" s="22" t="s">
        <v>711</v>
      </c>
      <c r="F185" s="22" t="s">
        <v>705</v>
      </c>
      <c r="G185" s="403" t="s">
        <v>914</v>
      </c>
      <c r="H185" s="403" t="s">
        <v>915</v>
      </c>
      <c r="I185" s="208" t="s">
        <v>1091</v>
      </c>
      <c r="J185" s="208" t="s">
        <v>1092</v>
      </c>
      <c r="K185" s="208" t="s">
        <v>1093</v>
      </c>
      <c r="L185" s="403" t="s">
        <v>347</v>
      </c>
      <c r="M185" s="22" t="s">
        <v>222</v>
      </c>
      <c r="U185" s="417"/>
    </row>
    <row r="186" spans="1:21">
      <c r="A186" s="22" t="s">
        <v>338</v>
      </c>
      <c r="B186" s="22" t="s">
        <v>111</v>
      </c>
      <c r="D186" s="22" t="s">
        <v>539</v>
      </c>
      <c r="E186" s="22">
        <v>33451</v>
      </c>
      <c r="F186" s="45">
        <f>표100151[[#This Row],[2019년 연구개발비]]/E194</f>
        <v>0.18762223101051526</v>
      </c>
      <c r="G186" s="436">
        <v>34633</v>
      </c>
      <c r="H186" s="441">
        <v>0.18</v>
      </c>
      <c r="I186" s="218">
        <v>43168</v>
      </c>
      <c r="J186" s="291">
        <v>0.192</v>
      </c>
      <c r="K186" s="440">
        <v>8535</v>
      </c>
      <c r="L186" s="277">
        <v>24.6</v>
      </c>
      <c r="U186" s="417"/>
    </row>
    <row r="187" spans="1:21">
      <c r="A187" s="22" t="s">
        <v>338</v>
      </c>
      <c r="B187" s="22" t="s">
        <v>111</v>
      </c>
      <c r="D187" s="22" t="s">
        <v>540</v>
      </c>
      <c r="E187" s="22">
        <v>35494</v>
      </c>
      <c r="F187" s="45">
        <f>표100151[[#This Row],[2019년 연구개발비]]/$G$194</f>
        <v>0.19064159877879719</v>
      </c>
      <c r="G187" s="442">
        <v>36717</v>
      </c>
      <c r="H187" s="441">
        <v>0.191</v>
      </c>
      <c r="I187" s="221">
        <v>41253</v>
      </c>
      <c r="J187" s="445">
        <v>0.184</v>
      </c>
      <c r="K187" s="440">
        <v>4536</v>
      </c>
      <c r="L187" s="277">
        <v>12.4</v>
      </c>
      <c r="N187" s="45"/>
      <c r="U187" s="417"/>
    </row>
    <row r="188" spans="1:21">
      <c r="A188" s="22" t="s">
        <v>338</v>
      </c>
      <c r="B188" s="22" t="s">
        <v>111</v>
      </c>
      <c r="D188" s="22" t="s">
        <v>541</v>
      </c>
      <c r="E188" s="22">
        <v>8133</v>
      </c>
      <c r="F188" s="45">
        <f>표100151[[#This Row],[2019년 연구개발비]]/$G$194</f>
        <v>4.3427467717565692E-2</v>
      </c>
      <c r="G188" s="436">
        <v>8364</v>
      </c>
      <c r="H188" s="441">
        <v>4.2999999999999997E-2</v>
      </c>
      <c r="I188" s="221">
        <v>10884</v>
      </c>
      <c r="J188" s="291">
        <v>4.8000000000000001E-2</v>
      </c>
      <c r="K188" s="440">
        <v>2520</v>
      </c>
      <c r="L188" s="277">
        <v>30.1</v>
      </c>
      <c r="U188" s="417"/>
    </row>
    <row r="189" spans="1:21">
      <c r="A189" s="22" t="s">
        <v>338</v>
      </c>
      <c r="B189" s="22" t="s">
        <v>111</v>
      </c>
      <c r="D189" s="22" t="s">
        <v>542</v>
      </c>
      <c r="E189" s="22">
        <v>14875</v>
      </c>
      <c r="F189" s="45">
        <f>표100151[[#This Row],[2019년 연구개발비]]/$G$194</f>
        <v>9.1496752285861155E-2</v>
      </c>
      <c r="G189" s="436">
        <v>17622</v>
      </c>
      <c r="H189" s="441">
        <v>9.0999999999999998E-2</v>
      </c>
      <c r="I189" s="221">
        <v>21461</v>
      </c>
      <c r="J189" s="291">
        <v>9.6000000000000002E-2</v>
      </c>
      <c r="K189" s="440">
        <v>3839</v>
      </c>
      <c r="L189" s="277">
        <v>21.8</v>
      </c>
      <c r="N189" s="45"/>
      <c r="U189" s="417"/>
    </row>
    <row r="190" spans="1:21">
      <c r="A190" s="22" t="s">
        <v>338</v>
      </c>
      <c r="B190" s="22" t="s">
        <v>111</v>
      </c>
      <c r="D190" s="22" t="s">
        <v>543</v>
      </c>
      <c r="E190" s="22">
        <v>22294</v>
      </c>
      <c r="F190" s="45">
        <f>표100151[[#This Row],[2019년 연구개발비]]/$G$194</f>
        <v>0.11810672025005582</v>
      </c>
      <c r="G190" s="436">
        <v>22747</v>
      </c>
      <c r="H190" s="441">
        <v>0.11799999999999999</v>
      </c>
      <c r="I190" s="221">
        <v>27738</v>
      </c>
      <c r="J190" s="291">
        <v>0.123</v>
      </c>
      <c r="K190" s="440">
        <v>4991</v>
      </c>
      <c r="L190" s="277">
        <v>21.9</v>
      </c>
      <c r="U190" s="417"/>
    </row>
    <row r="191" spans="1:21">
      <c r="A191" s="22" t="s">
        <v>338</v>
      </c>
      <c r="B191" s="22" t="s">
        <v>111</v>
      </c>
      <c r="D191" s="22" t="s">
        <v>544</v>
      </c>
      <c r="E191" s="22">
        <v>2423</v>
      </c>
      <c r="F191" s="45">
        <f>표100151[[#This Row],[2019년 연구개발비]]/$G$194</f>
        <v>1.1396854571981911E-2</v>
      </c>
      <c r="G191" s="436">
        <v>2195</v>
      </c>
      <c r="H191" s="441">
        <v>1.0999999999999999E-2</v>
      </c>
      <c r="I191" s="221">
        <v>2485</v>
      </c>
      <c r="J191" s="220">
        <v>1.0999999999999999E-2</v>
      </c>
      <c r="K191" s="277">
        <v>290</v>
      </c>
      <c r="L191" s="277">
        <v>13.2</v>
      </c>
      <c r="U191" s="417"/>
    </row>
    <row r="192" spans="1:21">
      <c r="A192" s="22" t="s">
        <v>338</v>
      </c>
      <c r="B192" s="22" t="s">
        <v>111</v>
      </c>
      <c r="D192" s="22" t="s">
        <v>545</v>
      </c>
      <c r="E192" s="22">
        <v>116670</v>
      </c>
      <c r="F192" s="45">
        <f>표100151[[#This Row],[2019년 연구개발비]]/$G$194</f>
        <v>0.63488527858689392</v>
      </c>
      <c r="G192" s="439">
        <v>122277</v>
      </c>
      <c r="H192" s="443">
        <v>0.63500000000000001</v>
      </c>
      <c r="I192" s="221">
        <v>146988</v>
      </c>
      <c r="J192" s="223">
        <v>0.65400000000000003</v>
      </c>
      <c r="K192" s="440">
        <v>24711</v>
      </c>
      <c r="L192" s="277">
        <v>20.2</v>
      </c>
    </row>
    <row r="193" spans="1:12">
      <c r="A193" s="22" t="s">
        <v>338</v>
      </c>
      <c r="B193" s="22" t="s">
        <v>111</v>
      </c>
      <c r="D193" s="22" t="s">
        <v>546</v>
      </c>
      <c r="E193" s="22">
        <v>67919</v>
      </c>
      <c r="F193" s="45">
        <f>표100151[[#This Row],[2019년 연구개발비]]/$G$194</f>
        <v>0.36511472141310614</v>
      </c>
      <c r="G193" s="436">
        <v>70320</v>
      </c>
      <c r="H193" s="443">
        <v>0.36499999999999999</v>
      </c>
      <c r="I193" s="440">
        <v>77694</v>
      </c>
      <c r="J193" s="223">
        <v>0.34599999999999997</v>
      </c>
      <c r="K193" s="440">
        <v>7374</v>
      </c>
      <c r="L193" s="277">
        <v>10.5</v>
      </c>
    </row>
    <row r="194" spans="1:12">
      <c r="A194" s="22" t="s">
        <v>338</v>
      </c>
      <c r="B194" s="22" t="s">
        <v>111</v>
      </c>
      <c r="D194" s="22" t="s">
        <v>547</v>
      </c>
      <c r="E194" s="22">
        <v>184589</v>
      </c>
      <c r="F194" s="45">
        <f>표100151[[#This Row],[2019년 연구개발비]]/$G$194</f>
        <v>1</v>
      </c>
      <c r="G194" s="444">
        <v>192597</v>
      </c>
      <c r="H194" s="443">
        <v>1</v>
      </c>
      <c r="I194" s="440">
        <v>224682</v>
      </c>
      <c r="J194" s="223">
        <v>1</v>
      </c>
      <c r="K194" s="440">
        <v>32085</v>
      </c>
      <c r="L194" s="277">
        <v>16.7</v>
      </c>
    </row>
    <row r="195" spans="1:12">
      <c r="A195" s="22" t="s">
        <v>338</v>
      </c>
    </row>
    <row r="196" spans="1:12">
      <c r="A196" s="22" t="s">
        <v>338</v>
      </c>
      <c r="B196" s="22" t="s">
        <v>112</v>
      </c>
    </row>
    <row r="197" spans="1:12">
      <c r="A197" s="22" t="s">
        <v>338</v>
      </c>
      <c r="B197" s="22" t="s">
        <v>112</v>
      </c>
    </row>
    <row r="198" spans="1:12">
      <c r="A198" s="22" t="s">
        <v>338</v>
      </c>
      <c r="B198" s="22" t="s">
        <v>112</v>
      </c>
    </row>
    <row r="199" spans="1:12">
      <c r="A199" s="22" t="s">
        <v>338</v>
      </c>
      <c r="B199" s="22" t="s">
        <v>112</v>
      </c>
    </row>
    <row r="200" spans="1:12">
      <c r="A200" s="22" t="s">
        <v>338</v>
      </c>
      <c r="B200" s="22" t="s">
        <v>112</v>
      </c>
    </row>
    <row r="201" spans="1:12">
      <c r="A201" s="22" t="s">
        <v>338</v>
      </c>
      <c r="B201" s="22" t="s">
        <v>112</v>
      </c>
    </row>
    <row r="202" spans="1:12">
      <c r="A202" s="22" t="s">
        <v>338</v>
      </c>
      <c r="B202" s="22" t="s">
        <v>112</v>
      </c>
    </row>
    <row r="203" spans="1:12">
      <c r="A203" s="22" t="s">
        <v>338</v>
      </c>
      <c r="B203" s="22" t="s">
        <v>112</v>
      </c>
    </row>
    <row r="204" spans="1:12">
      <c r="A204" s="22" t="s">
        <v>338</v>
      </c>
      <c r="B204" s="22" t="s">
        <v>112</v>
      </c>
    </row>
    <row r="205" spans="1:12">
      <c r="A205" s="22" t="s">
        <v>338</v>
      </c>
      <c r="B205" s="22" t="s">
        <v>112</v>
      </c>
    </row>
    <row r="206" spans="1:12">
      <c r="A206" s="22" t="s">
        <v>338</v>
      </c>
      <c r="B206" s="22" t="s">
        <v>112</v>
      </c>
    </row>
    <row r="207" spans="1:12">
      <c r="A207" s="22" t="s">
        <v>338</v>
      </c>
      <c r="B207" s="22" t="s">
        <v>112</v>
      </c>
    </row>
    <row r="208" spans="1:12">
      <c r="A208" s="22" t="s">
        <v>338</v>
      </c>
      <c r="B208" s="22" t="s">
        <v>112</v>
      </c>
    </row>
    <row r="209" spans="1:29">
      <c r="A209" s="22" t="s">
        <v>338</v>
      </c>
      <c r="B209" s="22" t="s">
        <v>112</v>
      </c>
    </row>
    <row r="210" spans="1:29">
      <c r="A210" s="22" t="s">
        <v>338</v>
      </c>
      <c r="B210" s="22" t="s">
        <v>112</v>
      </c>
    </row>
    <row r="211" spans="1:29">
      <c r="A211" s="22" t="s">
        <v>338</v>
      </c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</row>
    <row r="212" spans="1:29">
      <c r="A212" s="22" t="s">
        <v>338</v>
      </c>
      <c r="B212" s="22" t="s">
        <v>124</v>
      </c>
      <c r="D212" s="208" t="s">
        <v>1086</v>
      </c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T212" s="115"/>
    </row>
    <row r="213" spans="1:29" s="24" customFormat="1">
      <c r="A213" s="24" t="s">
        <v>338</v>
      </c>
      <c r="U213" s="411"/>
    </row>
    <row r="214" spans="1:29">
      <c r="A214" s="69" t="s">
        <v>339</v>
      </c>
      <c r="B214" s="69" t="s">
        <v>119</v>
      </c>
      <c r="C214" s="69"/>
      <c r="D214" s="212" t="s">
        <v>1095</v>
      </c>
      <c r="E214" s="69"/>
      <c r="F214" s="69"/>
      <c r="G214" s="69"/>
      <c r="H214" s="69"/>
      <c r="I214" s="69"/>
      <c r="J214" s="69"/>
      <c r="K214" s="69"/>
      <c r="L214" s="69"/>
      <c r="M214" s="69"/>
      <c r="N214" s="69"/>
      <c r="O214" s="69"/>
      <c r="P214" s="69"/>
      <c r="Q214" s="69"/>
      <c r="R214" s="69"/>
    </row>
    <row r="215" spans="1:29">
      <c r="A215" s="22" t="s">
        <v>339</v>
      </c>
      <c r="B215" s="22" t="s">
        <v>122</v>
      </c>
      <c r="D215" s="208" t="s">
        <v>1102</v>
      </c>
      <c r="S215" s="116"/>
      <c r="T215" s="116"/>
      <c r="U215" s="421"/>
      <c r="V215" s="116"/>
      <c r="W215" s="116"/>
      <c r="X215" s="116"/>
      <c r="Y215" s="116"/>
      <c r="Z215" s="116"/>
    </row>
    <row r="216" spans="1:29">
      <c r="A216" s="22" t="s">
        <v>339</v>
      </c>
      <c r="B216" s="22" t="s">
        <v>122</v>
      </c>
      <c r="D216" s="208" t="s">
        <v>1103</v>
      </c>
      <c r="S216" s="227"/>
      <c r="T216" s="227"/>
      <c r="U216" s="418"/>
      <c r="V216" s="227"/>
      <c r="W216" s="227"/>
      <c r="X216" s="227"/>
      <c r="Y216" s="227"/>
      <c r="Z216" s="227"/>
    </row>
    <row r="217" spans="1:29">
      <c r="A217" s="22" t="s">
        <v>339</v>
      </c>
      <c r="B217" s="22" t="s">
        <v>122</v>
      </c>
      <c r="D217" s="208" t="s">
        <v>1104</v>
      </c>
      <c r="S217" s="227"/>
      <c r="T217" s="226"/>
      <c r="U217" s="419"/>
      <c r="V217" s="226"/>
      <c r="W217" s="226"/>
      <c r="X217" s="226"/>
      <c r="Y217" s="226"/>
      <c r="Z217" s="227"/>
    </row>
    <row r="218" spans="1:29">
      <c r="A218" s="22" t="s">
        <v>339</v>
      </c>
      <c r="S218" s="227"/>
      <c r="T218" s="407"/>
      <c r="U218" s="420"/>
      <c r="V218" s="408"/>
      <c r="W218" s="408"/>
      <c r="X218" s="408"/>
      <c r="Y218" s="408"/>
      <c r="Z218" s="227"/>
    </row>
    <row r="219" spans="1:29">
      <c r="A219" s="22" t="s">
        <v>339</v>
      </c>
      <c r="B219" s="22" t="s">
        <v>111</v>
      </c>
      <c r="D219" s="22" t="s">
        <v>19</v>
      </c>
      <c r="E219" s="22" t="s">
        <v>550</v>
      </c>
      <c r="F219" s="22" t="s">
        <v>551</v>
      </c>
      <c r="G219" s="22" t="s">
        <v>552</v>
      </c>
      <c r="H219" s="22" t="s">
        <v>712</v>
      </c>
      <c r="I219" s="22" t="s">
        <v>553</v>
      </c>
      <c r="J219" s="22" t="s">
        <v>554</v>
      </c>
      <c r="K219" s="22" t="s">
        <v>286</v>
      </c>
      <c r="S219" s="227"/>
      <c r="T219" s="226"/>
      <c r="U219" s="419"/>
      <c r="V219" s="226"/>
      <c r="W219" s="226"/>
      <c r="X219" s="226"/>
      <c r="Y219" s="227"/>
      <c r="Z219" s="227"/>
    </row>
    <row r="220" spans="1:29">
      <c r="A220" s="22" t="s">
        <v>339</v>
      </c>
      <c r="B220" s="22" t="s">
        <v>111</v>
      </c>
      <c r="D220" s="22" t="s">
        <v>628</v>
      </c>
      <c r="E220" s="446">
        <v>43168</v>
      </c>
      <c r="F220" s="447">
        <v>41253</v>
      </c>
      <c r="G220" s="447">
        <v>10884</v>
      </c>
      <c r="H220" s="447">
        <v>21461</v>
      </c>
      <c r="I220" s="447">
        <v>27738</v>
      </c>
      <c r="J220" s="447">
        <v>2485</v>
      </c>
      <c r="S220" s="227"/>
      <c r="T220" s="408"/>
      <c r="U220" s="420"/>
      <c r="V220" s="408"/>
      <c r="W220" s="227"/>
      <c r="X220" s="408"/>
      <c r="Y220" s="408"/>
      <c r="Z220" s="227"/>
    </row>
    <row r="221" spans="1:29">
      <c r="A221" s="22" t="s">
        <v>339</v>
      </c>
      <c r="B221" s="22" t="s">
        <v>111</v>
      </c>
      <c r="D221" s="22" t="s">
        <v>1098</v>
      </c>
      <c r="E221" s="450">
        <f>E220/E224</f>
        <v>0.12398968284514503</v>
      </c>
      <c r="F221" s="449">
        <f>F220/F224</f>
        <v>0.46267468203943385</v>
      </c>
      <c r="G221" s="449">
        <f>G220/G224</f>
        <v>0.11562855230587811</v>
      </c>
      <c r="H221" s="449">
        <v>1</v>
      </c>
      <c r="I221" s="449">
        <f>I220/I224</f>
        <v>0.31183109991905744</v>
      </c>
      <c r="J221" s="449">
        <f>J220/J224</f>
        <v>0.30022955176996496</v>
      </c>
      <c r="S221" s="227"/>
      <c r="T221" s="226"/>
      <c r="U221" s="419"/>
      <c r="V221" s="226"/>
      <c r="W221" s="226"/>
      <c r="X221" s="226"/>
      <c r="Y221" s="226"/>
      <c r="Z221" s="227"/>
    </row>
    <row r="222" spans="1:29">
      <c r="A222" s="22" t="s">
        <v>339</v>
      </c>
      <c r="B222" s="22" t="s">
        <v>111</v>
      </c>
      <c r="D222" s="448" t="s">
        <v>1099</v>
      </c>
      <c r="E222" s="229">
        <v>304990</v>
      </c>
      <c r="F222" s="229">
        <v>47909</v>
      </c>
      <c r="G222" s="227">
        <v>83245</v>
      </c>
      <c r="H222" s="227"/>
      <c r="I222" s="227">
        <v>61214</v>
      </c>
      <c r="J222" s="227">
        <v>5792</v>
      </c>
      <c r="S222" s="116"/>
      <c r="T222" s="116"/>
      <c r="U222" s="421"/>
      <c r="V222" s="116"/>
      <c r="W222" s="116"/>
      <c r="X222" s="116"/>
      <c r="Y222" s="116"/>
      <c r="Z222" s="116"/>
    </row>
    <row r="223" spans="1:29">
      <c r="A223" s="22" t="s">
        <v>339</v>
      </c>
      <c r="D223" s="22" t="s">
        <v>1100</v>
      </c>
      <c r="E223" s="450">
        <f>E222/E224</f>
        <v>0.876010317154855</v>
      </c>
      <c r="F223" s="449">
        <f>F222/F224</f>
        <v>0.53732531796056615</v>
      </c>
      <c r="G223" s="450">
        <f>G222/G224</f>
        <v>0.8843714476941219</v>
      </c>
      <c r="H223" s="208"/>
      <c r="I223" s="449">
        <f>I222/I224</f>
        <v>0.68816890008094256</v>
      </c>
      <c r="J223" s="449">
        <f>J222/J224</f>
        <v>0.69977044823003509</v>
      </c>
      <c r="S223" s="116"/>
      <c r="T223" s="116"/>
      <c r="U223" s="422"/>
      <c r="V223" s="219"/>
      <c r="W223" s="225"/>
      <c r="X223" s="225"/>
      <c r="Y223" s="225"/>
      <c r="Z223" s="225"/>
      <c r="AA223" s="116"/>
      <c r="AB223" s="116"/>
      <c r="AC223" s="116"/>
    </row>
    <row r="224" spans="1:29">
      <c r="A224" s="22" t="s">
        <v>339</v>
      </c>
      <c r="B224" s="24" t="s">
        <v>112</v>
      </c>
      <c r="C224" s="24"/>
      <c r="D224" s="108" t="s">
        <v>629</v>
      </c>
      <c r="E224" s="230">
        <v>348158</v>
      </c>
      <c r="F224" s="229">
        <v>89162</v>
      </c>
      <c r="G224" s="230">
        <v>94129</v>
      </c>
      <c r="H224" s="447">
        <v>21461</v>
      </c>
      <c r="I224" s="230">
        <v>88952</v>
      </c>
      <c r="J224" s="230">
        <v>8277</v>
      </c>
      <c r="S224" s="116"/>
      <c r="T224" s="116"/>
      <c r="U224" s="421"/>
      <c r="V224" s="116"/>
      <c r="W224" s="116"/>
      <c r="X224" s="116"/>
      <c r="Y224" s="116"/>
      <c r="Z224" s="116"/>
      <c r="AA224" s="116"/>
      <c r="AB224" s="116"/>
      <c r="AC224" s="116"/>
    </row>
    <row r="225" spans="1:29">
      <c r="A225" s="22" t="s">
        <v>339</v>
      </c>
      <c r="B225" s="24" t="s">
        <v>112</v>
      </c>
      <c r="C225" s="24"/>
      <c r="E225" s="208"/>
      <c r="F225" s="208"/>
      <c r="G225" s="208"/>
      <c r="H225" s="208" t="s">
        <v>1101</v>
      </c>
      <c r="I225" s="208"/>
      <c r="J225" s="208"/>
      <c r="S225" s="116"/>
      <c r="T225" s="116"/>
      <c r="U225" s="421"/>
      <c r="V225" s="116"/>
      <c r="W225" s="116"/>
      <c r="X225" s="116"/>
      <c r="Y225" s="116"/>
      <c r="Z225" s="116"/>
      <c r="AA225" s="116"/>
      <c r="AB225" s="116"/>
      <c r="AC225" s="116"/>
    </row>
    <row r="226" spans="1:29">
      <c r="A226" s="22" t="s">
        <v>339</v>
      </c>
      <c r="B226" s="24" t="s">
        <v>112</v>
      </c>
      <c r="C226" s="24"/>
      <c r="S226" s="116"/>
      <c r="T226" s="116"/>
      <c r="U226" s="423"/>
      <c r="V226" s="116"/>
      <c r="W226" s="116"/>
      <c r="X226" s="116"/>
      <c r="Y226" s="116"/>
      <c r="Z226" s="116"/>
      <c r="AA226" s="116"/>
      <c r="AB226" s="116"/>
      <c r="AC226" s="116"/>
    </row>
    <row r="227" spans="1:29">
      <c r="A227" s="22" t="s">
        <v>339</v>
      </c>
      <c r="B227" s="24" t="s">
        <v>112</v>
      </c>
      <c r="C227" s="24"/>
      <c r="S227" s="116"/>
      <c r="T227" s="228"/>
      <c r="U227" s="424"/>
      <c r="V227" s="228"/>
      <c r="W227" s="228"/>
      <c r="X227" s="228"/>
      <c r="Y227" s="228"/>
      <c r="Z227" s="225"/>
      <c r="AA227" s="225"/>
      <c r="AB227" s="225"/>
      <c r="AC227" s="116"/>
    </row>
    <row r="228" spans="1:29">
      <c r="A228" s="22" t="s">
        <v>339</v>
      </c>
      <c r="B228" s="24" t="s">
        <v>112</v>
      </c>
      <c r="C228" s="24"/>
      <c r="S228" s="116"/>
      <c r="T228" s="116"/>
      <c r="U228" s="423"/>
      <c r="V228" s="116"/>
      <c r="W228" s="116"/>
      <c r="X228" s="116"/>
      <c r="Y228" s="116"/>
      <c r="Z228" s="116"/>
      <c r="AA228" s="116"/>
      <c r="AB228" s="116"/>
      <c r="AC228" s="116"/>
    </row>
    <row r="229" spans="1:29">
      <c r="A229" s="22" t="s">
        <v>339</v>
      </c>
      <c r="B229" s="24" t="s">
        <v>112</v>
      </c>
      <c r="C229" s="24"/>
      <c r="S229" s="116"/>
      <c r="T229" s="116"/>
      <c r="U229" s="425"/>
      <c r="V229" s="116"/>
      <c r="W229" s="116"/>
      <c r="X229" s="116"/>
      <c r="Y229" s="116"/>
      <c r="Z229" s="116"/>
      <c r="AA229" s="116"/>
      <c r="AB229" s="116"/>
      <c r="AC229" s="116"/>
    </row>
    <row r="230" spans="1:29">
      <c r="A230" s="22" t="s">
        <v>339</v>
      </c>
      <c r="B230" s="24" t="s">
        <v>112</v>
      </c>
      <c r="C230" s="24"/>
      <c r="S230" s="116"/>
      <c r="T230" s="116"/>
      <c r="U230" s="421"/>
      <c r="V230" s="116"/>
      <c r="W230" s="116"/>
      <c r="X230" s="116"/>
      <c r="Y230" s="116"/>
      <c r="Z230" s="225"/>
      <c r="AA230" s="116"/>
      <c r="AB230" s="116"/>
      <c r="AC230" s="116"/>
    </row>
    <row r="231" spans="1:29">
      <c r="A231" s="22" t="s">
        <v>339</v>
      </c>
      <c r="B231" s="24" t="s">
        <v>112</v>
      </c>
      <c r="C231" s="24"/>
      <c r="S231" s="116"/>
      <c r="T231" s="116"/>
      <c r="U231" s="421"/>
      <c r="V231" s="116"/>
      <c r="W231" s="116"/>
      <c r="X231" s="116"/>
      <c r="Y231" s="116"/>
      <c r="Z231" s="116"/>
      <c r="AA231" s="116"/>
      <c r="AB231" s="116"/>
      <c r="AC231" s="116"/>
    </row>
    <row r="232" spans="1:29">
      <c r="A232" s="22" t="s">
        <v>339</v>
      </c>
      <c r="B232" s="24" t="s">
        <v>112</v>
      </c>
      <c r="C232" s="24"/>
      <c r="S232" s="116"/>
      <c r="T232" s="116"/>
      <c r="U232" s="421"/>
      <c r="V232" s="116"/>
      <c r="W232" s="116"/>
      <c r="X232" s="116"/>
      <c r="Y232" s="116"/>
      <c r="Z232" s="116"/>
      <c r="AA232" s="116"/>
      <c r="AB232" s="116"/>
      <c r="AC232" s="116"/>
    </row>
    <row r="233" spans="1:29">
      <c r="A233" s="22" t="s">
        <v>339</v>
      </c>
      <c r="B233" s="24" t="s">
        <v>112</v>
      </c>
      <c r="C233" s="24"/>
      <c r="S233" s="116"/>
      <c r="T233" s="116"/>
      <c r="U233" s="421"/>
      <c r="V233" s="116"/>
      <c r="W233" s="116"/>
      <c r="X233" s="116"/>
      <c r="Y233" s="116"/>
      <c r="Z233" s="116"/>
      <c r="AA233" s="116"/>
      <c r="AB233" s="116"/>
      <c r="AC233" s="116"/>
    </row>
    <row r="234" spans="1:29">
      <c r="A234" s="22" t="s">
        <v>339</v>
      </c>
      <c r="B234" s="24" t="s">
        <v>112</v>
      </c>
      <c r="C234" s="24"/>
      <c r="S234" s="116"/>
      <c r="T234" s="116"/>
      <c r="U234" s="421"/>
      <c r="V234" s="116"/>
      <c r="W234" s="116"/>
      <c r="X234" s="116"/>
      <c r="Y234" s="116"/>
      <c r="Z234" s="116"/>
      <c r="AA234" s="116"/>
      <c r="AB234" s="116"/>
      <c r="AC234" s="116"/>
    </row>
    <row r="235" spans="1:29">
      <c r="A235" s="22" t="s">
        <v>339</v>
      </c>
      <c r="B235" s="24" t="s">
        <v>112</v>
      </c>
      <c r="C235" s="24"/>
      <c r="T235" s="116"/>
      <c r="V235" s="116"/>
      <c r="W235" s="116"/>
      <c r="X235" s="116"/>
      <c r="Y235" s="116"/>
      <c r="Z235" s="116"/>
      <c r="AA235" s="116"/>
      <c r="AB235" s="116"/>
      <c r="AC235" s="116"/>
    </row>
    <row r="236" spans="1:29">
      <c r="A236" s="22" t="s">
        <v>339</v>
      </c>
      <c r="B236" s="24" t="s">
        <v>112</v>
      </c>
      <c r="C236" s="24"/>
      <c r="T236" s="116"/>
      <c r="U236" s="421"/>
      <c r="V236" s="116"/>
      <c r="W236" s="116"/>
      <c r="X236" s="116"/>
      <c r="Y236" s="116"/>
      <c r="Z236" s="116"/>
      <c r="AA236" s="116"/>
      <c r="AB236" s="116"/>
      <c r="AC236" s="116"/>
    </row>
    <row r="237" spans="1:29">
      <c r="A237" s="22" t="s">
        <v>339</v>
      </c>
      <c r="B237" s="24" t="s">
        <v>112</v>
      </c>
      <c r="C237" s="24"/>
      <c r="T237" s="116"/>
      <c r="U237" s="421"/>
      <c r="V237" s="116"/>
      <c r="W237" s="116"/>
      <c r="X237" s="116"/>
      <c r="Y237" s="116"/>
      <c r="Z237" s="116"/>
      <c r="AA237" s="116"/>
      <c r="AB237" s="116"/>
      <c r="AC237" s="116"/>
    </row>
    <row r="238" spans="1:29">
      <c r="A238" s="22" t="s">
        <v>339</v>
      </c>
      <c r="B238" s="24" t="s">
        <v>112</v>
      </c>
      <c r="C238" s="24"/>
      <c r="T238" s="116"/>
      <c r="U238" s="421"/>
      <c r="V238" s="116"/>
      <c r="W238" s="116"/>
      <c r="X238" s="116"/>
      <c r="Y238" s="116"/>
      <c r="Z238" s="116"/>
      <c r="AA238" s="116"/>
      <c r="AB238" s="116"/>
      <c r="AC238" s="116"/>
    </row>
    <row r="239" spans="1:29">
      <c r="A239" s="22" t="s">
        <v>339</v>
      </c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T239" s="116"/>
      <c r="U239" s="421"/>
      <c r="V239" s="116"/>
      <c r="W239" s="116"/>
      <c r="X239" s="116"/>
      <c r="Y239" s="116"/>
      <c r="Z239" s="116"/>
      <c r="AA239" s="116"/>
      <c r="AB239" s="116"/>
      <c r="AC239" s="116"/>
    </row>
    <row r="240" spans="1:29">
      <c r="A240" s="22" t="s">
        <v>339</v>
      </c>
      <c r="B240" s="22" t="s">
        <v>124</v>
      </c>
      <c r="D240" s="208" t="s">
        <v>1097</v>
      </c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T240" s="115"/>
    </row>
    <row r="241" spans="1:26" s="24" customFormat="1">
      <c r="A241" s="24" t="s">
        <v>339</v>
      </c>
      <c r="U241" s="411"/>
    </row>
    <row r="242" spans="1:26">
      <c r="A242" s="69" t="s">
        <v>555</v>
      </c>
      <c r="B242" s="69" t="s">
        <v>713</v>
      </c>
      <c r="C242" s="69"/>
      <c r="D242" s="212" t="s">
        <v>1106</v>
      </c>
      <c r="E242" s="69"/>
      <c r="F242" s="69"/>
      <c r="G242" s="69"/>
      <c r="H242" s="69"/>
      <c r="I242" s="69"/>
      <c r="J242" s="69"/>
      <c r="K242" s="69"/>
      <c r="L242" s="69"/>
      <c r="M242" s="69"/>
      <c r="N242" s="69"/>
      <c r="O242" s="69"/>
      <c r="P242" s="69"/>
      <c r="Q242" s="69"/>
      <c r="R242" s="69"/>
    </row>
    <row r="243" spans="1:26">
      <c r="A243" s="22" t="s">
        <v>555</v>
      </c>
      <c r="B243" s="22" t="s">
        <v>122</v>
      </c>
      <c r="D243" s="208" t="s">
        <v>1109</v>
      </c>
    </row>
    <row r="244" spans="1:26">
      <c r="A244" s="22" t="s">
        <v>555</v>
      </c>
      <c r="L244" s="208"/>
      <c r="T244" s="45"/>
      <c r="U244" s="426"/>
      <c r="V244" s="45"/>
      <c r="W244" s="45"/>
      <c r="X244" s="45"/>
      <c r="Y244" s="45"/>
      <c r="Z244" s="45"/>
    </row>
    <row r="245" spans="1:26">
      <c r="A245" s="22" t="s">
        <v>555</v>
      </c>
      <c r="B245" s="22" t="s">
        <v>111</v>
      </c>
      <c r="D245" s="22" t="s">
        <v>12</v>
      </c>
      <c r="E245" s="22" t="s">
        <v>2</v>
      </c>
      <c r="F245" s="22" t="s">
        <v>3</v>
      </c>
      <c r="G245" s="22" t="s">
        <v>166</v>
      </c>
      <c r="H245" s="22" t="s">
        <v>913</v>
      </c>
      <c r="I245" s="22" t="s">
        <v>1108</v>
      </c>
      <c r="J245" s="22" t="s">
        <v>286</v>
      </c>
      <c r="T245" s="45"/>
      <c r="U245" s="426"/>
      <c r="V245" s="45"/>
      <c r="W245" s="45"/>
      <c r="X245" s="45"/>
      <c r="Y245" s="45"/>
      <c r="Z245" s="45"/>
    </row>
    <row r="246" spans="1:26">
      <c r="A246" s="22" t="s">
        <v>555</v>
      </c>
      <c r="B246" s="22" t="s">
        <v>111</v>
      </c>
      <c r="D246" s="22" t="s">
        <v>231</v>
      </c>
      <c r="E246" s="22">
        <v>56137</v>
      </c>
      <c r="F246" s="22">
        <v>62111</v>
      </c>
      <c r="G246" s="113">
        <v>66401</v>
      </c>
      <c r="H246" s="451">
        <v>76262</v>
      </c>
      <c r="I246" s="229">
        <v>89162</v>
      </c>
      <c r="T246" s="45"/>
      <c r="U246" s="426"/>
      <c r="V246" s="45"/>
      <c r="W246" s="45"/>
      <c r="X246" s="45"/>
      <c r="Y246" s="45"/>
      <c r="Z246" s="45"/>
    </row>
    <row r="247" spans="1:26">
      <c r="A247" s="22" t="s">
        <v>555</v>
      </c>
      <c r="B247" s="22" t="s">
        <v>111</v>
      </c>
      <c r="D247" s="22" t="s">
        <v>548</v>
      </c>
      <c r="E247" s="22">
        <v>33341</v>
      </c>
      <c r="F247" s="22">
        <v>34946</v>
      </c>
      <c r="G247" s="108">
        <v>35494</v>
      </c>
      <c r="H247" s="451">
        <v>36717</v>
      </c>
      <c r="I247" s="226">
        <v>41253</v>
      </c>
      <c r="T247" s="45"/>
      <c r="U247" s="426"/>
      <c r="V247" s="45"/>
      <c r="W247" s="45"/>
      <c r="X247" s="45"/>
      <c r="Y247" s="45"/>
      <c r="Z247" s="45"/>
    </row>
    <row r="248" spans="1:26">
      <c r="A248" s="22" t="s">
        <v>555</v>
      </c>
      <c r="B248" s="22" t="s">
        <v>111</v>
      </c>
      <c r="D248" s="22" t="s">
        <v>602</v>
      </c>
      <c r="E248" s="51">
        <f>E247/E246</f>
        <v>0.59392201222010443</v>
      </c>
      <c r="F248" s="51">
        <f>F247/F246</f>
        <v>0.56263785802836852</v>
      </c>
      <c r="G248" s="114">
        <v>0.53</v>
      </c>
      <c r="H248" s="452">
        <f>H247/H246</f>
        <v>0.48145865568697388</v>
      </c>
      <c r="I248" s="231">
        <v>0.46267468203943385</v>
      </c>
      <c r="T248" s="45"/>
      <c r="U248" s="426"/>
      <c r="V248" s="45"/>
      <c r="W248" s="45"/>
      <c r="X248" s="45"/>
      <c r="Y248" s="45"/>
      <c r="Z248" s="45"/>
    </row>
    <row r="249" spans="1:26">
      <c r="A249" s="22" t="s">
        <v>555</v>
      </c>
      <c r="B249" s="22" t="s">
        <v>111</v>
      </c>
      <c r="D249" s="22" t="s">
        <v>549</v>
      </c>
      <c r="E249" s="22">
        <v>22796</v>
      </c>
      <c r="F249" s="22">
        <v>27165</v>
      </c>
      <c r="G249" s="108">
        <v>30907</v>
      </c>
      <c r="H249" s="451">
        <v>39545</v>
      </c>
      <c r="I249" s="226">
        <v>47909</v>
      </c>
    </row>
    <row r="250" spans="1:26">
      <c r="A250" s="22" t="s">
        <v>555</v>
      </c>
      <c r="B250" s="22" t="s">
        <v>111</v>
      </c>
      <c r="D250" s="22" t="s">
        <v>603</v>
      </c>
      <c r="E250" s="51">
        <f>E249/E246</f>
        <v>0.40607798777989562</v>
      </c>
      <c r="F250" s="51">
        <f>F249/F246</f>
        <v>0.43736214197163142</v>
      </c>
      <c r="G250" s="114">
        <v>0.47</v>
      </c>
      <c r="H250" s="452">
        <f>H249/H246</f>
        <v>0.51854134431302612</v>
      </c>
      <c r="I250" s="231">
        <v>0.53732531796056615</v>
      </c>
    </row>
    <row r="251" spans="1:26">
      <c r="A251" s="22" t="s">
        <v>555</v>
      </c>
      <c r="T251" s="45"/>
    </row>
    <row r="252" spans="1:26">
      <c r="A252" s="22" t="s">
        <v>555</v>
      </c>
      <c r="B252" s="22" t="s">
        <v>112</v>
      </c>
      <c r="T252" s="45"/>
    </row>
    <row r="253" spans="1:26">
      <c r="A253" s="22" t="s">
        <v>555</v>
      </c>
      <c r="B253" s="22" t="s">
        <v>112</v>
      </c>
    </row>
    <row r="254" spans="1:26">
      <c r="A254" s="22" t="s">
        <v>555</v>
      </c>
      <c r="B254" s="22" t="s">
        <v>112</v>
      </c>
    </row>
    <row r="255" spans="1:26">
      <c r="A255" s="22" t="s">
        <v>555</v>
      </c>
      <c r="B255" s="22" t="s">
        <v>112</v>
      </c>
    </row>
    <row r="256" spans="1:26">
      <c r="A256" s="22" t="s">
        <v>555</v>
      </c>
      <c r="B256" s="22" t="s">
        <v>112</v>
      </c>
    </row>
    <row r="257" spans="1:21">
      <c r="A257" s="22" t="s">
        <v>555</v>
      </c>
      <c r="B257" s="22" t="s">
        <v>112</v>
      </c>
    </row>
    <row r="258" spans="1:21">
      <c r="A258" s="22" t="s">
        <v>555</v>
      </c>
      <c r="B258" s="22" t="s">
        <v>112</v>
      </c>
    </row>
    <row r="259" spans="1:21">
      <c r="A259" s="22" t="s">
        <v>555</v>
      </c>
      <c r="B259" s="22" t="s">
        <v>112</v>
      </c>
    </row>
    <row r="260" spans="1:21">
      <c r="A260" s="22" t="s">
        <v>555</v>
      </c>
      <c r="B260" s="22" t="s">
        <v>112</v>
      </c>
    </row>
    <row r="261" spans="1:21">
      <c r="A261" s="22" t="s">
        <v>555</v>
      </c>
      <c r="B261" s="22" t="s">
        <v>112</v>
      </c>
    </row>
    <row r="262" spans="1:21">
      <c r="A262" s="22" t="s">
        <v>555</v>
      </c>
      <c r="B262" s="22" t="s">
        <v>112</v>
      </c>
    </row>
    <row r="263" spans="1:21">
      <c r="A263" s="22" t="s">
        <v>555</v>
      </c>
      <c r="B263" s="22" t="s">
        <v>112</v>
      </c>
    </row>
    <row r="264" spans="1:21">
      <c r="A264" s="22" t="s">
        <v>555</v>
      </c>
      <c r="B264" s="22" t="s">
        <v>112</v>
      </c>
    </row>
    <row r="265" spans="1:21">
      <c r="A265" s="22" t="s">
        <v>555</v>
      </c>
      <c r="B265" s="22" t="s">
        <v>112</v>
      </c>
    </row>
    <row r="266" spans="1:21">
      <c r="A266" s="22" t="s">
        <v>555</v>
      </c>
      <c r="B266" s="22" t="s">
        <v>112</v>
      </c>
    </row>
    <row r="267" spans="1:21">
      <c r="A267" s="22" t="s">
        <v>555</v>
      </c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</row>
    <row r="268" spans="1:21">
      <c r="A268" s="22" t="s">
        <v>555</v>
      </c>
      <c r="B268" s="22" t="s">
        <v>124</v>
      </c>
      <c r="D268" s="208" t="s">
        <v>1105</v>
      </c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T268" s="115"/>
    </row>
    <row r="269" spans="1:21" s="24" customFormat="1">
      <c r="A269" s="24" t="s">
        <v>555</v>
      </c>
      <c r="U269" s="411"/>
    </row>
    <row r="270" spans="1:21">
      <c r="A270" s="69" t="s">
        <v>556</v>
      </c>
      <c r="B270" s="69" t="s">
        <v>713</v>
      </c>
      <c r="C270" s="69"/>
      <c r="D270" s="212" t="s">
        <v>1110</v>
      </c>
      <c r="E270" s="69"/>
      <c r="F270" s="69"/>
      <c r="G270" s="69"/>
      <c r="H270" s="69"/>
      <c r="I270" s="69"/>
      <c r="J270" s="69"/>
      <c r="K270" s="69"/>
      <c r="L270" s="69"/>
      <c r="M270" s="69"/>
      <c r="N270" s="69"/>
      <c r="O270" s="69"/>
      <c r="P270" s="69"/>
      <c r="Q270" s="69"/>
      <c r="R270" s="69"/>
    </row>
    <row r="271" spans="1:21">
      <c r="A271" s="22" t="s">
        <v>556</v>
      </c>
      <c r="B271" s="22" t="s">
        <v>122</v>
      </c>
      <c r="D271" s="208" t="s">
        <v>1114</v>
      </c>
    </row>
    <row r="272" spans="1:21">
      <c r="A272" s="22" t="s">
        <v>556</v>
      </c>
    </row>
    <row r="273" spans="1:20">
      <c r="A273" s="22" t="s">
        <v>556</v>
      </c>
      <c r="B273" s="22" t="s">
        <v>111</v>
      </c>
      <c r="D273" s="22" t="s">
        <v>12</v>
      </c>
      <c r="E273" s="22" t="s">
        <v>2</v>
      </c>
      <c r="F273" s="22" t="s">
        <v>3</v>
      </c>
      <c r="G273" s="22" t="s">
        <v>166</v>
      </c>
      <c r="H273" s="22" t="s">
        <v>913</v>
      </c>
      <c r="I273" s="22" t="s">
        <v>1113</v>
      </c>
      <c r="J273" s="22" t="s">
        <v>286</v>
      </c>
    </row>
    <row r="274" spans="1:20">
      <c r="A274" s="22" t="s">
        <v>556</v>
      </c>
      <c r="B274" s="22" t="s">
        <v>111</v>
      </c>
      <c r="D274" s="101" t="s">
        <v>714</v>
      </c>
      <c r="E274" s="101">
        <v>33341</v>
      </c>
      <c r="F274" s="101">
        <v>34946</v>
      </c>
      <c r="G274" s="101">
        <v>35494</v>
      </c>
      <c r="H274" s="453">
        <v>36717</v>
      </c>
      <c r="I274" s="232">
        <v>41253</v>
      </c>
      <c r="M274" s="45"/>
    </row>
    <row r="275" spans="1:20">
      <c r="A275" s="22" t="s">
        <v>556</v>
      </c>
      <c r="B275" s="22" t="s">
        <v>111</v>
      </c>
      <c r="D275" s="108" t="s">
        <v>715</v>
      </c>
      <c r="E275" s="108">
        <v>322</v>
      </c>
      <c r="F275" s="108">
        <v>1605</v>
      </c>
      <c r="G275" s="108">
        <f>G274-F274</f>
        <v>548</v>
      </c>
      <c r="H275" s="454">
        <v>1222</v>
      </c>
      <c r="I275" s="230">
        <v>4536</v>
      </c>
      <c r="L275" s="45"/>
    </row>
    <row r="276" spans="1:20">
      <c r="A276" s="22" t="s">
        <v>556</v>
      </c>
      <c r="B276" s="22" t="s">
        <v>111</v>
      </c>
      <c r="D276" s="108" t="s">
        <v>716</v>
      </c>
      <c r="E276" s="154">
        <v>0.01</v>
      </c>
      <c r="F276" s="154">
        <v>4.8000000000000001E-2</v>
      </c>
      <c r="G276" s="154">
        <v>1.6E-2</v>
      </c>
      <c r="H276" s="455">
        <v>3.4000000000000002E-2</v>
      </c>
      <c r="I276" s="233">
        <v>0.124</v>
      </c>
    </row>
    <row r="277" spans="1:20">
      <c r="A277" s="22" t="s">
        <v>556</v>
      </c>
      <c r="T277" s="45"/>
    </row>
    <row r="278" spans="1:20">
      <c r="A278" s="22" t="s">
        <v>556</v>
      </c>
      <c r="B278" s="22" t="s">
        <v>112</v>
      </c>
      <c r="T278" s="45"/>
    </row>
    <row r="279" spans="1:20">
      <c r="A279" s="22" t="s">
        <v>556</v>
      </c>
      <c r="B279" s="22" t="s">
        <v>112</v>
      </c>
    </row>
    <row r="280" spans="1:20">
      <c r="A280" s="22" t="s">
        <v>556</v>
      </c>
      <c r="B280" s="22" t="s">
        <v>112</v>
      </c>
    </row>
    <row r="281" spans="1:20">
      <c r="A281" s="22" t="s">
        <v>556</v>
      </c>
      <c r="B281" s="22" t="s">
        <v>112</v>
      </c>
    </row>
    <row r="282" spans="1:20">
      <c r="A282" s="22" t="s">
        <v>556</v>
      </c>
      <c r="B282" s="22" t="s">
        <v>112</v>
      </c>
    </row>
    <row r="283" spans="1:20">
      <c r="A283" s="22" t="s">
        <v>556</v>
      </c>
      <c r="B283" s="22" t="s">
        <v>112</v>
      </c>
    </row>
    <row r="284" spans="1:20">
      <c r="A284" s="22" t="s">
        <v>556</v>
      </c>
      <c r="B284" s="22" t="s">
        <v>112</v>
      </c>
    </row>
    <row r="285" spans="1:20">
      <c r="A285" s="22" t="s">
        <v>556</v>
      </c>
      <c r="B285" s="22" t="s">
        <v>112</v>
      </c>
    </row>
    <row r="286" spans="1:20">
      <c r="A286" s="22" t="s">
        <v>556</v>
      </c>
      <c r="B286" s="22" t="s">
        <v>112</v>
      </c>
    </row>
    <row r="287" spans="1:20">
      <c r="A287" s="22" t="s">
        <v>556</v>
      </c>
      <c r="B287" s="22" t="s">
        <v>112</v>
      </c>
    </row>
    <row r="288" spans="1:20">
      <c r="A288" s="22" t="s">
        <v>556</v>
      </c>
      <c r="B288" s="22" t="s">
        <v>112</v>
      </c>
    </row>
    <row r="289" spans="1:24">
      <c r="A289" s="22" t="s">
        <v>556</v>
      </c>
      <c r="B289" s="22" t="s">
        <v>112</v>
      </c>
    </row>
    <row r="290" spans="1:24">
      <c r="A290" s="22" t="s">
        <v>556</v>
      </c>
      <c r="B290" s="22" t="s">
        <v>112</v>
      </c>
    </row>
    <row r="291" spans="1:24">
      <c r="A291" s="22" t="s">
        <v>556</v>
      </c>
      <c r="B291" s="22" t="s">
        <v>112</v>
      </c>
    </row>
    <row r="292" spans="1:24">
      <c r="A292" s="22" t="s">
        <v>556</v>
      </c>
      <c r="B292" s="22" t="s">
        <v>112</v>
      </c>
    </row>
    <row r="293" spans="1:24">
      <c r="A293" s="22" t="s">
        <v>556</v>
      </c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</row>
    <row r="294" spans="1:24">
      <c r="A294" s="22" t="s">
        <v>556</v>
      </c>
      <c r="B294" s="22" t="s">
        <v>124</v>
      </c>
      <c r="D294" s="208" t="s">
        <v>1111</v>
      </c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115"/>
      <c r="T294" s="115"/>
    </row>
    <row r="295" spans="1:24" s="24" customFormat="1">
      <c r="A295" s="22" t="s">
        <v>556</v>
      </c>
      <c r="U295" s="411"/>
    </row>
    <row r="296" spans="1:24">
      <c r="A296" s="69" t="s">
        <v>559</v>
      </c>
      <c r="B296" s="69" t="s">
        <v>119</v>
      </c>
      <c r="C296" s="69"/>
      <c r="D296" s="212" t="s">
        <v>1115</v>
      </c>
      <c r="E296" s="69"/>
      <c r="F296" s="69"/>
      <c r="G296" s="69"/>
      <c r="H296" s="69"/>
      <c r="I296" s="69"/>
      <c r="J296" s="69"/>
      <c r="K296" s="69"/>
      <c r="L296" s="69"/>
      <c r="M296" s="69"/>
      <c r="N296" s="69"/>
      <c r="O296" s="69"/>
      <c r="P296" s="69"/>
      <c r="Q296" s="69"/>
      <c r="R296" s="69"/>
    </row>
    <row r="297" spans="1:24">
      <c r="A297" s="22" t="s">
        <v>559</v>
      </c>
      <c r="B297" s="22" t="s">
        <v>122</v>
      </c>
      <c r="D297" s="208" t="s">
        <v>2224</v>
      </c>
      <c r="G297" s="115"/>
    </row>
    <row r="298" spans="1:24">
      <c r="A298" s="22" t="s">
        <v>559</v>
      </c>
      <c r="N298" s="235"/>
    </row>
    <row r="299" spans="1:24">
      <c r="A299" s="22" t="s">
        <v>559</v>
      </c>
      <c r="B299" s="22" t="s">
        <v>111</v>
      </c>
      <c r="D299" s="22" t="s">
        <v>538</v>
      </c>
      <c r="E299" s="22" t="s">
        <v>1116</v>
      </c>
      <c r="F299" s="22" t="s">
        <v>1117</v>
      </c>
      <c r="G299" s="208" t="s">
        <v>2221</v>
      </c>
      <c r="H299" s="208" t="s">
        <v>2225</v>
      </c>
      <c r="S299" s="208" t="s">
        <v>1134</v>
      </c>
    </row>
    <row r="300" spans="1:24">
      <c r="A300" s="22" t="s">
        <v>559</v>
      </c>
      <c r="B300" s="22" t="s">
        <v>111</v>
      </c>
      <c r="D300" s="22" t="s">
        <v>2212</v>
      </c>
      <c r="E300" s="234">
        <v>23.8</v>
      </c>
      <c r="F300" s="234">
        <v>1586</v>
      </c>
      <c r="G300" s="234">
        <v>456.01</v>
      </c>
      <c r="H300" s="234">
        <v>42419.33</v>
      </c>
      <c r="I300" s="217" t="s">
        <v>2226</v>
      </c>
      <c r="N300" s="112"/>
      <c r="S300" s="208" t="s">
        <v>2220</v>
      </c>
      <c r="W300" s="208" t="s">
        <v>2222</v>
      </c>
    </row>
    <row r="301" spans="1:24">
      <c r="A301" s="22" t="s">
        <v>559</v>
      </c>
      <c r="B301" s="22" t="s">
        <v>111</v>
      </c>
      <c r="D301" s="22" t="s">
        <v>557</v>
      </c>
      <c r="E301" s="234">
        <v>4.0999999999999996</v>
      </c>
      <c r="F301" s="234">
        <v>444</v>
      </c>
      <c r="G301" s="234">
        <v>43.99</v>
      </c>
      <c r="H301" s="234">
        <v>1853.54</v>
      </c>
      <c r="I301" s="208"/>
      <c r="N301" s="26"/>
      <c r="S301" s="235" t="s">
        <v>2214</v>
      </c>
      <c r="U301" s="103" t="s">
        <v>2213</v>
      </c>
    </row>
    <row r="302" spans="1:24">
      <c r="A302" s="22" t="s">
        <v>559</v>
      </c>
      <c r="B302" s="22" t="s">
        <v>111</v>
      </c>
      <c r="D302" s="22" t="s">
        <v>558</v>
      </c>
      <c r="E302" s="223">
        <f>E301/E300</f>
        <v>0.17226890756302518</v>
      </c>
      <c r="F302" s="223">
        <f>F301/F300</f>
        <v>0.27994955863808324</v>
      </c>
      <c r="G302" s="223">
        <f>G301/G300</f>
        <v>9.6467182737220686E-2</v>
      </c>
      <c r="H302" s="223">
        <f>H301/H300</f>
        <v>4.3695645357906404E-2</v>
      </c>
      <c r="I302" s="208"/>
      <c r="U302" s="698" t="s">
        <v>2218</v>
      </c>
    </row>
    <row r="303" spans="1:24">
      <c r="A303" s="22" t="s">
        <v>559</v>
      </c>
      <c r="B303" s="22" t="s">
        <v>111</v>
      </c>
      <c r="E303" s="45"/>
      <c r="F303" s="45"/>
      <c r="G303" s="45"/>
      <c r="H303" s="45"/>
      <c r="T303" s="103" t="s">
        <v>2215</v>
      </c>
      <c r="U303" s="468"/>
      <c r="X303" s="697" t="s">
        <v>2216</v>
      </c>
    </row>
    <row r="304" spans="1:24">
      <c r="A304" s="22" t="s">
        <v>559</v>
      </c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X304" s="208" t="s">
        <v>2217</v>
      </c>
    </row>
    <row r="305" spans="1:21">
      <c r="A305" s="22" t="s">
        <v>559</v>
      </c>
      <c r="B305" s="22" t="s">
        <v>124</v>
      </c>
      <c r="D305" s="208" t="s">
        <v>2223</v>
      </c>
      <c r="E305" s="235"/>
      <c r="F305" s="235"/>
      <c r="G305" s="235"/>
      <c r="H305" s="235"/>
      <c r="I305" s="235"/>
      <c r="J305" s="235"/>
      <c r="K305" s="235"/>
      <c r="L305" s="235"/>
      <c r="M305" s="24"/>
      <c r="N305" s="24"/>
      <c r="O305" s="24"/>
      <c r="Q305" s="24"/>
      <c r="R305" s="24"/>
      <c r="S305" s="19"/>
    </row>
    <row r="306" spans="1:21" s="24" customFormat="1">
      <c r="A306" s="22" t="s">
        <v>559</v>
      </c>
      <c r="D306" s="235" t="s">
        <v>2219</v>
      </c>
      <c r="U306" s="411"/>
    </row>
    <row r="307" spans="1:21">
      <c r="A307" s="69" t="s">
        <v>564</v>
      </c>
      <c r="B307" s="69" t="s">
        <v>119</v>
      </c>
      <c r="C307" s="69"/>
      <c r="D307" s="212" t="s">
        <v>1118</v>
      </c>
      <c r="E307" s="69"/>
      <c r="F307" s="69"/>
      <c r="G307" s="69"/>
      <c r="H307" s="69"/>
      <c r="I307" s="69"/>
      <c r="J307" s="69"/>
      <c r="K307" s="69"/>
      <c r="L307" s="69"/>
      <c r="M307" s="69"/>
      <c r="N307" s="69"/>
      <c r="O307" s="69"/>
      <c r="P307" s="69"/>
      <c r="Q307" s="69"/>
      <c r="R307" s="69"/>
    </row>
    <row r="308" spans="1:21">
      <c r="A308" s="22" t="s">
        <v>564</v>
      </c>
      <c r="B308" s="22" t="s">
        <v>122</v>
      </c>
      <c r="D308" s="208" t="s">
        <v>1124</v>
      </c>
    </row>
    <row r="309" spans="1:21">
      <c r="A309" s="22" t="s">
        <v>564</v>
      </c>
    </row>
    <row r="310" spans="1:21">
      <c r="A310" s="22" t="s">
        <v>564</v>
      </c>
      <c r="B310" s="22" t="s">
        <v>111</v>
      </c>
      <c r="D310" s="22" t="s">
        <v>19</v>
      </c>
      <c r="E310" s="22" t="s">
        <v>27</v>
      </c>
      <c r="F310" s="22" t="s">
        <v>28</v>
      </c>
      <c r="G310" s="22" t="s">
        <v>166</v>
      </c>
      <c r="H310" s="22" t="s">
        <v>916</v>
      </c>
      <c r="I310" s="22" t="s">
        <v>1121</v>
      </c>
      <c r="J310" s="22" t="s">
        <v>286</v>
      </c>
      <c r="N310" s="64"/>
      <c r="O310" s="116"/>
    </row>
    <row r="311" spans="1:21">
      <c r="A311" s="22" t="s">
        <v>564</v>
      </c>
      <c r="B311" s="22" t="s">
        <v>111</v>
      </c>
      <c r="D311" s="22" t="s">
        <v>560</v>
      </c>
      <c r="E311" s="22">
        <v>12092</v>
      </c>
      <c r="F311" s="22">
        <v>13541</v>
      </c>
      <c r="G311" s="22">
        <v>13437</v>
      </c>
      <c r="H311" s="456">
        <v>15054.464315199562</v>
      </c>
      <c r="I311" s="457">
        <v>16638.875653539602</v>
      </c>
      <c r="N311" s="64"/>
      <c r="O311" s="116"/>
    </row>
    <row r="312" spans="1:21">
      <c r="A312" s="22" t="s">
        <v>564</v>
      </c>
      <c r="B312" s="22" t="s">
        <v>111</v>
      </c>
      <c r="D312" s="22" t="s">
        <v>529</v>
      </c>
      <c r="E312" s="22">
        <v>6885</v>
      </c>
      <c r="F312" s="22">
        <v>7326</v>
      </c>
      <c r="G312" s="22">
        <v>6957</v>
      </c>
      <c r="H312" s="456">
        <v>6902.9733677999657</v>
      </c>
      <c r="I312" s="457">
        <v>7147</v>
      </c>
      <c r="N312" s="64"/>
      <c r="O312" s="116"/>
    </row>
    <row r="313" spans="1:21">
      <c r="A313" s="22" t="s">
        <v>564</v>
      </c>
      <c r="B313" s="22" t="s">
        <v>111</v>
      </c>
      <c r="D313" s="22" t="s">
        <v>530</v>
      </c>
      <c r="E313" s="22">
        <v>4485</v>
      </c>
      <c r="F313" s="22">
        <v>4478</v>
      </c>
      <c r="G313" s="22">
        <v>4521</v>
      </c>
      <c r="H313" s="456">
        <v>4505.7376054000124</v>
      </c>
      <c r="I313" s="457">
        <v>5524</v>
      </c>
      <c r="M313" s="22" t="s">
        <v>917</v>
      </c>
      <c r="N313" s="64"/>
      <c r="O313" s="116"/>
      <c r="P313" s="45"/>
    </row>
    <row r="314" spans="1:21">
      <c r="A314" s="22" t="s">
        <v>564</v>
      </c>
      <c r="B314" s="22" t="s">
        <v>111</v>
      </c>
      <c r="D314" s="22" t="s">
        <v>531</v>
      </c>
      <c r="E314" s="22">
        <v>5099</v>
      </c>
      <c r="F314" s="22">
        <v>3176</v>
      </c>
      <c r="G314" s="22">
        <v>2981</v>
      </c>
      <c r="H314" s="456">
        <v>2733.6289066600011</v>
      </c>
      <c r="I314" s="457">
        <v>3092.7495315399997</v>
      </c>
      <c r="K314" s="45"/>
      <c r="N314" s="64"/>
      <c r="O314" s="136"/>
    </row>
    <row r="315" spans="1:21">
      <c r="A315" s="22" t="s">
        <v>564</v>
      </c>
      <c r="B315" s="22" t="s">
        <v>111</v>
      </c>
      <c r="D315" s="22" t="s">
        <v>561</v>
      </c>
      <c r="E315" s="22">
        <v>0</v>
      </c>
      <c r="F315" s="22">
        <v>1915</v>
      </c>
      <c r="G315" s="22">
        <v>1608</v>
      </c>
      <c r="H315" s="456">
        <v>1532.4776900000011</v>
      </c>
      <c r="I315" s="457">
        <v>2033.9347175000019</v>
      </c>
      <c r="N315" s="64"/>
      <c r="O315" s="116"/>
    </row>
    <row r="316" spans="1:21">
      <c r="A316" s="22" t="s">
        <v>564</v>
      </c>
      <c r="B316" s="22" t="s">
        <v>111</v>
      </c>
      <c r="D316" s="22" t="s">
        <v>562</v>
      </c>
      <c r="E316" s="22">
        <v>2100</v>
      </c>
      <c r="F316" s="22">
        <v>2351</v>
      </c>
      <c r="G316" s="22">
        <v>2693</v>
      </c>
      <c r="H316" s="456">
        <v>2873.5248881600455</v>
      </c>
      <c r="I316" s="457">
        <v>2841.0521674199936</v>
      </c>
      <c r="N316" s="64"/>
      <c r="O316" s="116"/>
    </row>
    <row r="317" spans="1:21">
      <c r="A317" s="22" t="s">
        <v>564</v>
      </c>
      <c r="B317" s="22" t="s">
        <v>111</v>
      </c>
      <c r="D317" s="22" t="s">
        <v>35</v>
      </c>
      <c r="E317" s="22">
        <v>2681</v>
      </c>
      <c r="F317" s="22">
        <v>2158</v>
      </c>
      <c r="G317" s="22">
        <v>3298</v>
      </c>
      <c r="H317" s="456">
        <v>3107.9681159099982</v>
      </c>
      <c r="I317" s="457">
        <v>3976</v>
      </c>
      <c r="N317" s="116"/>
      <c r="O317" s="116"/>
    </row>
    <row r="318" spans="1:21">
      <c r="A318" s="22" t="s">
        <v>564</v>
      </c>
    </row>
    <row r="319" spans="1:21">
      <c r="A319" s="22" t="s">
        <v>564</v>
      </c>
      <c r="B319" s="24" t="s">
        <v>112</v>
      </c>
      <c r="C319" s="24"/>
    </row>
    <row r="320" spans="1:21">
      <c r="A320" s="22" t="s">
        <v>564</v>
      </c>
      <c r="B320" s="24" t="s">
        <v>112</v>
      </c>
      <c r="C320" s="24"/>
    </row>
    <row r="321" spans="1:21">
      <c r="A321" s="22" t="s">
        <v>564</v>
      </c>
      <c r="B321" s="24" t="s">
        <v>112</v>
      </c>
      <c r="C321" s="24"/>
    </row>
    <row r="322" spans="1:21">
      <c r="A322" s="22" t="s">
        <v>564</v>
      </c>
      <c r="B322" s="24" t="s">
        <v>112</v>
      </c>
      <c r="C322" s="24"/>
    </row>
    <row r="323" spans="1:21">
      <c r="A323" s="22" t="s">
        <v>564</v>
      </c>
      <c r="B323" s="24" t="s">
        <v>112</v>
      </c>
      <c r="C323" s="24"/>
    </row>
    <row r="324" spans="1:21">
      <c r="A324" s="22" t="s">
        <v>564</v>
      </c>
      <c r="B324" s="24" t="s">
        <v>112</v>
      </c>
      <c r="C324" s="24"/>
    </row>
    <row r="325" spans="1:21">
      <c r="A325" s="22" t="s">
        <v>564</v>
      </c>
      <c r="B325" s="24" t="s">
        <v>112</v>
      </c>
      <c r="C325" s="24"/>
    </row>
    <row r="326" spans="1:21">
      <c r="A326" s="22" t="s">
        <v>564</v>
      </c>
      <c r="B326" s="24" t="s">
        <v>112</v>
      </c>
      <c r="C326" s="24"/>
    </row>
    <row r="327" spans="1:21">
      <c r="A327" s="22" t="s">
        <v>564</v>
      </c>
      <c r="B327" s="24" t="s">
        <v>112</v>
      </c>
      <c r="C327" s="24"/>
    </row>
    <row r="328" spans="1:21">
      <c r="A328" s="22" t="s">
        <v>564</v>
      </c>
      <c r="B328" s="24" t="s">
        <v>112</v>
      </c>
      <c r="C328" s="24"/>
    </row>
    <row r="329" spans="1:21">
      <c r="A329" s="22" t="s">
        <v>564</v>
      </c>
      <c r="B329" s="24" t="s">
        <v>112</v>
      </c>
      <c r="C329" s="24"/>
    </row>
    <row r="330" spans="1:21">
      <c r="A330" s="22" t="s">
        <v>564</v>
      </c>
      <c r="B330" s="24" t="s">
        <v>112</v>
      </c>
      <c r="C330" s="24"/>
    </row>
    <row r="331" spans="1:21">
      <c r="A331" s="22" t="s">
        <v>564</v>
      </c>
      <c r="B331" s="24" t="s">
        <v>112</v>
      </c>
      <c r="C331" s="24"/>
    </row>
    <row r="332" spans="1:21">
      <c r="A332" s="22" t="s">
        <v>564</v>
      </c>
      <c r="B332" s="24" t="s">
        <v>112</v>
      </c>
      <c r="C332" s="24"/>
    </row>
    <row r="333" spans="1:21">
      <c r="A333" s="22" t="s">
        <v>564</v>
      </c>
      <c r="B333" s="24" t="s">
        <v>112</v>
      </c>
      <c r="C333" s="24"/>
    </row>
    <row r="334" spans="1:21">
      <c r="A334" s="22" t="s">
        <v>564</v>
      </c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</row>
    <row r="335" spans="1:21">
      <c r="A335" s="22" t="s">
        <v>564</v>
      </c>
      <c r="B335" s="22" t="s">
        <v>124</v>
      </c>
      <c r="D335" s="208" t="s">
        <v>1120</v>
      </c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115"/>
      <c r="T335" s="115"/>
    </row>
    <row r="336" spans="1:21" s="24" customFormat="1">
      <c r="A336" s="22" t="s">
        <v>564</v>
      </c>
      <c r="U336" s="411"/>
    </row>
    <row r="337" spans="1:25">
      <c r="A337" s="69" t="s">
        <v>565</v>
      </c>
      <c r="B337" s="69" t="s">
        <v>119</v>
      </c>
      <c r="C337" s="69"/>
      <c r="D337" s="212" t="s">
        <v>1122</v>
      </c>
      <c r="E337" s="69"/>
      <c r="F337" s="69"/>
      <c r="G337" s="69"/>
      <c r="H337" s="69"/>
      <c r="I337" s="69"/>
      <c r="J337" s="69"/>
      <c r="K337" s="69"/>
      <c r="L337" s="69"/>
      <c r="M337" s="69"/>
      <c r="N337" s="69"/>
      <c r="O337" s="69"/>
      <c r="P337" s="69"/>
      <c r="Q337" s="69"/>
      <c r="R337" s="69"/>
    </row>
    <row r="338" spans="1:25">
      <c r="A338" s="22" t="s">
        <v>565</v>
      </c>
      <c r="B338" s="22" t="s">
        <v>122</v>
      </c>
      <c r="D338" s="208" t="s">
        <v>1125</v>
      </c>
    </row>
    <row r="339" spans="1:25">
      <c r="A339" s="22" t="s">
        <v>565</v>
      </c>
      <c r="B339" s="22" t="s">
        <v>122</v>
      </c>
      <c r="D339" s="208" t="s">
        <v>918</v>
      </c>
    </row>
    <row r="340" spans="1:25">
      <c r="A340" s="22" t="s">
        <v>565</v>
      </c>
      <c r="T340" s="118"/>
      <c r="U340" s="427"/>
      <c r="V340" s="118"/>
      <c r="W340" s="118"/>
      <c r="X340" s="118"/>
      <c r="Y340" s="118"/>
    </row>
    <row r="341" spans="1:25">
      <c r="A341" s="22" t="s">
        <v>565</v>
      </c>
      <c r="B341" s="22" t="s">
        <v>111</v>
      </c>
      <c r="D341" s="22" t="s">
        <v>19</v>
      </c>
      <c r="E341" s="22" t="s">
        <v>560</v>
      </c>
      <c r="F341" s="22" t="s">
        <v>529</v>
      </c>
      <c r="G341" s="22" t="s">
        <v>530</v>
      </c>
      <c r="H341" s="22" t="s">
        <v>531</v>
      </c>
      <c r="I341" s="22" t="s">
        <v>562</v>
      </c>
      <c r="J341" s="22" t="s">
        <v>563</v>
      </c>
      <c r="K341" s="22" t="s">
        <v>656</v>
      </c>
      <c r="T341" s="117"/>
      <c r="U341" s="428"/>
      <c r="V341" s="117"/>
      <c r="W341" s="117"/>
      <c r="X341" s="117"/>
      <c r="Y341" s="117"/>
    </row>
    <row r="342" spans="1:25">
      <c r="A342" s="22" t="s">
        <v>565</v>
      </c>
      <c r="B342" s="22" t="s">
        <v>111</v>
      </c>
      <c r="D342" s="22" t="s">
        <v>606</v>
      </c>
      <c r="E342" s="460">
        <v>16638.875653539602</v>
      </c>
      <c r="F342" s="460">
        <v>7146.5763930999929</v>
      </c>
      <c r="G342" s="460">
        <v>5524.1266140899997</v>
      </c>
      <c r="H342" s="460">
        <v>3092.7495315399997</v>
      </c>
      <c r="I342" s="460">
        <v>2841.0521674199936</v>
      </c>
      <c r="J342" s="460">
        <v>6009.6481835000004</v>
      </c>
    </row>
    <row r="343" spans="1:25">
      <c r="A343" s="22" t="s">
        <v>565</v>
      </c>
      <c r="B343" s="22" t="s">
        <v>111</v>
      </c>
      <c r="D343" s="22" t="s">
        <v>607</v>
      </c>
      <c r="E343" s="460">
        <v>8806</v>
      </c>
      <c r="F343" s="460">
        <v>5179</v>
      </c>
      <c r="G343" s="460">
        <v>2030</v>
      </c>
      <c r="H343" s="460">
        <v>538</v>
      </c>
      <c r="I343" s="460">
        <v>5620</v>
      </c>
      <c r="J343" s="460">
        <v>3694</v>
      </c>
    </row>
    <row r="344" spans="1:25">
      <c r="A344" s="22" t="s">
        <v>565</v>
      </c>
    </row>
    <row r="345" spans="1:25">
      <c r="A345" s="22" t="s">
        <v>565</v>
      </c>
      <c r="B345" s="22" t="s">
        <v>112</v>
      </c>
    </row>
    <row r="346" spans="1:25">
      <c r="A346" s="22" t="s">
        <v>565</v>
      </c>
      <c r="B346" s="22" t="s">
        <v>112</v>
      </c>
    </row>
    <row r="347" spans="1:25">
      <c r="A347" s="22" t="s">
        <v>565</v>
      </c>
      <c r="B347" s="22" t="s">
        <v>112</v>
      </c>
    </row>
    <row r="348" spans="1:25">
      <c r="A348" s="22" t="s">
        <v>565</v>
      </c>
      <c r="B348" s="22" t="s">
        <v>112</v>
      </c>
    </row>
    <row r="349" spans="1:25">
      <c r="A349" s="22" t="s">
        <v>565</v>
      </c>
      <c r="B349" s="22" t="s">
        <v>112</v>
      </c>
    </row>
    <row r="350" spans="1:25">
      <c r="A350" s="22" t="s">
        <v>565</v>
      </c>
      <c r="B350" s="22" t="s">
        <v>112</v>
      </c>
    </row>
    <row r="351" spans="1:25">
      <c r="A351" s="22" t="s">
        <v>565</v>
      </c>
      <c r="B351" s="22" t="s">
        <v>112</v>
      </c>
    </row>
    <row r="352" spans="1:25">
      <c r="A352" s="22" t="s">
        <v>565</v>
      </c>
      <c r="B352" s="22" t="s">
        <v>112</v>
      </c>
    </row>
    <row r="353" spans="1:41">
      <c r="A353" s="22" t="s">
        <v>565</v>
      </c>
      <c r="B353" s="22" t="s">
        <v>112</v>
      </c>
    </row>
    <row r="354" spans="1:41">
      <c r="A354" s="22" t="s">
        <v>565</v>
      </c>
      <c r="B354" s="22" t="s">
        <v>112</v>
      </c>
    </row>
    <row r="355" spans="1:41">
      <c r="A355" s="22" t="s">
        <v>565</v>
      </c>
      <c r="B355" s="22" t="s">
        <v>112</v>
      </c>
    </row>
    <row r="356" spans="1:41">
      <c r="A356" s="22" t="s">
        <v>565</v>
      </c>
      <c r="B356" s="22" t="s">
        <v>112</v>
      </c>
    </row>
    <row r="357" spans="1:41">
      <c r="A357" s="22" t="s">
        <v>565</v>
      </c>
      <c r="B357" s="22" t="s">
        <v>112</v>
      </c>
      <c r="V357" s="118"/>
      <c r="W357" s="117"/>
    </row>
    <row r="358" spans="1:41">
      <c r="A358" s="22" t="s">
        <v>565</v>
      </c>
      <c r="B358" s="22" t="s">
        <v>112</v>
      </c>
      <c r="V358" s="118"/>
      <c r="W358" s="117"/>
    </row>
    <row r="359" spans="1:41">
      <c r="A359" s="22" t="s">
        <v>565</v>
      </c>
      <c r="B359" s="22" t="s">
        <v>112</v>
      </c>
      <c r="V359" s="118"/>
      <c r="W359" s="117"/>
    </row>
    <row r="360" spans="1:41">
      <c r="A360" s="22" t="s">
        <v>565</v>
      </c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V360" s="118"/>
      <c r="W360" s="117"/>
    </row>
    <row r="361" spans="1:41">
      <c r="A361" s="22" t="s">
        <v>565</v>
      </c>
      <c r="B361" s="22" t="s">
        <v>124</v>
      </c>
      <c r="D361" s="208" t="s">
        <v>1120</v>
      </c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T361" s="115"/>
      <c r="V361" s="118"/>
      <c r="W361" s="117"/>
    </row>
    <row r="362" spans="1:41" s="24" customFormat="1">
      <c r="A362" s="22" t="s">
        <v>565</v>
      </c>
      <c r="U362" s="411"/>
      <c r="V362" s="118"/>
      <c r="W362" s="117"/>
    </row>
    <row r="363" spans="1:41">
      <c r="A363" s="69" t="s">
        <v>574</v>
      </c>
      <c r="B363" s="69" t="s">
        <v>119</v>
      </c>
      <c r="C363" s="69"/>
      <c r="D363" s="212" t="s">
        <v>1126</v>
      </c>
      <c r="E363" s="69"/>
      <c r="F363" s="69"/>
      <c r="G363" s="69"/>
      <c r="H363" s="69"/>
      <c r="I363" s="69"/>
      <c r="J363" s="69"/>
      <c r="K363" s="69"/>
      <c r="L363" s="69"/>
      <c r="M363" s="69"/>
      <c r="N363" s="69"/>
      <c r="O363" s="69"/>
      <c r="P363" s="69"/>
      <c r="Q363" s="69"/>
      <c r="R363" s="69"/>
    </row>
    <row r="364" spans="1:41">
      <c r="A364" s="22" t="s">
        <v>574</v>
      </c>
      <c r="B364" s="22" t="s">
        <v>122</v>
      </c>
      <c r="D364" s="208" t="s">
        <v>1129</v>
      </c>
    </row>
    <row r="365" spans="1:41">
      <c r="A365" s="22" t="s">
        <v>574</v>
      </c>
      <c r="B365" s="22" t="s">
        <v>122</v>
      </c>
      <c r="D365" s="208" t="s">
        <v>1130</v>
      </c>
      <c r="T365" s="129" t="s">
        <v>717</v>
      </c>
      <c r="V365" s="24"/>
      <c r="W365" s="24"/>
      <c r="X365" s="24"/>
      <c r="Y365" s="24"/>
      <c r="Z365" s="24"/>
      <c r="AA365" s="24"/>
      <c r="AB365" s="24"/>
      <c r="AC365" s="24"/>
      <c r="AD365" s="24"/>
      <c r="AE365" s="24"/>
      <c r="AF365" s="24"/>
      <c r="AG365" s="24"/>
      <c r="AH365" s="24"/>
      <c r="AI365" s="24"/>
      <c r="AJ365" s="24"/>
      <c r="AK365" s="24"/>
      <c r="AL365" s="24"/>
      <c r="AM365" s="24"/>
      <c r="AN365" s="24"/>
      <c r="AO365" s="24"/>
    </row>
    <row r="366" spans="1:41">
      <c r="A366" s="22" t="s">
        <v>574</v>
      </c>
      <c r="B366" s="22" t="s">
        <v>122</v>
      </c>
      <c r="D366" s="22" t="s">
        <v>1132</v>
      </c>
      <c r="T366" s="124" t="s">
        <v>19</v>
      </c>
      <c r="U366" s="237" t="s">
        <v>2</v>
      </c>
      <c r="V366" s="237" t="s">
        <v>3</v>
      </c>
      <c r="W366" s="237" t="s">
        <v>7</v>
      </c>
      <c r="X366" s="237" t="s">
        <v>167</v>
      </c>
      <c r="Y366" s="237" t="s">
        <v>1128</v>
      </c>
      <c r="Z366" s="186" t="s">
        <v>718</v>
      </c>
      <c r="AA366" s="185"/>
      <c r="AB366" s="185"/>
      <c r="AC366" s="185"/>
      <c r="AD366" s="24"/>
      <c r="AE366" s="24"/>
      <c r="AF366" s="24"/>
      <c r="AG366" s="24"/>
      <c r="AH366" s="24"/>
      <c r="AI366" s="24"/>
      <c r="AJ366" s="24"/>
      <c r="AK366" s="24"/>
      <c r="AL366" s="24"/>
      <c r="AM366" s="24"/>
      <c r="AN366" s="24"/>
      <c r="AO366" s="24"/>
    </row>
    <row r="367" spans="1:41">
      <c r="A367" s="22" t="s">
        <v>574</v>
      </c>
      <c r="B367" s="22" t="s">
        <v>122</v>
      </c>
      <c r="D367" s="208" t="s">
        <v>1131</v>
      </c>
      <c r="T367" s="124" t="s">
        <v>566</v>
      </c>
      <c r="U367" s="238">
        <v>3896</v>
      </c>
      <c r="V367" s="238">
        <v>4436</v>
      </c>
      <c r="W367" s="238">
        <v>4353</v>
      </c>
      <c r="X367" s="238">
        <v>4298</v>
      </c>
      <c r="Y367" s="464">
        <v>4817.4806231000075</v>
      </c>
      <c r="Z367" s="125">
        <f t="shared" ref="Z367:Z375" si="0">RATE(4,0,-U367,Y367)</f>
        <v>5.4508918361085318E-2</v>
      </c>
      <c r="AA367" s="119"/>
      <c r="AB367" s="119">
        <f t="shared" ref="AB367:AB374" si="1">Y367-X367</f>
        <v>519.48062310000751</v>
      </c>
      <c r="AC367" s="119"/>
      <c r="AD367" s="24"/>
      <c r="AE367" s="24"/>
      <c r="AF367" s="24"/>
      <c r="AG367" s="24"/>
      <c r="AH367" s="24"/>
      <c r="AI367" s="24"/>
      <c r="AJ367" s="24"/>
      <c r="AK367" s="24"/>
      <c r="AL367" s="24"/>
      <c r="AM367" s="24"/>
      <c r="AN367" s="24"/>
      <c r="AO367" s="24"/>
    </row>
    <row r="368" spans="1:41">
      <c r="A368" s="22" t="s">
        <v>574</v>
      </c>
      <c r="T368" s="124" t="s">
        <v>131</v>
      </c>
      <c r="U368" s="238">
        <v>3665</v>
      </c>
      <c r="V368" s="238">
        <v>3753</v>
      </c>
      <c r="W368" s="238">
        <v>3848</v>
      </c>
      <c r="X368" s="238">
        <v>4088</v>
      </c>
      <c r="Y368" s="464">
        <v>5195.247362290007</v>
      </c>
      <c r="Z368" s="125">
        <f t="shared" si="0"/>
        <v>9.1146497349405137E-2</v>
      </c>
      <c r="AA368" s="120"/>
      <c r="AB368" s="120">
        <f t="shared" si="1"/>
        <v>1107.247362290007</v>
      </c>
      <c r="AC368" s="121"/>
      <c r="AD368" s="24"/>
      <c r="AE368" s="24"/>
      <c r="AF368" s="24"/>
      <c r="AG368" s="24"/>
      <c r="AH368" s="24"/>
      <c r="AI368" s="24"/>
      <c r="AJ368" s="24"/>
      <c r="AK368" s="24"/>
      <c r="AL368" s="24"/>
      <c r="AM368" s="24"/>
      <c r="AN368" s="24"/>
      <c r="AO368" s="24"/>
    </row>
    <row r="369" spans="1:41">
      <c r="A369" s="22" t="s">
        <v>574</v>
      </c>
      <c r="B369" s="22" t="s">
        <v>111</v>
      </c>
      <c r="D369" s="22" t="s">
        <v>19</v>
      </c>
      <c r="E369" s="22" t="s">
        <v>566</v>
      </c>
      <c r="F369" s="22" t="s">
        <v>131</v>
      </c>
      <c r="G369" s="22" t="s">
        <v>567</v>
      </c>
      <c r="H369" s="22" t="s">
        <v>568</v>
      </c>
      <c r="I369" s="22" t="s">
        <v>569</v>
      </c>
      <c r="J369" s="22" t="s">
        <v>570</v>
      </c>
      <c r="K369" s="22" t="s">
        <v>571</v>
      </c>
      <c r="L369" s="22" t="s">
        <v>572</v>
      </c>
      <c r="M369" s="22" t="s">
        <v>573</v>
      </c>
      <c r="N369" s="22" t="s">
        <v>286</v>
      </c>
      <c r="T369" s="124" t="s">
        <v>567</v>
      </c>
      <c r="U369" s="238">
        <v>1741</v>
      </c>
      <c r="V369" s="238">
        <v>1977</v>
      </c>
      <c r="W369" s="238">
        <v>1887</v>
      </c>
      <c r="X369" s="238">
        <v>1969</v>
      </c>
      <c r="Y369" s="464">
        <v>2096.4807059000004</v>
      </c>
      <c r="Z369" s="125">
        <f t="shared" si="0"/>
        <v>4.7545811460291874E-2</v>
      </c>
      <c r="AA369" s="120"/>
      <c r="AB369" s="120">
        <f t="shared" si="1"/>
        <v>127.48070590000043</v>
      </c>
      <c r="AC369" s="119"/>
      <c r="AD369" s="24"/>
      <c r="AE369" s="24"/>
      <c r="AF369" s="24"/>
      <c r="AG369" s="24"/>
      <c r="AH369" s="24"/>
      <c r="AI369" s="24"/>
      <c r="AJ369" s="24"/>
      <c r="AK369" s="24"/>
      <c r="AL369" s="24"/>
      <c r="AM369" s="24"/>
      <c r="AN369" s="24"/>
      <c r="AO369" s="24"/>
    </row>
    <row r="370" spans="1:41">
      <c r="A370" s="22" t="s">
        <v>574</v>
      </c>
      <c r="B370" s="22" t="s">
        <v>111</v>
      </c>
      <c r="D370" s="22" t="s">
        <v>27</v>
      </c>
      <c r="E370" s="89">
        <v>3896</v>
      </c>
      <c r="F370" s="89">
        <v>3665</v>
      </c>
      <c r="G370" s="89">
        <v>1741</v>
      </c>
      <c r="H370" s="89">
        <v>1784</v>
      </c>
      <c r="I370" s="89">
        <v>1282</v>
      </c>
      <c r="J370" s="89">
        <v>1682</v>
      </c>
      <c r="K370" s="89">
        <v>1624</v>
      </c>
      <c r="L370" s="89">
        <v>7516</v>
      </c>
      <c r="M370" s="89">
        <v>10151</v>
      </c>
      <c r="T370" s="124" t="s">
        <v>568</v>
      </c>
      <c r="U370" s="238">
        <v>1784</v>
      </c>
      <c r="V370" s="238">
        <v>1885</v>
      </c>
      <c r="W370" s="238">
        <v>2097</v>
      </c>
      <c r="X370" s="238">
        <v>2387</v>
      </c>
      <c r="Y370" s="464">
        <v>2570.006365650001</v>
      </c>
      <c r="Z370" s="126">
        <f t="shared" si="0"/>
        <v>9.5556644686098591E-2</v>
      </c>
      <c r="AA370" s="122"/>
      <c r="AB370" s="122">
        <f t="shared" si="1"/>
        <v>183.00636565000104</v>
      </c>
      <c r="AC370" s="122"/>
      <c r="AD370" s="24"/>
      <c r="AE370" s="24"/>
      <c r="AF370" s="24"/>
      <c r="AG370" s="24"/>
      <c r="AH370" s="24"/>
      <c r="AI370" s="24"/>
      <c r="AJ370" s="24"/>
      <c r="AK370" s="24"/>
      <c r="AL370" s="24"/>
      <c r="AM370" s="24"/>
      <c r="AN370" s="24"/>
      <c r="AO370" s="24"/>
    </row>
    <row r="371" spans="1:41">
      <c r="A371" s="22" t="s">
        <v>574</v>
      </c>
      <c r="B371" s="22" t="s">
        <v>111</v>
      </c>
      <c r="D371" s="22" t="s">
        <v>28</v>
      </c>
      <c r="E371" s="89">
        <v>4436</v>
      </c>
      <c r="F371" s="89">
        <v>3753</v>
      </c>
      <c r="G371" s="89">
        <v>1977</v>
      </c>
      <c r="H371" s="89">
        <v>1885</v>
      </c>
      <c r="I371" s="89">
        <v>1265</v>
      </c>
      <c r="J371" s="89">
        <v>1938</v>
      </c>
      <c r="K371" s="89">
        <v>1936</v>
      </c>
      <c r="L371" s="89">
        <v>7645</v>
      </c>
      <c r="M371" s="89">
        <v>10111</v>
      </c>
      <c r="T371" s="124" t="s">
        <v>569</v>
      </c>
      <c r="U371" s="238">
        <v>1282</v>
      </c>
      <c r="V371" s="238">
        <v>1265</v>
      </c>
      <c r="W371" s="238">
        <v>1195</v>
      </c>
      <c r="X371" s="238">
        <v>1170</v>
      </c>
      <c r="Y371" s="464">
        <v>1334.401282450001</v>
      </c>
      <c r="Z371" s="127">
        <f t="shared" si="0"/>
        <v>1.0065660159683585E-2</v>
      </c>
      <c r="AA371" s="123"/>
      <c r="AB371" s="123">
        <f t="shared" si="1"/>
        <v>164.40128245000096</v>
      </c>
      <c r="AC371" s="123"/>
      <c r="AD371" s="24"/>
      <c r="AE371" s="24"/>
      <c r="AF371" s="24"/>
      <c r="AG371" s="24"/>
      <c r="AH371" s="24"/>
      <c r="AI371" s="24"/>
      <c r="AJ371" s="24"/>
      <c r="AK371" s="24"/>
      <c r="AL371" s="24"/>
      <c r="AM371" s="24"/>
      <c r="AN371" s="24"/>
      <c r="AO371" s="24"/>
    </row>
    <row r="372" spans="1:41">
      <c r="A372" s="22" t="s">
        <v>574</v>
      </c>
      <c r="B372" s="22" t="s">
        <v>111</v>
      </c>
      <c r="D372" s="403" t="s">
        <v>166</v>
      </c>
      <c r="E372" s="462">
        <v>4352.5028263800104</v>
      </c>
      <c r="F372" s="462">
        <v>3847.8163493500087</v>
      </c>
      <c r="G372" s="462">
        <v>1886.8535510199972</v>
      </c>
      <c r="H372" s="462">
        <v>2097.2503975600002</v>
      </c>
      <c r="I372" s="462">
        <v>1195.2832584600023</v>
      </c>
      <c r="J372" s="462">
        <v>1851.3450294100039</v>
      </c>
      <c r="K372" s="462">
        <v>1769.017215789999</v>
      </c>
      <c r="L372" s="462">
        <v>7529.4014733500035</v>
      </c>
      <c r="M372" s="462">
        <v>10964.893779540456</v>
      </c>
      <c r="T372" s="124" t="s">
        <v>570</v>
      </c>
      <c r="U372" s="238">
        <v>1682</v>
      </c>
      <c r="V372" s="238">
        <v>1938</v>
      </c>
      <c r="W372" s="238">
        <v>1851</v>
      </c>
      <c r="X372" s="238">
        <v>1935</v>
      </c>
      <c r="Y372" s="464">
        <v>2083.096815000004</v>
      </c>
      <c r="Z372" s="128">
        <f t="shared" si="0"/>
        <v>5.4923254330038571E-2</v>
      </c>
      <c r="AA372" s="24"/>
      <c r="AB372" s="24">
        <f t="shared" si="1"/>
        <v>148.09681500000397</v>
      </c>
      <c r="AC372" s="24"/>
      <c r="AD372" s="24"/>
      <c r="AE372" s="24"/>
      <c r="AF372" s="24"/>
      <c r="AG372" s="24"/>
      <c r="AH372" s="24"/>
      <c r="AI372" s="24"/>
      <c r="AJ372" s="24"/>
      <c r="AK372" s="24"/>
      <c r="AL372" s="24"/>
      <c r="AM372" s="24"/>
      <c r="AN372" s="24"/>
      <c r="AO372" s="24"/>
    </row>
    <row r="373" spans="1:41">
      <c r="A373" s="22" t="s">
        <v>574</v>
      </c>
      <c r="B373" s="22" t="s">
        <v>111</v>
      </c>
      <c r="D373" s="403" t="s">
        <v>675</v>
      </c>
      <c r="E373" s="463">
        <v>4298</v>
      </c>
      <c r="F373" s="463">
        <v>4088</v>
      </c>
      <c r="G373" s="463">
        <v>1969</v>
      </c>
      <c r="H373" s="463">
        <v>2387</v>
      </c>
      <c r="I373" s="463">
        <v>1170</v>
      </c>
      <c r="J373" s="463">
        <v>1935</v>
      </c>
      <c r="K373" s="463">
        <v>1551</v>
      </c>
      <c r="L373" s="463">
        <v>7826</v>
      </c>
      <c r="M373" s="463">
        <v>11486</v>
      </c>
      <c r="T373" s="124" t="s">
        <v>571</v>
      </c>
      <c r="U373" s="238">
        <v>1624</v>
      </c>
      <c r="V373" s="238">
        <v>1936</v>
      </c>
      <c r="W373" s="238">
        <v>1769</v>
      </c>
      <c r="X373" s="238">
        <v>1551</v>
      </c>
      <c r="Y373" s="464">
        <v>1555.0143024400006</v>
      </c>
      <c r="Z373" s="128">
        <f t="shared" si="0"/>
        <v>-1.0793205434011875E-2</v>
      </c>
      <c r="AA373" s="24"/>
      <c r="AB373" s="24">
        <f t="shared" si="1"/>
        <v>4.0143024400006198</v>
      </c>
      <c r="AC373" s="24"/>
      <c r="AD373" s="24"/>
      <c r="AE373" s="24"/>
      <c r="AF373" s="24"/>
      <c r="AG373" s="24"/>
      <c r="AH373" s="24"/>
      <c r="AI373" s="24"/>
      <c r="AJ373" s="24"/>
      <c r="AK373" s="24"/>
      <c r="AL373" s="24"/>
      <c r="AM373" s="24"/>
      <c r="AN373" s="24"/>
      <c r="AO373" s="24"/>
    </row>
    <row r="374" spans="1:41">
      <c r="A374" s="22" t="s">
        <v>574</v>
      </c>
      <c r="B374" s="22" t="s">
        <v>111</v>
      </c>
      <c r="D374" s="208" t="s">
        <v>1061</v>
      </c>
      <c r="E374" s="461">
        <v>4817.4806231000075</v>
      </c>
      <c r="F374" s="461">
        <v>5195.247362290007</v>
      </c>
      <c r="G374" s="461">
        <v>2096.4807059000004</v>
      </c>
      <c r="H374" s="461">
        <v>2570.006365650001</v>
      </c>
      <c r="I374" s="461">
        <v>1334.401282450001</v>
      </c>
      <c r="J374" s="461">
        <v>2083.096815000004</v>
      </c>
      <c r="K374" s="461">
        <v>1555.0143024400006</v>
      </c>
      <c r="L374" s="461">
        <v>8127.002601779991</v>
      </c>
      <c r="M374" s="461">
        <v>13474.298484579869</v>
      </c>
      <c r="T374" s="124" t="s">
        <v>572</v>
      </c>
      <c r="U374" s="238">
        <v>7516</v>
      </c>
      <c r="V374" s="238">
        <v>7645</v>
      </c>
      <c r="W374" s="238">
        <v>7529</v>
      </c>
      <c r="X374" s="238">
        <v>7826</v>
      </c>
      <c r="Y374" s="464">
        <v>8127.002601779991</v>
      </c>
      <c r="Z374" s="128">
        <f t="shared" si="0"/>
        <v>1.9731668501177722E-2</v>
      </c>
      <c r="AA374" s="24"/>
      <c r="AB374" s="24">
        <f t="shared" si="1"/>
        <v>301.00260177999098</v>
      </c>
      <c r="AC374" s="24"/>
      <c r="AD374" s="24"/>
      <c r="AE374" s="24"/>
      <c r="AF374" s="24"/>
      <c r="AG374" s="24"/>
      <c r="AH374" s="24"/>
      <c r="AI374" s="24"/>
      <c r="AJ374" s="24"/>
      <c r="AK374" s="24"/>
      <c r="AL374" s="24"/>
      <c r="AM374" s="24"/>
      <c r="AN374" s="24"/>
      <c r="AO374" s="24"/>
    </row>
    <row r="375" spans="1:41">
      <c r="A375" s="22" t="s">
        <v>574</v>
      </c>
      <c r="T375" s="124" t="s">
        <v>573</v>
      </c>
      <c r="U375" s="238">
        <v>10151</v>
      </c>
      <c r="V375" s="238">
        <v>10111</v>
      </c>
      <c r="W375" s="238">
        <v>10965</v>
      </c>
      <c r="X375" s="238">
        <v>11486</v>
      </c>
      <c r="Y375" s="464">
        <v>13474.298484579869</v>
      </c>
      <c r="Z375" s="128">
        <f t="shared" si="0"/>
        <v>7.3369706149550948E-2</v>
      </c>
      <c r="AA375" s="24"/>
      <c r="AB375" s="24"/>
      <c r="AC375" s="24"/>
      <c r="AD375" s="24"/>
      <c r="AE375" s="24"/>
      <c r="AF375" s="24"/>
      <c r="AG375" s="24"/>
      <c r="AH375" s="24"/>
      <c r="AI375" s="24"/>
      <c r="AJ375" s="24"/>
      <c r="AK375" s="24"/>
      <c r="AL375" s="24"/>
      <c r="AM375" s="24"/>
      <c r="AN375" s="24"/>
      <c r="AO375" s="24"/>
    </row>
    <row r="376" spans="1:41">
      <c r="A376" s="22" t="s">
        <v>574</v>
      </c>
      <c r="B376" s="22" t="s">
        <v>112</v>
      </c>
      <c r="T376" s="24"/>
      <c r="V376" s="24"/>
      <c r="W376" s="24"/>
      <c r="X376" s="24"/>
      <c r="Y376" s="24"/>
      <c r="Z376" s="24"/>
      <c r="AA376" s="24"/>
      <c r="AB376" s="24"/>
      <c r="AC376" s="24"/>
      <c r="AD376" s="24"/>
      <c r="AE376" s="24"/>
      <c r="AF376" s="24"/>
      <c r="AG376" s="24"/>
      <c r="AH376" s="24"/>
      <c r="AI376" s="24"/>
      <c r="AJ376" s="24"/>
      <c r="AK376" s="24"/>
      <c r="AL376" s="24"/>
      <c r="AM376" s="24"/>
      <c r="AN376" s="24"/>
      <c r="AO376" s="24"/>
    </row>
    <row r="377" spans="1:41">
      <c r="A377" s="22" t="s">
        <v>574</v>
      </c>
      <c r="B377" s="22" t="s">
        <v>112</v>
      </c>
      <c r="T377" s="24"/>
      <c r="V377" s="24"/>
      <c r="W377" s="24"/>
      <c r="X377" s="24"/>
      <c r="Y377" s="24"/>
      <c r="Z377" s="24"/>
      <c r="AA377" s="24"/>
      <c r="AB377" s="24"/>
      <c r="AC377" s="24"/>
      <c r="AD377" s="24"/>
      <c r="AE377" s="24"/>
      <c r="AF377" s="24"/>
      <c r="AG377" s="24"/>
      <c r="AH377" s="24"/>
      <c r="AI377" s="24"/>
      <c r="AJ377" s="24"/>
      <c r="AK377" s="24"/>
      <c r="AL377" s="24"/>
      <c r="AM377" s="24"/>
      <c r="AN377" s="24"/>
      <c r="AO377" s="24"/>
    </row>
    <row r="378" spans="1:41">
      <c r="A378" s="22" t="s">
        <v>574</v>
      </c>
      <c r="B378" s="22" t="s">
        <v>112</v>
      </c>
      <c r="T378" s="116"/>
      <c r="U378" s="429"/>
      <c r="V378" s="465"/>
      <c r="W378" s="466"/>
      <c r="X378" s="466"/>
      <c r="Y378" s="466"/>
      <c r="Z378" s="466"/>
      <c r="AA378" s="467"/>
      <c r="AB378" s="116"/>
      <c r="AC378" s="24"/>
      <c r="AD378" s="24"/>
      <c r="AE378" s="24"/>
      <c r="AF378" s="24"/>
      <c r="AG378" s="24"/>
      <c r="AH378" s="24"/>
      <c r="AI378" s="24"/>
      <c r="AJ378" s="24"/>
      <c r="AK378" s="24"/>
      <c r="AL378" s="24"/>
      <c r="AM378" s="24"/>
      <c r="AN378" s="24"/>
      <c r="AO378" s="24"/>
    </row>
    <row r="379" spans="1:41">
      <c r="A379" s="22" t="s">
        <v>574</v>
      </c>
      <c r="B379" s="22" t="s">
        <v>112</v>
      </c>
      <c r="T379" s="116"/>
      <c r="U379" s="430"/>
      <c r="V379" s="465"/>
      <c r="W379" s="466"/>
      <c r="X379" s="466"/>
      <c r="Y379" s="466"/>
      <c r="Z379" s="466"/>
      <c r="AA379" s="467"/>
      <c r="AB379" s="134"/>
      <c r="AC379" s="134"/>
      <c r="AD379" s="116"/>
      <c r="AE379" s="116"/>
      <c r="AF379" s="116"/>
      <c r="AG379" s="116"/>
      <c r="AH379" s="24"/>
      <c r="AI379" s="24"/>
      <c r="AJ379" s="24"/>
      <c r="AK379" s="24"/>
      <c r="AL379" s="24"/>
      <c r="AM379" s="24"/>
      <c r="AN379" s="24"/>
      <c r="AO379" s="24"/>
    </row>
    <row r="380" spans="1:41">
      <c r="A380" s="22" t="s">
        <v>574</v>
      </c>
      <c r="B380" s="22" t="s">
        <v>112</v>
      </c>
      <c r="T380" s="116"/>
      <c r="U380" s="430"/>
      <c r="V380" s="465"/>
      <c r="W380" s="465"/>
      <c r="X380" s="466"/>
      <c r="Y380" s="466"/>
      <c r="Z380" s="466"/>
      <c r="AA380" s="466"/>
      <c r="AB380" s="467"/>
      <c r="AC380" s="64"/>
      <c r="AD380" s="116"/>
      <c r="AE380" s="116"/>
      <c r="AF380" s="116"/>
      <c r="AG380" s="116"/>
      <c r="AH380" s="24"/>
      <c r="AI380" s="24"/>
      <c r="AJ380" s="24"/>
      <c r="AK380" s="24"/>
      <c r="AL380" s="24"/>
      <c r="AM380" s="24"/>
      <c r="AN380" s="24"/>
      <c r="AO380" s="24"/>
    </row>
    <row r="381" spans="1:41">
      <c r="A381" s="22" t="s">
        <v>574</v>
      </c>
      <c r="B381" s="22" t="s">
        <v>112</v>
      </c>
      <c r="T381" s="116"/>
      <c r="U381" s="430"/>
      <c r="V381" s="465"/>
      <c r="W381" s="465"/>
      <c r="X381" s="466"/>
      <c r="Y381" s="466"/>
      <c r="Z381" s="466"/>
      <c r="AA381" s="466"/>
      <c r="AB381" s="467"/>
      <c r="AC381" s="64"/>
      <c r="AD381" s="116"/>
      <c r="AE381" s="116"/>
      <c r="AF381" s="116"/>
      <c r="AG381" s="116"/>
      <c r="AH381" s="24"/>
      <c r="AI381" s="24"/>
      <c r="AJ381" s="24"/>
      <c r="AK381" s="24"/>
      <c r="AL381" s="24"/>
      <c r="AM381" s="24"/>
      <c r="AN381" s="24"/>
      <c r="AO381" s="24"/>
    </row>
    <row r="382" spans="1:41">
      <c r="A382" s="22" t="s">
        <v>574</v>
      </c>
      <c r="B382" s="22" t="s">
        <v>112</v>
      </c>
      <c r="T382" s="116"/>
      <c r="U382" s="430"/>
      <c r="V382" s="465"/>
      <c r="W382" s="465"/>
      <c r="X382" s="466"/>
      <c r="Y382" s="466"/>
      <c r="Z382" s="466"/>
      <c r="AA382" s="466"/>
      <c r="AB382" s="467"/>
      <c r="AC382" s="64"/>
      <c r="AD382" s="116"/>
      <c r="AE382" s="116"/>
      <c r="AF382" s="116"/>
      <c r="AG382" s="116"/>
      <c r="AH382" s="24"/>
      <c r="AI382" s="24"/>
      <c r="AJ382" s="24"/>
      <c r="AK382" s="24"/>
      <c r="AL382" s="24"/>
      <c r="AM382" s="24"/>
      <c r="AN382" s="24"/>
      <c r="AO382" s="24"/>
    </row>
    <row r="383" spans="1:41">
      <c r="A383" s="22" t="s">
        <v>574</v>
      </c>
      <c r="B383" s="22" t="s">
        <v>112</v>
      </c>
      <c r="T383" s="116"/>
      <c r="U383" s="430"/>
      <c r="V383" s="465"/>
      <c r="W383" s="465"/>
      <c r="X383" s="466"/>
      <c r="Y383" s="466"/>
      <c r="Z383" s="466"/>
      <c r="AA383" s="466"/>
      <c r="AB383" s="467"/>
      <c r="AC383" s="64"/>
      <c r="AD383" s="116"/>
      <c r="AE383" s="116"/>
      <c r="AF383" s="116"/>
      <c r="AG383" s="116"/>
      <c r="AH383" s="24"/>
      <c r="AI383" s="24"/>
      <c r="AJ383" s="24"/>
      <c r="AK383" s="24"/>
      <c r="AL383" s="24"/>
      <c r="AM383" s="24"/>
      <c r="AN383" s="24"/>
      <c r="AO383" s="24"/>
    </row>
    <row r="384" spans="1:41">
      <c r="A384" s="22" t="s">
        <v>574</v>
      </c>
      <c r="B384" s="22" t="s">
        <v>112</v>
      </c>
      <c r="T384" s="116"/>
      <c r="U384" s="430"/>
      <c r="V384" s="465"/>
      <c r="W384" s="465"/>
      <c r="X384" s="466"/>
      <c r="Y384" s="466"/>
      <c r="Z384" s="466"/>
      <c r="AA384" s="466"/>
      <c r="AB384" s="467"/>
      <c r="AC384" s="135"/>
      <c r="AD384" s="116"/>
      <c r="AE384" s="116"/>
      <c r="AF384" s="116"/>
      <c r="AG384" s="116"/>
      <c r="AH384" s="24"/>
      <c r="AI384" s="24"/>
      <c r="AJ384" s="24"/>
      <c r="AK384" s="24"/>
      <c r="AL384" s="24"/>
      <c r="AM384" s="24"/>
      <c r="AN384" s="24"/>
      <c r="AO384" s="24"/>
    </row>
    <row r="385" spans="1:41">
      <c r="A385" s="22" t="s">
        <v>574</v>
      </c>
      <c r="B385" s="22" t="s">
        <v>112</v>
      </c>
      <c r="T385" s="116"/>
      <c r="U385" s="430"/>
      <c r="V385" s="465"/>
      <c r="W385" s="465"/>
      <c r="X385" s="466"/>
      <c r="Y385" s="466"/>
      <c r="Z385" s="466"/>
      <c r="AA385" s="466"/>
      <c r="AB385" s="467"/>
      <c r="AC385" s="116"/>
      <c r="AD385" s="116"/>
      <c r="AE385" s="116"/>
      <c r="AF385" s="116"/>
      <c r="AG385" s="116"/>
      <c r="AH385" s="24"/>
      <c r="AI385" s="24"/>
      <c r="AJ385" s="24"/>
      <c r="AK385" s="24"/>
      <c r="AL385" s="24"/>
      <c r="AM385" s="24"/>
      <c r="AN385" s="24"/>
      <c r="AO385" s="24"/>
    </row>
    <row r="386" spans="1:41">
      <c r="A386" s="22" t="s">
        <v>574</v>
      </c>
      <c r="B386" s="22" t="s">
        <v>112</v>
      </c>
      <c r="T386" s="116"/>
      <c r="U386" s="430"/>
      <c r="V386" s="465"/>
      <c r="W386" s="465"/>
      <c r="X386" s="466"/>
      <c r="Y386" s="466"/>
      <c r="Z386" s="466"/>
      <c r="AA386" s="466"/>
      <c r="AB386" s="467"/>
      <c r="AC386" s="116"/>
      <c r="AD386" s="116"/>
      <c r="AE386" s="116"/>
      <c r="AF386" s="116"/>
      <c r="AG386" s="116"/>
      <c r="AH386" s="24"/>
      <c r="AI386" s="24"/>
      <c r="AJ386" s="24"/>
      <c r="AK386" s="24"/>
      <c r="AL386" s="24"/>
      <c r="AM386" s="24"/>
      <c r="AN386" s="24"/>
      <c r="AO386" s="24"/>
    </row>
    <row r="387" spans="1:41">
      <c r="A387" s="22" t="s">
        <v>574</v>
      </c>
      <c r="B387" s="22" t="s">
        <v>112</v>
      </c>
      <c r="T387" s="116"/>
      <c r="U387" s="430"/>
      <c r="V387" s="64"/>
      <c r="W387" s="465"/>
      <c r="X387" s="466"/>
      <c r="Y387" s="466"/>
      <c r="Z387" s="466"/>
      <c r="AA387" s="466"/>
      <c r="AB387" s="467"/>
      <c r="AC387" s="116"/>
      <c r="AD387" s="116"/>
      <c r="AE387" s="24"/>
      <c r="AF387" s="24"/>
      <c r="AG387" s="24"/>
      <c r="AH387" s="24"/>
      <c r="AI387" s="24"/>
      <c r="AJ387" s="24"/>
      <c r="AK387" s="24"/>
      <c r="AL387" s="24"/>
      <c r="AM387" s="24"/>
      <c r="AN387" s="24"/>
      <c r="AO387" s="24"/>
    </row>
    <row r="388" spans="1:41">
      <c r="A388" s="22" t="s">
        <v>574</v>
      </c>
      <c r="B388" s="22" t="s">
        <v>112</v>
      </c>
      <c r="T388" s="116"/>
      <c r="U388" s="421"/>
      <c r="V388" s="116"/>
      <c r="W388" s="465"/>
      <c r="X388" s="466"/>
      <c r="Y388" s="466"/>
      <c r="Z388" s="466"/>
      <c r="AA388" s="466"/>
      <c r="AB388" s="467"/>
      <c r="AC388" s="116"/>
      <c r="AD388" s="116"/>
      <c r="AE388" s="24"/>
      <c r="AF388" s="24"/>
      <c r="AG388" s="24"/>
      <c r="AH388" s="24"/>
      <c r="AI388" s="24"/>
      <c r="AJ388" s="24"/>
      <c r="AK388" s="24"/>
      <c r="AL388" s="24"/>
      <c r="AM388" s="24"/>
      <c r="AN388" s="24"/>
      <c r="AO388" s="24"/>
    </row>
    <row r="389" spans="1:41">
      <c r="A389" s="22" t="s">
        <v>574</v>
      </c>
      <c r="B389" s="22" t="s">
        <v>112</v>
      </c>
      <c r="T389" s="116"/>
      <c r="U389" s="421"/>
      <c r="V389" s="116"/>
      <c r="W389" s="116"/>
      <c r="X389" s="116"/>
      <c r="Y389" s="116"/>
      <c r="Z389" s="116"/>
      <c r="AA389" s="116"/>
      <c r="AB389" s="116"/>
      <c r="AC389" s="116"/>
      <c r="AD389" s="116"/>
      <c r="AE389" s="24"/>
      <c r="AF389" s="24"/>
      <c r="AG389" s="24"/>
      <c r="AH389" s="24"/>
      <c r="AI389" s="24"/>
      <c r="AJ389" s="24"/>
      <c r="AK389" s="24"/>
      <c r="AL389" s="24"/>
      <c r="AM389" s="24"/>
      <c r="AN389" s="24"/>
      <c r="AO389" s="24"/>
    </row>
    <row r="390" spans="1:41">
      <c r="A390" s="22" t="s">
        <v>574</v>
      </c>
      <c r="B390" s="22" t="s">
        <v>112</v>
      </c>
      <c r="T390" s="116"/>
      <c r="U390" s="421"/>
      <c r="V390" s="116"/>
      <c r="W390" s="116"/>
      <c r="X390" s="116"/>
      <c r="Y390" s="116"/>
      <c r="Z390" s="116"/>
      <c r="AA390" s="24"/>
      <c r="AB390" s="24"/>
      <c r="AC390" s="24"/>
      <c r="AD390" s="24"/>
      <c r="AE390" s="24"/>
      <c r="AF390" s="24"/>
      <c r="AG390" s="24"/>
      <c r="AH390" s="24"/>
      <c r="AI390" s="24"/>
      <c r="AJ390" s="24"/>
      <c r="AK390" s="24"/>
      <c r="AL390" s="24"/>
      <c r="AM390" s="24"/>
      <c r="AN390" s="24"/>
      <c r="AO390" s="24"/>
    </row>
    <row r="391" spans="1:41">
      <c r="A391" s="22" t="s">
        <v>574</v>
      </c>
      <c r="T391" s="116"/>
      <c r="U391" s="421"/>
      <c r="V391" s="116"/>
      <c r="W391" s="116"/>
      <c r="X391" s="116"/>
      <c r="Y391" s="116"/>
      <c r="Z391" s="116"/>
    </row>
    <row r="392" spans="1:41">
      <c r="A392" s="22" t="s">
        <v>574</v>
      </c>
      <c r="B392" s="22" t="s">
        <v>124</v>
      </c>
      <c r="D392" s="208" t="s">
        <v>1135</v>
      </c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T392" s="115"/>
    </row>
    <row r="393" spans="1:41" s="24" customFormat="1">
      <c r="A393" s="22" t="s">
        <v>574</v>
      </c>
      <c r="U393" s="411"/>
    </row>
    <row r="394" spans="1:41">
      <c r="A394" s="69" t="s">
        <v>575</v>
      </c>
      <c r="B394" s="69" t="s">
        <v>119</v>
      </c>
      <c r="C394" s="69"/>
      <c r="D394" s="212" t="s">
        <v>1136</v>
      </c>
      <c r="E394" s="69"/>
      <c r="F394" s="69"/>
      <c r="G394" s="69"/>
      <c r="H394" s="69"/>
      <c r="I394" s="69"/>
      <c r="J394" s="69"/>
      <c r="K394" s="69"/>
      <c r="L394" s="69"/>
      <c r="M394" s="69"/>
      <c r="N394" s="69"/>
      <c r="O394" s="69"/>
      <c r="P394" s="69"/>
      <c r="Q394" s="69"/>
      <c r="R394" s="69"/>
    </row>
    <row r="395" spans="1:41">
      <c r="A395" s="22" t="s">
        <v>575</v>
      </c>
      <c r="B395" s="22" t="s">
        <v>122</v>
      </c>
      <c r="D395" s="208" t="s">
        <v>1138</v>
      </c>
    </row>
    <row r="396" spans="1:41">
      <c r="A396" s="22" t="s">
        <v>575</v>
      </c>
      <c r="B396" s="22" t="s">
        <v>122</v>
      </c>
      <c r="D396" s="209" t="s">
        <v>1139</v>
      </c>
    </row>
    <row r="397" spans="1:41">
      <c r="A397" s="22" t="s">
        <v>575</v>
      </c>
    </row>
    <row r="398" spans="1:41">
      <c r="A398" s="22" t="s">
        <v>575</v>
      </c>
      <c r="B398" s="22" t="s">
        <v>111</v>
      </c>
      <c r="D398" s="22" t="s">
        <v>19</v>
      </c>
      <c r="E398" s="22" t="s">
        <v>566</v>
      </c>
      <c r="F398" s="22" t="s">
        <v>131</v>
      </c>
      <c r="G398" s="22" t="s">
        <v>567</v>
      </c>
      <c r="H398" s="22" t="s">
        <v>568</v>
      </c>
      <c r="I398" s="22" t="s">
        <v>569</v>
      </c>
      <c r="J398" s="22" t="s">
        <v>570</v>
      </c>
      <c r="K398" s="22" t="s">
        <v>571</v>
      </c>
      <c r="L398" s="22" t="s">
        <v>572</v>
      </c>
      <c r="M398" s="22" t="s">
        <v>573</v>
      </c>
      <c r="N398" s="22" t="s">
        <v>286</v>
      </c>
    </row>
    <row r="399" spans="1:41">
      <c r="A399" s="22" t="s">
        <v>575</v>
      </c>
      <c r="B399" s="22" t="s">
        <v>111</v>
      </c>
      <c r="D399" s="208" t="s">
        <v>219</v>
      </c>
      <c r="E399" s="461">
        <v>4817.4806231000075</v>
      </c>
      <c r="F399" s="461">
        <v>5195.247362290007</v>
      </c>
      <c r="G399" s="461">
        <v>2096.4807059000004</v>
      </c>
      <c r="H399" s="461">
        <v>2570.006365650001</v>
      </c>
      <c r="I399" s="461">
        <v>1334.401282450001</v>
      </c>
      <c r="J399" s="461">
        <v>2083.096815000004</v>
      </c>
      <c r="K399" s="461">
        <v>1555.0143024400006</v>
      </c>
      <c r="L399" s="461">
        <v>8127.002601779991</v>
      </c>
      <c r="M399" s="461">
        <v>13474.298484579869</v>
      </c>
    </row>
    <row r="400" spans="1:41">
      <c r="A400" s="22" t="s">
        <v>575</v>
      </c>
    </row>
    <row r="401" spans="1:27">
      <c r="A401" s="22" t="s">
        <v>575</v>
      </c>
      <c r="B401" s="22" t="s">
        <v>112</v>
      </c>
    </row>
    <row r="402" spans="1:27">
      <c r="A402" s="22" t="s">
        <v>575</v>
      </c>
      <c r="B402" s="22" t="s">
        <v>112</v>
      </c>
      <c r="P402" s="137"/>
      <c r="Q402" s="138"/>
    </row>
    <row r="403" spans="1:27">
      <c r="A403" s="22" t="s">
        <v>575</v>
      </c>
      <c r="B403" s="22" t="s">
        <v>112</v>
      </c>
      <c r="P403" s="137"/>
      <c r="Q403" s="138"/>
    </row>
    <row r="404" spans="1:27">
      <c r="A404" s="22" t="s">
        <v>575</v>
      </c>
      <c r="B404" s="22" t="s">
        <v>112</v>
      </c>
      <c r="P404" s="137"/>
      <c r="Q404" s="138"/>
    </row>
    <row r="405" spans="1:27">
      <c r="A405" s="22" t="s">
        <v>575</v>
      </c>
      <c r="B405" s="22" t="s">
        <v>112</v>
      </c>
      <c r="P405" s="137"/>
      <c r="Q405" s="138"/>
      <c r="S405" s="137"/>
      <c r="T405" s="137"/>
      <c r="U405" s="431"/>
      <c r="V405" s="137"/>
      <c r="W405" s="137"/>
      <c r="X405" s="137"/>
      <c r="Y405" s="137"/>
      <c r="Z405" s="137"/>
      <c r="AA405" s="137"/>
    </row>
    <row r="406" spans="1:27">
      <c r="A406" s="22" t="s">
        <v>575</v>
      </c>
      <c r="B406" s="22" t="s">
        <v>112</v>
      </c>
      <c r="P406" s="137"/>
      <c r="Q406" s="138"/>
      <c r="S406" s="138"/>
      <c r="T406" s="138"/>
      <c r="U406" s="432"/>
      <c r="V406" s="138"/>
      <c r="W406" s="138"/>
      <c r="X406" s="138"/>
      <c r="Y406" s="138"/>
      <c r="Z406" s="138"/>
      <c r="AA406" s="138"/>
    </row>
    <row r="407" spans="1:27">
      <c r="A407" s="22" t="s">
        <v>575</v>
      </c>
      <c r="B407" s="22" t="s">
        <v>112</v>
      </c>
      <c r="P407" s="137"/>
      <c r="Q407" s="138"/>
    </row>
    <row r="408" spans="1:27">
      <c r="A408" s="22" t="s">
        <v>575</v>
      </c>
      <c r="B408" s="22" t="s">
        <v>112</v>
      </c>
      <c r="P408" s="137"/>
      <c r="Q408" s="138"/>
    </row>
    <row r="409" spans="1:27">
      <c r="A409" s="22" t="s">
        <v>575</v>
      </c>
      <c r="B409" s="22" t="s">
        <v>112</v>
      </c>
      <c r="P409" s="137"/>
      <c r="Q409" s="138"/>
    </row>
    <row r="410" spans="1:27">
      <c r="A410" s="22" t="s">
        <v>575</v>
      </c>
      <c r="B410" s="22" t="s">
        <v>112</v>
      </c>
      <c r="P410" s="137"/>
      <c r="Q410" s="138"/>
    </row>
    <row r="411" spans="1:27">
      <c r="A411" s="22" t="s">
        <v>575</v>
      </c>
      <c r="B411" s="22" t="s">
        <v>112</v>
      </c>
    </row>
    <row r="412" spans="1:27">
      <c r="A412" s="22" t="s">
        <v>575</v>
      </c>
      <c r="B412" s="22" t="s">
        <v>112</v>
      </c>
    </row>
    <row r="413" spans="1:27">
      <c r="A413" s="22" t="s">
        <v>575</v>
      </c>
      <c r="B413" s="22" t="s">
        <v>112</v>
      </c>
    </row>
    <row r="414" spans="1:27">
      <c r="A414" s="22" t="s">
        <v>575</v>
      </c>
      <c r="B414" s="22" t="s">
        <v>112</v>
      </c>
    </row>
    <row r="415" spans="1:27">
      <c r="A415" s="22" t="s">
        <v>575</v>
      </c>
      <c r="B415" s="22" t="s">
        <v>112</v>
      </c>
    </row>
    <row r="416" spans="1:27">
      <c r="A416" s="22" t="s">
        <v>575</v>
      </c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</row>
    <row r="417" spans="1:21">
      <c r="A417" s="22" t="s">
        <v>575</v>
      </c>
      <c r="B417" s="22" t="s">
        <v>124</v>
      </c>
      <c r="D417" s="208" t="s">
        <v>1135</v>
      </c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T417" s="115"/>
    </row>
    <row r="418" spans="1:21" s="24" customFormat="1">
      <c r="A418" s="22" t="s">
        <v>575</v>
      </c>
      <c r="U418" s="411"/>
    </row>
    <row r="419" spans="1:21">
      <c r="A419" s="69" t="s">
        <v>576</v>
      </c>
      <c r="B419" s="69" t="s">
        <v>119</v>
      </c>
      <c r="C419" s="69"/>
      <c r="D419" s="212" t="s">
        <v>1140</v>
      </c>
      <c r="E419" s="69"/>
      <c r="F419" s="69"/>
      <c r="G419" s="69"/>
      <c r="H419" s="69"/>
      <c r="I419" s="69"/>
      <c r="J419" s="69"/>
      <c r="K419" s="69"/>
      <c r="L419" s="69"/>
      <c r="M419" s="69"/>
      <c r="N419" s="69"/>
      <c r="O419" s="69"/>
      <c r="P419" s="69"/>
      <c r="Q419" s="69"/>
      <c r="R419" s="69"/>
    </row>
    <row r="420" spans="1:21">
      <c r="A420" s="22" t="s">
        <v>576</v>
      </c>
      <c r="B420" s="22" t="s">
        <v>122</v>
      </c>
      <c r="D420" s="208" t="s">
        <v>1143</v>
      </c>
    </row>
    <row r="421" spans="1:21">
      <c r="A421" s="22" t="s">
        <v>576</v>
      </c>
    </row>
    <row r="422" spans="1:21">
      <c r="A422" s="22" t="s">
        <v>576</v>
      </c>
      <c r="B422" s="22" t="s">
        <v>111</v>
      </c>
      <c r="D422" s="22" t="s">
        <v>19</v>
      </c>
      <c r="E422" s="22" t="s">
        <v>27</v>
      </c>
      <c r="F422" s="22" t="s">
        <v>28</v>
      </c>
      <c r="G422" s="22" t="s">
        <v>166</v>
      </c>
      <c r="H422" s="22" t="s">
        <v>916</v>
      </c>
      <c r="I422" s="22" t="s">
        <v>1142</v>
      </c>
      <c r="J422" s="22" t="s">
        <v>286</v>
      </c>
    </row>
    <row r="423" spans="1:21">
      <c r="A423" s="22" t="s">
        <v>576</v>
      </c>
      <c r="B423" s="22" t="s">
        <v>111</v>
      </c>
      <c r="D423" s="22" t="s">
        <v>560</v>
      </c>
      <c r="E423" s="22">
        <v>1583</v>
      </c>
      <c r="F423" s="22">
        <v>2123</v>
      </c>
      <c r="G423" s="140">
        <v>1838.5706958100002</v>
      </c>
      <c r="H423" s="469">
        <v>1949</v>
      </c>
      <c r="I423" s="472">
        <v>2329.0987691700007</v>
      </c>
    </row>
    <row r="424" spans="1:21">
      <c r="A424" s="22" t="s">
        <v>576</v>
      </c>
      <c r="B424" s="22" t="s">
        <v>111</v>
      </c>
      <c r="D424" s="22" t="s">
        <v>529</v>
      </c>
      <c r="E424" s="22">
        <v>34</v>
      </c>
      <c r="F424" s="22">
        <v>33</v>
      </c>
      <c r="G424" s="140">
        <v>57.337500000000006</v>
      </c>
      <c r="H424" s="470">
        <v>54</v>
      </c>
      <c r="I424" s="472">
        <v>50.753200000000007</v>
      </c>
    </row>
    <row r="425" spans="1:21">
      <c r="A425" s="22" t="s">
        <v>576</v>
      </c>
      <c r="B425" s="22" t="s">
        <v>111</v>
      </c>
      <c r="D425" s="22" t="s">
        <v>531</v>
      </c>
      <c r="E425" s="22">
        <v>480</v>
      </c>
      <c r="F425" s="22">
        <v>461</v>
      </c>
      <c r="G425" s="140">
        <v>396.1521436000001</v>
      </c>
      <c r="H425" s="470">
        <v>319</v>
      </c>
      <c r="I425" s="472">
        <v>339.00900000000007</v>
      </c>
      <c r="M425" s="184"/>
    </row>
    <row r="426" spans="1:21">
      <c r="A426" s="22" t="s">
        <v>576</v>
      </c>
      <c r="B426" s="22" t="s">
        <v>111</v>
      </c>
      <c r="D426" s="22" t="s">
        <v>530</v>
      </c>
      <c r="E426" s="22">
        <v>1300</v>
      </c>
      <c r="F426" s="22">
        <v>1416</v>
      </c>
      <c r="G426" s="140">
        <v>1330.8082599399991</v>
      </c>
      <c r="H426" s="469">
        <v>1207</v>
      </c>
      <c r="I426" s="472">
        <v>1289.9324689299999</v>
      </c>
    </row>
    <row r="427" spans="1:21">
      <c r="A427" s="22" t="s">
        <v>576</v>
      </c>
      <c r="B427" s="22" t="s">
        <v>111</v>
      </c>
      <c r="D427" s="22" t="s">
        <v>562</v>
      </c>
      <c r="E427" s="22">
        <v>26</v>
      </c>
      <c r="F427" s="22">
        <v>35</v>
      </c>
      <c r="G427" s="140">
        <v>51.439905000000003</v>
      </c>
      <c r="H427" s="470">
        <v>51</v>
      </c>
      <c r="I427" s="472">
        <v>152.13582499999993</v>
      </c>
    </row>
    <row r="428" spans="1:21">
      <c r="A428" s="22" t="s">
        <v>576</v>
      </c>
      <c r="B428" s="22" t="s">
        <v>111</v>
      </c>
      <c r="D428" s="22" t="s">
        <v>35</v>
      </c>
      <c r="E428" s="22">
        <v>473</v>
      </c>
      <c r="F428" s="22">
        <v>368</v>
      </c>
      <c r="G428" s="140">
        <v>678.19432203000076</v>
      </c>
      <c r="H428" s="470">
        <v>718</v>
      </c>
      <c r="I428" s="472">
        <v>656</v>
      </c>
    </row>
    <row r="429" spans="1:21">
      <c r="A429" s="22" t="s">
        <v>576</v>
      </c>
      <c r="B429" s="22" t="s">
        <v>111</v>
      </c>
      <c r="D429" s="22" t="s">
        <v>5</v>
      </c>
      <c r="E429" s="22">
        <f>SUM(E423:E428)</f>
        <v>3896</v>
      </c>
      <c r="F429" s="22">
        <f>SUM(F423:F428)</f>
        <v>4436</v>
      </c>
      <c r="G429" s="22">
        <v>4353</v>
      </c>
      <c r="H429" s="471">
        <f>SUM(H423:H428)</f>
        <v>4298</v>
      </c>
      <c r="I429" s="241">
        <v>4817</v>
      </c>
    </row>
    <row r="430" spans="1:21">
      <c r="A430" s="22" t="s">
        <v>576</v>
      </c>
    </row>
    <row r="431" spans="1:21">
      <c r="A431" s="22" t="s">
        <v>576</v>
      </c>
      <c r="B431" s="22" t="s">
        <v>112</v>
      </c>
    </row>
    <row r="432" spans="1:21">
      <c r="A432" s="22" t="s">
        <v>576</v>
      </c>
      <c r="B432" s="22" t="s">
        <v>112</v>
      </c>
    </row>
    <row r="433" spans="1:21">
      <c r="A433" s="22" t="s">
        <v>576</v>
      </c>
      <c r="B433" s="22" t="s">
        <v>112</v>
      </c>
    </row>
    <row r="434" spans="1:21">
      <c r="A434" s="22" t="s">
        <v>576</v>
      </c>
      <c r="B434" s="22" t="s">
        <v>112</v>
      </c>
    </row>
    <row r="435" spans="1:21">
      <c r="A435" s="22" t="s">
        <v>576</v>
      </c>
      <c r="B435" s="22" t="s">
        <v>112</v>
      </c>
    </row>
    <row r="436" spans="1:21">
      <c r="A436" s="22" t="s">
        <v>576</v>
      </c>
      <c r="B436" s="22" t="s">
        <v>112</v>
      </c>
    </row>
    <row r="437" spans="1:21">
      <c r="A437" s="22" t="s">
        <v>576</v>
      </c>
      <c r="B437" s="22" t="s">
        <v>112</v>
      </c>
    </row>
    <row r="438" spans="1:21">
      <c r="A438" s="22" t="s">
        <v>576</v>
      </c>
      <c r="B438" s="22" t="s">
        <v>112</v>
      </c>
    </row>
    <row r="439" spans="1:21">
      <c r="A439" s="22" t="s">
        <v>576</v>
      </c>
      <c r="B439" s="22" t="s">
        <v>112</v>
      </c>
    </row>
    <row r="440" spans="1:21">
      <c r="A440" s="22" t="s">
        <v>576</v>
      </c>
      <c r="B440" s="22" t="s">
        <v>112</v>
      </c>
    </row>
    <row r="441" spans="1:21">
      <c r="A441" s="22" t="s">
        <v>576</v>
      </c>
      <c r="B441" s="22" t="s">
        <v>112</v>
      </c>
    </row>
    <row r="442" spans="1:21">
      <c r="A442" s="22" t="s">
        <v>576</v>
      </c>
      <c r="B442" s="22" t="s">
        <v>112</v>
      </c>
    </row>
    <row r="443" spans="1:21">
      <c r="A443" s="22" t="s">
        <v>576</v>
      </c>
      <c r="B443" s="22" t="s">
        <v>112</v>
      </c>
    </row>
    <row r="444" spans="1:21">
      <c r="A444" s="22" t="s">
        <v>576</v>
      </c>
      <c r="B444" s="22" t="s">
        <v>112</v>
      </c>
    </row>
    <row r="445" spans="1:21">
      <c r="A445" s="22" t="s">
        <v>576</v>
      </c>
      <c r="B445" s="22" t="s">
        <v>112</v>
      </c>
    </row>
    <row r="446" spans="1:21">
      <c r="A446" s="22" t="s">
        <v>576</v>
      </c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</row>
    <row r="447" spans="1:21">
      <c r="A447" s="22" t="s">
        <v>576</v>
      </c>
      <c r="B447" s="22" t="s">
        <v>124</v>
      </c>
      <c r="D447" s="208" t="s">
        <v>1135</v>
      </c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115"/>
      <c r="T447" s="115"/>
    </row>
    <row r="448" spans="1:21" s="24" customFormat="1">
      <c r="A448" s="22" t="s">
        <v>576</v>
      </c>
      <c r="U448" s="411"/>
    </row>
    <row r="449" spans="1:19">
      <c r="A449" s="69" t="s">
        <v>577</v>
      </c>
      <c r="B449" s="69" t="s">
        <v>119</v>
      </c>
      <c r="C449" s="69"/>
      <c r="D449" s="212" t="s">
        <v>1144</v>
      </c>
      <c r="E449" s="69"/>
      <c r="F449" s="69"/>
      <c r="G449" s="69"/>
      <c r="H449" s="69"/>
      <c r="I449" s="69"/>
      <c r="J449" s="69"/>
      <c r="K449" s="69"/>
      <c r="L449" s="69"/>
      <c r="M449" s="69"/>
      <c r="N449" s="69"/>
      <c r="O449" s="69"/>
      <c r="P449" s="69"/>
      <c r="Q449" s="69"/>
      <c r="R449" s="69"/>
    </row>
    <row r="450" spans="1:19">
      <c r="A450" s="22" t="s">
        <v>577</v>
      </c>
      <c r="B450" s="22" t="s">
        <v>122</v>
      </c>
      <c r="D450" s="208" t="s">
        <v>1146</v>
      </c>
    </row>
    <row r="451" spans="1:19">
      <c r="A451" s="22" t="s">
        <v>577</v>
      </c>
    </row>
    <row r="452" spans="1:19">
      <c r="A452" s="22" t="s">
        <v>577</v>
      </c>
      <c r="B452" s="22" t="s">
        <v>111</v>
      </c>
      <c r="D452" s="22" t="s">
        <v>19</v>
      </c>
      <c r="E452" s="22" t="s">
        <v>27</v>
      </c>
      <c r="F452" s="22" t="s">
        <v>28</v>
      </c>
      <c r="G452" s="22" t="s">
        <v>166</v>
      </c>
      <c r="H452" s="22" t="s">
        <v>916</v>
      </c>
      <c r="I452" s="22" t="s">
        <v>1145</v>
      </c>
      <c r="J452" s="22" t="s">
        <v>286</v>
      </c>
      <c r="M452" s="145"/>
      <c r="N452" s="145"/>
      <c r="O452" s="145"/>
      <c r="P452" s="145"/>
      <c r="Q452" s="145"/>
      <c r="R452" s="145"/>
      <c r="S452" s="184"/>
    </row>
    <row r="453" spans="1:19">
      <c r="A453" s="22" t="s">
        <v>577</v>
      </c>
      <c r="B453" s="22" t="s">
        <v>111</v>
      </c>
      <c r="D453" s="22" t="s">
        <v>560</v>
      </c>
      <c r="E453" s="22">
        <v>1053</v>
      </c>
      <c r="F453" s="22">
        <v>1239</v>
      </c>
      <c r="G453" s="145">
        <v>1206.2302123400004</v>
      </c>
      <c r="H453" s="475">
        <v>1505</v>
      </c>
      <c r="I453" s="473">
        <v>1574.1091899999997</v>
      </c>
      <c r="M453" s="145"/>
      <c r="N453" s="145"/>
      <c r="O453" s="145"/>
      <c r="P453" s="145"/>
      <c r="Q453" s="145"/>
      <c r="R453" s="145"/>
    </row>
    <row r="454" spans="1:19">
      <c r="A454" s="22" t="s">
        <v>577</v>
      </c>
      <c r="B454" s="22" t="s">
        <v>111</v>
      </c>
      <c r="D454" s="22" t="s">
        <v>529</v>
      </c>
      <c r="E454" s="22">
        <v>4</v>
      </c>
      <c r="F454" s="22">
        <v>5</v>
      </c>
      <c r="G454" s="145">
        <v>9.36</v>
      </c>
      <c r="H454" s="475">
        <v>6</v>
      </c>
      <c r="I454" s="473">
        <v>8.2932000000000006</v>
      </c>
    </row>
    <row r="455" spans="1:19">
      <c r="A455" s="22" t="s">
        <v>577</v>
      </c>
      <c r="B455" s="22" t="s">
        <v>111</v>
      </c>
      <c r="D455" s="22" t="s">
        <v>531</v>
      </c>
      <c r="E455" s="22">
        <v>1943</v>
      </c>
      <c r="F455" s="22">
        <v>1348</v>
      </c>
      <c r="G455" s="145">
        <v>1270.5489175</v>
      </c>
      <c r="H455" s="475">
        <v>1206</v>
      </c>
      <c r="I455" s="473">
        <v>1107.2232987900002</v>
      </c>
    </row>
    <row r="456" spans="1:19">
      <c r="A456" s="22" t="s">
        <v>577</v>
      </c>
      <c r="B456" s="22" t="s">
        <v>111</v>
      </c>
      <c r="D456" s="22" t="s">
        <v>530</v>
      </c>
      <c r="E456" s="22">
        <v>517</v>
      </c>
      <c r="F456" s="22">
        <v>486</v>
      </c>
      <c r="G456" s="145">
        <v>538.41473817999986</v>
      </c>
      <c r="H456" s="475">
        <v>574</v>
      </c>
      <c r="I456" s="473">
        <v>630.13953249999963</v>
      </c>
    </row>
    <row r="457" spans="1:19">
      <c r="A457" s="22" t="s">
        <v>577</v>
      </c>
      <c r="B457" s="22" t="s">
        <v>111</v>
      </c>
      <c r="D457" s="22" t="s">
        <v>562</v>
      </c>
      <c r="E457" s="22">
        <v>46</v>
      </c>
      <c r="F457" s="22">
        <v>24</v>
      </c>
      <c r="G457" s="145">
        <v>35.692425</v>
      </c>
      <c r="H457" s="475">
        <v>38</v>
      </c>
      <c r="I457" s="473">
        <v>76.003025000000036</v>
      </c>
    </row>
    <row r="458" spans="1:19">
      <c r="A458" s="22" t="s">
        <v>577</v>
      </c>
      <c r="B458" s="22" t="s">
        <v>111</v>
      </c>
      <c r="D458" s="22" t="s">
        <v>35</v>
      </c>
      <c r="E458" s="22">
        <v>103</v>
      </c>
      <c r="F458" s="22">
        <v>651</v>
      </c>
      <c r="G458" s="145">
        <v>787.57005632999983</v>
      </c>
      <c r="H458" s="475">
        <v>759</v>
      </c>
      <c r="I458" s="473">
        <v>1799</v>
      </c>
    </row>
    <row r="459" spans="1:19">
      <c r="A459" s="22" t="s">
        <v>577</v>
      </c>
      <c r="B459" s="22" t="s">
        <v>111</v>
      </c>
      <c r="D459" s="22" t="s">
        <v>5</v>
      </c>
      <c r="E459" s="22">
        <f>SUM(E453:E458)</f>
        <v>3666</v>
      </c>
      <c r="F459" s="22">
        <f>SUM(F453:F458)</f>
        <v>3753</v>
      </c>
      <c r="G459" s="22">
        <v>3848</v>
      </c>
      <c r="H459" s="476">
        <f>SUM(H453:H458)</f>
        <v>4088</v>
      </c>
      <c r="I459" s="241">
        <f>SUM(I453:I458)</f>
        <v>5194.7682462899993</v>
      </c>
    </row>
    <row r="460" spans="1:19">
      <c r="A460" s="22" t="s">
        <v>577</v>
      </c>
    </row>
    <row r="461" spans="1:19">
      <c r="A461" s="22" t="s">
        <v>577</v>
      </c>
      <c r="B461" s="22" t="s">
        <v>112</v>
      </c>
    </row>
    <row r="462" spans="1:19">
      <c r="A462" s="22" t="s">
        <v>577</v>
      </c>
      <c r="B462" s="22" t="s">
        <v>112</v>
      </c>
    </row>
    <row r="463" spans="1:19">
      <c r="A463" s="22" t="s">
        <v>577</v>
      </c>
      <c r="B463" s="22" t="s">
        <v>112</v>
      </c>
    </row>
    <row r="464" spans="1:19">
      <c r="A464" s="22" t="s">
        <v>577</v>
      </c>
      <c r="B464" s="22" t="s">
        <v>112</v>
      </c>
    </row>
    <row r="465" spans="1:21">
      <c r="A465" s="22" t="s">
        <v>577</v>
      </c>
      <c r="B465" s="22" t="s">
        <v>112</v>
      </c>
    </row>
    <row r="466" spans="1:21">
      <c r="A466" s="22" t="s">
        <v>577</v>
      </c>
      <c r="B466" s="22" t="s">
        <v>112</v>
      </c>
    </row>
    <row r="467" spans="1:21">
      <c r="A467" s="22" t="s">
        <v>577</v>
      </c>
      <c r="B467" s="22" t="s">
        <v>112</v>
      </c>
    </row>
    <row r="468" spans="1:21">
      <c r="A468" s="22" t="s">
        <v>577</v>
      </c>
      <c r="B468" s="22" t="s">
        <v>112</v>
      </c>
    </row>
    <row r="469" spans="1:21">
      <c r="A469" s="22" t="s">
        <v>577</v>
      </c>
      <c r="B469" s="22" t="s">
        <v>112</v>
      </c>
    </row>
    <row r="470" spans="1:21">
      <c r="A470" s="22" t="s">
        <v>577</v>
      </c>
      <c r="B470" s="22" t="s">
        <v>112</v>
      </c>
    </row>
    <row r="471" spans="1:21">
      <c r="A471" s="22" t="s">
        <v>577</v>
      </c>
      <c r="B471" s="22" t="s">
        <v>112</v>
      </c>
    </row>
    <row r="472" spans="1:21">
      <c r="A472" s="22" t="s">
        <v>577</v>
      </c>
      <c r="B472" s="22" t="s">
        <v>112</v>
      </c>
    </row>
    <row r="473" spans="1:21">
      <c r="A473" s="22" t="s">
        <v>577</v>
      </c>
      <c r="B473" s="22" t="s">
        <v>112</v>
      </c>
    </row>
    <row r="474" spans="1:21">
      <c r="A474" s="22" t="s">
        <v>577</v>
      </c>
      <c r="B474" s="22" t="s">
        <v>112</v>
      </c>
    </row>
    <row r="475" spans="1:21">
      <c r="A475" s="22" t="s">
        <v>577</v>
      </c>
      <c r="B475" s="22" t="s">
        <v>112</v>
      </c>
    </row>
    <row r="476" spans="1:21">
      <c r="A476" s="22" t="s">
        <v>577</v>
      </c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</row>
    <row r="477" spans="1:21">
      <c r="A477" s="22" t="s">
        <v>577</v>
      </c>
      <c r="B477" s="22" t="s">
        <v>124</v>
      </c>
      <c r="D477" s="208" t="s">
        <v>1135</v>
      </c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115"/>
      <c r="T477" s="115"/>
    </row>
    <row r="478" spans="1:21" s="24" customFormat="1">
      <c r="A478" s="22" t="s">
        <v>577</v>
      </c>
      <c r="U478" s="411"/>
    </row>
    <row r="479" spans="1:21">
      <c r="A479" s="69" t="s">
        <v>578</v>
      </c>
      <c r="B479" s="69" t="s">
        <v>119</v>
      </c>
      <c r="C479" s="69"/>
      <c r="D479" s="212" t="s">
        <v>1148</v>
      </c>
      <c r="E479" s="69"/>
      <c r="F479" s="69"/>
      <c r="G479" s="69"/>
      <c r="H479" s="69"/>
      <c r="I479" s="69"/>
      <c r="J479" s="69"/>
      <c r="K479" s="69"/>
      <c r="L479" s="69"/>
      <c r="M479" s="69"/>
      <c r="N479" s="69"/>
      <c r="O479" s="69"/>
      <c r="P479" s="69"/>
      <c r="Q479" s="69"/>
      <c r="R479" s="69"/>
    </row>
    <row r="480" spans="1:21">
      <c r="A480" s="22" t="s">
        <v>578</v>
      </c>
      <c r="B480" s="22" t="s">
        <v>122</v>
      </c>
      <c r="D480" s="208" t="s">
        <v>1150</v>
      </c>
    </row>
    <row r="481" spans="1:18">
      <c r="A481" s="22" t="s">
        <v>578</v>
      </c>
    </row>
    <row r="482" spans="1:18">
      <c r="A482" s="22" t="s">
        <v>578</v>
      </c>
      <c r="B482" s="22" t="s">
        <v>111</v>
      </c>
      <c r="D482" s="22" t="s">
        <v>19</v>
      </c>
      <c r="E482" s="22" t="s">
        <v>27</v>
      </c>
      <c r="F482" s="22" t="s">
        <v>28</v>
      </c>
      <c r="G482" s="22" t="s">
        <v>166</v>
      </c>
      <c r="H482" s="22" t="s">
        <v>916</v>
      </c>
      <c r="I482" s="22" t="s">
        <v>1147</v>
      </c>
      <c r="J482" s="22" t="s">
        <v>286</v>
      </c>
      <c r="L482" s="116"/>
      <c r="M482" s="116"/>
      <c r="N482" s="116"/>
      <c r="O482" s="116"/>
      <c r="P482" s="116"/>
      <c r="Q482" s="116"/>
      <c r="R482" s="116"/>
    </row>
    <row r="483" spans="1:18">
      <c r="A483" s="22" t="s">
        <v>578</v>
      </c>
      <c r="B483" s="22" t="s">
        <v>111</v>
      </c>
      <c r="D483" s="22" t="s">
        <v>560</v>
      </c>
      <c r="E483" s="22">
        <v>907</v>
      </c>
      <c r="F483" s="22">
        <v>1168</v>
      </c>
      <c r="G483" s="22">
        <v>975.97148000000004</v>
      </c>
      <c r="H483" s="403">
        <v>1014.4171709999954</v>
      </c>
      <c r="I483" s="208">
        <v>787.6323849999992</v>
      </c>
      <c r="L483" s="141"/>
      <c r="M483" s="139"/>
      <c r="N483" s="141"/>
      <c r="O483" s="141"/>
      <c r="P483" s="141"/>
      <c r="Q483" s="141"/>
      <c r="R483" s="116"/>
    </row>
    <row r="484" spans="1:18">
      <c r="A484" s="22" t="s">
        <v>578</v>
      </c>
      <c r="B484" s="22" t="s">
        <v>111</v>
      </c>
      <c r="D484" s="22" t="s">
        <v>529</v>
      </c>
      <c r="E484" s="22">
        <v>1</v>
      </c>
      <c r="F484" s="22">
        <v>3</v>
      </c>
      <c r="G484" s="22">
        <v>0</v>
      </c>
      <c r="H484" s="403">
        <v>0</v>
      </c>
      <c r="I484" s="208">
        <v>0</v>
      </c>
      <c r="L484" s="116"/>
      <c r="M484" s="116"/>
      <c r="N484" s="116"/>
      <c r="O484" s="116"/>
      <c r="P484" s="116"/>
      <c r="Q484" s="116"/>
      <c r="R484" s="116"/>
    </row>
    <row r="485" spans="1:18">
      <c r="A485" s="22" t="s">
        <v>578</v>
      </c>
      <c r="B485" s="22" t="s">
        <v>111</v>
      </c>
      <c r="D485" s="22" t="s">
        <v>531</v>
      </c>
      <c r="E485" s="22">
        <v>303</v>
      </c>
      <c r="F485" s="22">
        <v>176</v>
      </c>
      <c r="G485" s="22">
        <v>158.63499999999999</v>
      </c>
      <c r="H485" s="403">
        <v>239.29999999999998</v>
      </c>
      <c r="I485" s="208">
        <v>284.60999999999996</v>
      </c>
      <c r="L485" s="116"/>
      <c r="M485" s="116"/>
      <c r="N485" s="116"/>
      <c r="O485" s="116"/>
      <c r="P485" s="116"/>
      <c r="Q485" s="116"/>
      <c r="R485" s="116"/>
    </row>
    <row r="486" spans="1:18">
      <c r="A486" s="22" t="s">
        <v>578</v>
      </c>
      <c r="B486" s="22" t="s">
        <v>111</v>
      </c>
      <c r="D486" s="22" t="s">
        <v>530</v>
      </c>
      <c r="E486" s="22">
        <v>487</v>
      </c>
      <c r="F486" s="22">
        <v>497</v>
      </c>
      <c r="G486" s="22">
        <v>539.12828300000012</v>
      </c>
      <c r="H486" s="403">
        <v>587.23966909999922</v>
      </c>
      <c r="I486" s="208">
        <v>749.92528090000064</v>
      </c>
      <c r="L486" s="116"/>
      <c r="M486" s="116"/>
      <c r="N486" s="116"/>
      <c r="O486" s="116"/>
      <c r="P486" s="116"/>
      <c r="Q486" s="116"/>
      <c r="R486" s="116"/>
    </row>
    <row r="487" spans="1:18">
      <c r="A487" s="22" t="s">
        <v>578</v>
      </c>
      <c r="B487" s="22" t="s">
        <v>111</v>
      </c>
      <c r="D487" s="22" t="s">
        <v>562</v>
      </c>
      <c r="E487" s="22">
        <v>15</v>
      </c>
      <c r="F487" s="22">
        <v>11</v>
      </c>
      <c r="G487" s="22">
        <v>13.957284999999999</v>
      </c>
      <c r="H487" s="403">
        <v>13.491804999999999</v>
      </c>
      <c r="I487" s="208">
        <v>38.984990000000003</v>
      </c>
    </row>
    <row r="488" spans="1:18">
      <c r="A488" s="22" t="s">
        <v>578</v>
      </c>
      <c r="B488" s="22" t="s">
        <v>111</v>
      </c>
      <c r="D488" s="22" t="s">
        <v>35</v>
      </c>
      <c r="E488" s="22">
        <v>27</v>
      </c>
      <c r="F488" s="22">
        <v>122</v>
      </c>
      <c r="G488" s="22">
        <v>199.16150301999997</v>
      </c>
      <c r="H488" s="403">
        <v>115.01679000000003</v>
      </c>
      <c r="I488" s="208">
        <v>235</v>
      </c>
    </row>
    <row r="489" spans="1:18">
      <c r="A489" s="22" t="s">
        <v>578</v>
      </c>
      <c r="B489" s="22" t="s">
        <v>111</v>
      </c>
      <c r="D489" s="22" t="s">
        <v>5</v>
      </c>
      <c r="E489" s="22">
        <v>1741</v>
      </c>
      <c r="F489" s="22">
        <v>1977</v>
      </c>
      <c r="G489" s="22">
        <v>1887</v>
      </c>
      <c r="H489" s="403">
        <f>SUM(H483:H488)</f>
        <v>1969.4654350999949</v>
      </c>
      <c r="I489" s="208">
        <f>SUM(I483:I488)</f>
        <v>2096.1526558999994</v>
      </c>
    </row>
    <row r="490" spans="1:18">
      <c r="A490" s="22" t="s">
        <v>578</v>
      </c>
    </row>
    <row r="491" spans="1:18">
      <c r="A491" s="22" t="s">
        <v>578</v>
      </c>
      <c r="B491" s="22" t="s">
        <v>112</v>
      </c>
    </row>
    <row r="492" spans="1:18">
      <c r="A492" s="22" t="s">
        <v>578</v>
      </c>
      <c r="B492" s="22" t="s">
        <v>112</v>
      </c>
    </row>
    <row r="493" spans="1:18">
      <c r="A493" s="22" t="s">
        <v>578</v>
      </c>
      <c r="B493" s="22" t="s">
        <v>112</v>
      </c>
    </row>
    <row r="494" spans="1:18">
      <c r="A494" s="22" t="s">
        <v>578</v>
      </c>
      <c r="B494" s="22" t="s">
        <v>112</v>
      </c>
    </row>
    <row r="495" spans="1:18">
      <c r="A495" s="22" t="s">
        <v>578</v>
      </c>
      <c r="B495" s="22" t="s">
        <v>112</v>
      </c>
    </row>
    <row r="496" spans="1:18">
      <c r="A496" s="22" t="s">
        <v>578</v>
      </c>
      <c r="B496" s="22" t="s">
        <v>112</v>
      </c>
    </row>
    <row r="497" spans="1:21">
      <c r="A497" s="22" t="s">
        <v>578</v>
      </c>
      <c r="B497" s="22" t="s">
        <v>112</v>
      </c>
    </row>
    <row r="498" spans="1:21">
      <c r="A498" s="22" t="s">
        <v>578</v>
      </c>
      <c r="B498" s="22" t="s">
        <v>112</v>
      </c>
    </row>
    <row r="499" spans="1:21">
      <c r="A499" s="22" t="s">
        <v>578</v>
      </c>
      <c r="B499" s="22" t="s">
        <v>112</v>
      </c>
    </row>
    <row r="500" spans="1:21">
      <c r="A500" s="22" t="s">
        <v>578</v>
      </c>
      <c r="B500" s="22" t="s">
        <v>112</v>
      </c>
    </row>
    <row r="501" spans="1:21">
      <c r="A501" s="22" t="s">
        <v>578</v>
      </c>
      <c r="B501" s="22" t="s">
        <v>112</v>
      </c>
    </row>
    <row r="502" spans="1:21">
      <c r="A502" s="22" t="s">
        <v>578</v>
      </c>
      <c r="B502" s="22" t="s">
        <v>112</v>
      </c>
    </row>
    <row r="503" spans="1:21">
      <c r="A503" s="22" t="s">
        <v>578</v>
      </c>
      <c r="B503" s="22" t="s">
        <v>112</v>
      </c>
    </row>
    <row r="504" spans="1:21">
      <c r="A504" s="22" t="s">
        <v>578</v>
      </c>
      <c r="B504" s="22" t="s">
        <v>112</v>
      </c>
    </row>
    <row r="505" spans="1:21">
      <c r="A505" s="22" t="s">
        <v>578</v>
      </c>
      <c r="B505" s="22" t="s">
        <v>112</v>
      </c>
    </row>
    <row r="506" spans="1:21">
      <c r="A506" s="22" t="s">
        <v>578</v>
      </c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</row>
    <row r="507" spans="1:21">
      <c r="A507" s="22" t="s">
        <v>578</v>
      </c>
      <c r="B507" s="22" t="s">
        <v>124</v>
      </c>
      <c r="D507" s="208" t="s">
        <v>1135</v>
      </c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115"/>
      <c r="T507" s="115"/>
    </row>
    <row r="508" spans="1:21" s="24" customFormat="1">
      <c r="A508" s="22" t="s">
        <v>578</v>
      </c>
      <c r="U508" s="411"/>
    </row>
    <row r="509" spans="1:21">
      <c r="A509" s="69" t="s">
        <v>579</v>
      </c>
      <c r="B509" s="69" t="s">
        <v>119</v>
      </c>
      <c r="C509" s="69"/>
      <c r="D509" s="212" t="s">
        <v>1151</v>
      </c>
      <c r="E509" s="69"/>
      <c r="F509" s="69"/>
      <c r="G509" s="69"/>
      <c r="H509" s="69"/>
      <c r="I509" s="69"/>
      <c r="J509" s="69"/>
      <c r="K509" s="69"/>
      <c r="L509" s="69"/>
      <c r="M509" s="69"/>
      <c r="N509" s="69"/>
      <c r="O509" s="69"/>
      <c r="P509" s="69"/>
      <c r="Q509" s="69"/>
      <c r="R509" s="69"/>
    </row>
    <row r="510" spans="1:21">
      <c r="A510" s="22" t="s">
        <v>579</v>
      </c>
      <c r="B510" s="22" t="s">
        <v>122</v>
      </c>
      <c r="D510" s="208" t="s">
        <v>1152</v>
      </c>
    </row>
    <row r="511" spans="1:21">
      <c r="A511" s="22" t="s">
        <v>579</v>
      </c>
    </row>
    <row r="512" spans="1:21">
      <c r="A512" s="22" t="s">
        <v>579</v>
      </c>
      <c r="B512" s="22" t="s">
        <v>111</v>
      </c>
      <c r="D512" s="22" t="s">
        <v>19</v>
      </c>
      <c r="E512" s="22" t="s">
        <v>27</v>
      </c>
      <c r="F512" s="22" t="s">
        <v>28</v>
      </c>
      <c r="G512" s="22" t="s">
        <v>166</v>
      </c>
      <c r="H512" s="22" t="s">
        <v>919</v>
      </c>
      <c r="I512" s="22" t="s">
        <v>1145</v>
      </c>
      <c r="J512" s="87" t="s">
        <v>286</v>
      </c>
    </row>
    <row r="513" spans="1:9">
      <c r="A513" s="22" t="s">
        <v>579</v>
      </c>
      <c r="B513" s="22" t="s">
        <v>111</v>
      </c>
      <c r="D513" s="22" t="s">
        <v>560</v>
      </c>
      <c r="E513" s="22">
        <v>1316</v>
      </c>
      <c r="F513" s="22">
        <v>1481</v>
      </c>
      <c r="G513" s="145">
        <v>1610.6962415200005</v>
      </c>
      <c r="H513" s="477">
        <v>1835.2159797400009</v>
      </c>
      <c r="I513" s="472">
        <v>1903.685118580001</v>
      </c>
    </row>
    <row r="514" spans="1:9">
      <c r="A514" s="22" t="s">
        <v>579</v>
      </c>
      <c r="B514" s="22" t="s">
        <v>111</v>
      </c>
      <c r="D514" s="22" t="s">
        <v>529</v>
      </c>
      <c r="E514" s="22">
        <v>15</v>
      </c>
      <c r="F514" s="22">
        <v>0</v>
      </c>
      <c r="G514" s="145">
        <v>2.68</v>
      </c>
      <c r="H514" s="477">
        <v>2.68</v>
      </c>
      <c r="I514" s="472">
        <v>2.6799999999999997</v>
      </c>
    </row>
    <row r="515" spans="1:9">
      <c r="A515" s="22" t="s">
        <v>579</v>
      </c>
      <c r="B515" s="22" t="s">
        <v>111</v>
      </c>
      <c r="D515" s="22" t="s">
        <v>531</v>
      </c>
      <c r="E515" s="22">
        <v>73</v>
      </c>
      <c r="F515" s="22">
        <v>79</v>
      </c>
      <c r="G515" s="145">
        <v>63.540000000000006</v>
      </c>
      <c r="H515" s="477">
        <v>43.44</v>
      </c>
      <c r="I515" s="472">
        <v>44.265129999999999</v>
      </c>
    </row>
    <row r="516" spans="1:9">
      <c r="A516" s="22" t="s">
        <v>579</v>
      </c>
      <c r="B516" s="22" t="s">
        <v>111</v>
      </c>
      <c r="D516" s="22" t="s">
        <v>530</v>
      </c>
      <c r="E516" s="22">
        <v>266</v>
      </c>
      <c r="F516" s="22">
        <v>226</v>
      </c>
      <c r="G516" s="145">
        <v>291.70862999999997</v>
      </c>
      <c r="H516" s="477">
        <v>325.31308159999992</v>
      </c>
      <c r="I516" s="472">
        <v>347.52054770000001</v>
      </c>
    </row>
    <row r="517" spans="1:9">
      <c r="A517" s="22" t="s">
        <v>579</v>
      </c>
      <c r="B517" s="22" t="s">
        <v>111</v>
      </c>
      <c r="D517" s="22" t="s">
        <v>562</v>
      </c>
      <c r="E517" s="22">
        <v>99</v>
      </c>
      <c r="F517" s="22">
        <v>66</v>
      </c>
      <c r="G517" s="145">
        <v>87.850670000000051</v>
      </c>
      <c r="H517" s="477">
        <v>126.11652500000015</v>
      </c>
      <c r="I517" s="472">
        <v>173.99953936999989</v>
      </c>
    </row>
    <row r="518" spans="1:9">
      <c r="A518" s="22" t="s">
        <v>579</v>
      </c>
      <c r="B518" s="22" t="s">
        <v>111</v>
      </c>
      <c r="D518" s="22" t="s">
        <v>35</v>
      </c>
      <c r="E518" s="22">
        <v>15</v>
      </c>
      <c r="F518" s="22">
        <v>34</v>
      </c>
      <c r="G518" s="145">
        <v>40.774856040000003</v>
      </c>
      <c r="H518" s="477">
        <v>54.09113</v>
      </c>
      <c r="I518" s="472">
        <v>98</v>
      </c>
    </row>
    <row r="519" spans="1:9">
      <c r="A519" s="22" t="s">
        <v>579</v>
      </c>
      <c r="B519" s="22" t="s">
        <v>111</v>
      </c>
      <c r="D519" s="22" t="s">
        <v>5</v>
      </c>
      <c r="E519" s="22">
        <f>SUM(E513:E518)</f>
        <v>1784</v>
      </c>
      <c r="F519" s="22">
        <f>SUM(F513:F518)</f>
        <v>1886</v>
      </c>
      <c r="G519" s="22">
        <f>SUM(G513:G518)</f>
        <v>2097.2503975600007</v>
      </c>
      <c r="H519" s="476">
        <f>SUM(H513:H518)</f>
        <v>2386.8567163400012</v>
      </c>
      <c r="I519" s="241">
        <f>SUM(I513:I518)</f>
        <v>2570.1503356500011</v>
      </c>
    </row>
    <row r="520" spans="1:9">
      <c r="A520" s="22" t="s">
        <v>579</v>
      </c>
    </row>
    <row r="521" spans="1:9">
      <c r="A521" s="22" t="s">
        <v>579</v>
      </c>
      <c r="B521" s="22" t="s">
        <v>112</v>
      </c>
    </row>
    <row r="522" spans="1:9">
      <c r="A522" s="22" t="s">
        <v>579</v>
      </c>
      <c r="B522" s="22" t="s">
        <v>112</v>
      </c>
    </row>
    <row r="523" spans="1:9">
      <c r="A523" s="22" t="s">
        <v>579</v>
      </c>
      <c r="B523" s="22" t="s">
        <v>112</v>
      </c>
    </row>
    <row r="524" spans="1:9">
      <c r="A524" s="22" t="s">
        <v>579</v>
      </c>
      <c r="B524" s="22" t="s">
        <v>112</v>
      </c>
    </row>
    <row r="525" spans="1:9">
      <c r="A525" s="22" t="s">
        <v>579</v>
      </c>
      <c r="B525" s="22" t="s">
        <v>112</v>
      </c>
    </row>
    <row r="526" spans="1:9">
      <c r="A526" s="22" t="s">
        <v>579</v>
      </c>
      <c r="B526" s="22" t="s">
        <v>112</v>
      </c>
    </row>
    <row r="527" spans="1:9">
      <c r="A527" s="22" t="s">
        <v>579</v>
      </c>
      <c r="B527" s="22" t="s">
        <v>112</v>
      </c>
    </row>
    <row r="528" spans="1:9">
      <c r="A528" s="22" t="s">
        <v>579</v>
      </c>
      <c r="B528" s="22" t="s">
        <v>112</v>
      </c>
    </row>
    <row r="529" spans="1:21">
      <c r="A529" s="22" t="s">
        <v>579</v>
      </c>
      <c r="B529" s="22" t="s">
        <v>112</v>
      </c>
    </row>
    <row r="530" spans="1:21">
      <c r="A530" s="22" t="s">
        <v>579</v>
      </c>
      <c r="B530" s="22" t="s">
        <v>112</v>
      </c>
    </row>
    <row r="531" spans="1:21">
      <c r="A531" s="22" t="s">
        <v>579</v>
      </c>
      <c r="B531" s="22" t="s">
        <v>112</v>
      </c>
    </row>
    <row r="532" spans="1:21">
      <c r="A532" s="22" t="s">
        <v>579</v>
      </c>
      <c r="B532" s="22" t="s">
        <v>112</v>
      </c>
    </row>
    <row r="533" spans="1:21">
      <c r="A533" s="22" t="s">
        <v>579</v>
      </c>
      <c r="B533" s="22" t="s">
        <v>112</v>
      </c>
    </row>
    <row r="534" spans="1:21">
      <c r="A534" s="22" t="s">
        <v>579</v>
      </c>
      <c r="B534" s="22" t="s">
        <v>112</v>
      </c>
    </row>
    <row r="535" spans="1:21">
      <c r="A535" s="22" t="s">
        <v>579</v>
      </c>
      <c r="B535" s="22" t="s">
        <v>112</v>
      </c>
    </row>
    <row r="536" spans="1:21">
      <c r="A536" s="22" t="s">
        <v>579</v>
      </c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</row>
    <row r="537" spans="1:21">
      <c r="A537" s="22" t="s">
        <v>579</v>
      </c>
      <c r="B537" s="22" t="s">
        <v>124</v>
      </c>
      <c r="D537" s="208" t="s">
        <v>1135</v>
      </c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115"/>
      <c r="T537" s="115"/>
    </row>
    <row r="538" spans="1:21" s="24" customFormat="1">
      <c r="A538" s="22" t="s">
        <v>579</v>
      </c>
      <c r="U538" s="411"/>
    </row>
    <row r="539" spans="1:21">
      <c r="A539" s="69" t="s">
        <v>580</v>
      </c>
      <c r="B539" s="69" t="s">
        <v>119</v>
      </c>
      <c r="C539" s="69"/>
      <c r="D539" s="212" t="s">
        <v>1156</v>
      </c>
      <c r="E539" s="69"/>
      <c r="F539" s="69"/>
      <c r="G539" s="69"/>
      <c r="H539" s="69"/>
      <c r="I539" s="69"/>
      <c r="J539" s="69"/>
      <c r="K539" s="69"/>
      <c r="L539" s="69"/>
      <c r="M539" s="69"/>
      <c r="N539" s="69"/>
      <c r="O539" s="69"/>
      <c r="P539" s="69"/>
      <c r="Q539" s="69"/>
      <c r="R539" s="69"/>
    </row>
    <row r="540" spans="1:21">
      <c r="A540" s="22" t="s">
        <v>580</v>
      </c>
      <c r="B540" s="22" t="s">
        <v>122</v>
      </c>
      <c r="D540" s="208" t="s">
        <v>1157</v>
      </c>
    </row>
    <row r="541" spans="1:21">
      <c r="A541" s="22" t="s">
        <v>580</v>
      </c>
    </row>
    <row r="542" spans="1:21">
      <c r="A542" s="22" t="s">
        <v>580</v>
      </c>
      <c r="B542" s="22" t="s">
        <v>111</v>
      </c>
      <c r="D542" s="22" t="s">
        <v>19</v>
      </c>
      <c r="E542" s="22" t="s">
        <v>27</v>
      </c>
      <c r="F542" s="22" t="s">
        <v>28</v>
      </c>
      <c r="G542" s="22" t="s">
        <v>166</v>
      </c>
      <c r="H542" s="22" t="s">
        <v>916</v>
      </c>
      <c r="I542" s="22" t="s">
        <v>1147</v>
      </c>
      <c r="J542" s="87" t="s">
        <v>286</v>
      </c>
    </row>
    <row r="543" spans="1:21">
      <c r="A543" s="22" t="s">
        <v>580</v>
      </c>
      <c r="B543" s="22" t="s">
        <v>111</v>
      </c>
      <c r="D543" s="22" t="s">
        <v>560</v>
      </c>
      <c r="E543" s="22">
        <v>636</v>
      </c>
      <c r="F543" s="22">
        <v>642</v>
      </c>
      <c r="G543" s="145">
        <v>601.04963671999997</v>
      </c>
      <c r="H543" s="477">
        <v>686.32531615000164</v>
      </c>
      <c r="I543" s="472">
        <v>720.41551745000004</v>
      </c>
    </row>
    <row r="544" spans="1:21">
      <c r="A544" s="22" t="s">
        <v>580</v>
      </c>
      <c r="B544" s="22" t="s">
        <v>111</v>
      </c>
      <c r="D544" s="22" t="s">
        <v>529</v>
      </c>
      <c r="E544" s="22">
        <v>87</v>
      </c>
      <c r="F544" s="22">
        <v>72</v>
      </c>
      <c r="G544" s="145">
        <v>13.033809999999999</v>
      </c>
      <c r="H544" s="477">
        <v>9.8442999999999987</v>
      </c>
      <c r="I544" s="472">
        <v>2.66</v>
      </c>
    </row>
    <row r="545" spans="1:9">
      <c r="A545" s="22" t="s">
        <v>580</v>
      </c>
      <c r="B545" s="22" t="s">
        <v>111</v>
      </c>
      <c r="D545" s="22" t="s">
        <v>531</v>
      </c>
      <c r="E545" s="22">
        <v>47</v>
      </c>
      <c r="F545" s="22">
        <v>90</v>
      </c>
      <c r="G545" s="145">
        <v>91.242750000000001</v>
      </c>
      <c r="H545" s="477">
        <v>69.684999999999988</v>
      </c>
      <c r="I545" s="472">
        <v>94.66</v>
      </c>
    </row>
    <row r="546" spans="1:9">
      <c r="A546" s="22" t="s">
        <v>580</v>
      </c>
      <c r="B546" s="22" t="s">
        <v>111</v>
      </c>
      <c r="D546" s="22" t="s">
        <v>530</v>
      </c>
      <c r="E546" s="22">
        <v>402</v>
      </c>
      <c r="F546" s="22">
        <v>347</v>
      </c>
      <c r="G546" s="145">
        <v>392.41163173999996</v>
      </c>
      <c r="H546" s="477">
        <v>286.15044</v>
      </c>
      <c r="I546" s="472">
        <v>331.86784000000006</v>
      </c>
    </row>
    <row r="547" spans="1:9">
      <c r="A547" s="22" t="s">
        <v>580</v>
      </c>
      <c r="B547" s="22" t="s">
        <v>111</v>
      </c>
      <c r="D547" s="22" t="s">
        <v>562</v>
      </c>
      <c r="E547" s="22">
        <v>77</v>
      </c>
      <c r="F547" s="22">
        <v>57</v>
      </c>
      <c r="G547" s="145">
        <v>62.444849999999995</v>
      </c>
      <c r="H547" s="477">
        <v>64.490065000000044</v>
      </c>
      <c r="I547" s="472">
        <v>108.63892500000004</v>
      </c>
    </row>
    <row r="548" spans="1:9">
      <c r="A548" s="22" t="s">
        <v>580</v>
      </c>
      <c r="B548" s="22" t="s">
        <v>111</v>
      </c>
      <c r="D548" s="22" t="s">
        <v>35</v>
      </c>
      <c r="E548" s="22">
        <v>33</v>
      </c>
      <c r="F548" s="22">
        <v>58</v>
      </c>
      <c r="G548" s="145">
        <v>35.100580000000001</v>
      </c>
      <c r="H548" s="477">
        <v>53.928489999999996</v>
      </c>
      <c r="I548" s="472">
        <v>76</v>
      </c>
    </row>
    <row r="549" spans="1:9">
      <c r="A549" s="22" t="s">
        <v>580</v>
      </c>
      <c r="B549" s="22" t="s">
        <v>111</v>
      </c>
      <c r="D549" s="22" t="s">
        <v>5</v>
      </c>
      <c r="E549" s="22">
        <f>SUM(E543:E548)</f>
        <v>1282</v>
      </c>
      <c r="F549" s="22">
        <v>1265</v>
      </c>
      <c r="G549" s="22">
        <f>SUM(G543:G548)</f>
        <v>1195.2832584600001</v>
      </c>
      <c r="H549" s="476">
        <f>SUM(H543:H548)</f>
        <v>1170.4236111500015</v>
      </c>
      <c r="I549" s="241">
        <f>SUM(I543:I548)</f>
        <v>1334.2422824499999</v>
      </c>
    </row>
    <row r="550" spans="1:9">
      <c r="A550" s="22" t="s">
        <v>580</v>
      </c>
    </row>
    <row r="551" spans="1:9">
      <c r="A551" s="22" t="s">
        <v>580</v>
      </c>
      <c r="B551" s="22" t="s">
        <v>112</v>
      </c>
    </row>
    <row r="552" spans="1:9">
      <c r="A552" s="22" t="s">
        <v>580</v>
      </c>
      <c r="B552" s="22" t="s">
        <v>112</v>
      </c>
    </row>
    <row r="553" spans="1:9">
      <c r="A553" s="22" t="s">
        <v>580</v>
      </c>
      <c r="B553" s="22" t="s">
        <v>112</v>
      </c>
    </row>
    <row r="554" spans="1:9">
      <c r="A554" s="22" t="s">
        <v>580</v>
      </c>
      <c r="B554" s="22" t="s">
        <v>112</v>
      </c>
    </row>
    <row r="555" spans="1:9">
      <c r="A555" s="22" t="s">
        <v>580</v>
      </c>
      <c r="B555" s="22" t="s">
        <v>112</v>
      </c>
    </row>
    <row r="556" spans="1:9">
      <c r="A556" s="22" t="s">
        <v>580</v>
      </c>
      <c r="B556" s="22" t="s">
        <v>112</v>
      </c>
    </row>
    <row r="557" spans="1:9">
      <c r="A557" s="22" t="s">
        <v>580</v>
      </c>
      <c r="B557" s="22" t="s">
        <v>112</v>
      </c>
    </row>
    <row r="558" spans="1:9">
      <c r="A558" s="22" t="s">
        <v>580</v>
      </c>
      <c r="B558" s="22" t="s">
        <v>112</v>
      </c>
    </row>
    <row r="559" spans="1:9">
      <c r="A559" s="22" t="s">
        <v>580</v>
      </c>
      <c r="B559" s="22" t="s">
        <v>112</v>
      </c>
    </row>
    <row r="560" spans="1:9">
      <c r="A560" s="22" t="s">
        <v>580</v>
      </c>
      <c r="B560" s="22" t="s">
        <v>112</v>
      </c>
    </row>
    <row r="561" spans="1:21">
      <c r="A561" s="22" t="s">
        <v>580</v>
      </c>
      <c r="B561" s="22" t="s">
        <v>112</v>
      </c>
    </row>
    <row r="562" spans="1:21">
      <c r="A562" s="22" t="s">
        <v>580</v>
      </c>
      <c r="B562" s="22" t="s">
        <v>112</v>
      </c>
    </row>
    <row r="563" spans="1:21">
      <c r="A563" s="22" t="s">
        <v>580</v>
      </c>
      <c r="B563" s="22" t="s">
        <v>112</v>
      </c>
    </row>
    <row r="564" spans="1:21">
      <c r="A564" s="22" t="s">
        <v>580</v>
      </c>
      <c r="B564" s="22" t="s">
        <v>112</v>
      </c>
    </row>
    <row r="565" spans="1:21">
      <c r="A565" s="22" t="s">
        <v>580</v>
      </c>
      <c r="B565" s="22" t="s">
        <v>112</v>
      </c>
    </row>
    <row r="566" spans="1:21">
      <c r="A566" s="22" t="s">
        <v>580</v>
      </c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</row>
    <row r="567" spans="1:21">
      <c r="A567" s="22" t="s">
        <v>580</v>
      </c>
      <c r="B567" s="22" t="s">
        <v>124</v>
      </c>
      <c r="D567" s="208" t="s">
        <v>1135</v>
      </c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115"/>
      <c r="T567" s="115"/>
    </row>
    <row r="568" spans="1:21" s="24" customFormat="1">
      <c r="A568" s="22" t="s">
        <v>580</v>
      </c>
      <c r="U568" s="411"/>
    </row>
    <row r="569" spans="1:21">
      <c r="A569" s="69" t="s">
        <v>581</v>
      </c>
      <c r="B569" s="69" t="s">
        <v>119</v>
      </c>
      <c r="C569" s="69"/>
      <c r="D569" s="212" t="s">
        <v>1158</v>
      </c>
      <c r="E569" s="69"/>
      <c r="F569" s="69"/>
      <c r="G569" s="69"/>
      <c r="H569" s="69"/>
      <c r="I569" s="69"/>
      <c r="J569" s="69"/>
      <c r="K569" s="69"/>
      <c r="L569" s="69"/>
      <c r="M569" s="69"/>
      <c r="N569" s="69"/>
      <c r="O569" s="69"/>
      <c r="P569" s="69"/>
      <c r="Q569" s="69"/>
      <c r="R569" s="69"/>
    </row>
    <row r="570" spans="1:21">
      <c r="A570" s="22" t="s">
        <v>581</v>
      </c>
      <c r="B570" s="22" t="s">
        <v>122</v>
      </c>
      <c r="D570" s="208" t="s">
        <v>1160</v>
      </c>
    </row>
    <row r="571" spans="1:21">
      <c r="A571" s="22" t="s">
        <v>581</v>
      </c>
    </row>
    <row r="572" spans="1:21">
      <c r="A572" s="22" t="s">
        <v>581</v>
      </c>
      <c r="B572" s="22" t="s">
        <v>111</v>
      </c>
      <c r="D572" s="22" t="s">
        <v>19</v>
      </c>
      <c r="E572" s="22" t="s">
        <v>27</v>
      </c>
      <c r="F572" s="22" t="s">
        <v>28</v>
      </c>
      <c r="G572" s="22" t="s">
        <v>166</v>
      </c>
      <c r="H572" s="22" t="s">
        <v>916</v>
      </c>
      <c r="I572" s="22" t="s">
        <v>1159</v>
      </c>
      <c r="J572" s="87" t="s">
        <v>286</v>
      </c>
    </row>
    <row r="573" spans="1:21">
      <c r="A573" s="22" t="s">
        <v>581</v>
      </c>
      <c r="B573" s="22" t="s">
        <v>111</v>
      </c>
      <c r="D573" s="22" t="s">
        <v>560</v>
      </c>
      <c r="E573" s="22">
        <v>754</v>
      </c>
      <c r="F573" s="22">
        <v>1078</v>
      </c>
      <c r="G573" s="22">
        <v>861.3937355999999</v>
      </c>
      <c r="H573" s="22">
        <v>964.22191395999846</v>
      </c>
      <c r="I573" s="478">
        <v>949.30423499999881</v>
      </c>
      <c r="L573" s="141"/>
      <c r="M573" s="141"/>
      <c r="N573" s="141"/>
      <c r="O573" s="141"/>
      <c r="P573" s="141"/>
      <c r="Q573" s="141"/>
      <c r="R573" s="116"/>
      <c r="S573" s="116"/>
    </row>
    <row r="574" spans="1:21">
      <c r="A574" s="22" t="s">
        <v>581</v>
      </c>
      <c r="B574" s="22" t="s">
        <v>111</v>
      </c>
      <c r="D574" s="22" t="s">
        <v>529</v>
      </c>
      <c r="E574" s="22">
        <v>274</v>
      </c>
      <c r="F574" s="22">
        <v>248</v>
      </c>
      <c r="G574" s="22">
        <v>464.48033000000009</v>
      </c>
      <c r="H574" s="22">
        <v>486.09973999999971</v>
      </c>
      <c r="I574" s="478">
        <v>512.09996999999987</v>
      </c>
      <c r="L574" s="116"/>
      <c r="M574" s="116"/>
      <c r="N574" s="116"/>
      <c r="O574" s="116"/>
      <c r="P574" s="116"/>
      <c r="Q574" s="116"/>
      <c r="R574" s="116"/>
      <c r="S574" s="116"/>
    </row>
    <row r="575" spans="1:21">
      <c r="A575" s="22" t="s">
        <v>581</v>
      </c>
      <c r="B575" s="22" t="s">
        <v>111</v>
      </c>
      <c r="D575" s="22" t="s">
        <v>531</v>
      </c>
      <c r="E575" s="22">
        <v>98</v>
      </c>
      <c r="F575" s="22">
        <v>80</v>
      </c>
      <c r="G575" s="22">
        <v>65.31</v>
      </c>
      <c r="H575" s="22">
        <v>48.469999999999992</v>
      </c>
      <c r="I575" s="478">
        <v>50.71</v>
      </c>
    </row>
    <row r="576" spans="1:21">
      <c r="A576" s="22" t="s">
        <v>581</v>
      </c>
      <c r="B576" s="22" t="s">
        <v>111</v>
      </c>
      <c r="D576" s="22" t="s">
        <v>530</v>
      </c>
      <c r="E576" s="22">
        <v>419</v>
      </c>
      <c r="F576" s="22">
        <v>414</v>
      </c>
      <c r="G576" s="22">
        <v>322.36430364</v>
      </c>
      <c r="H576" s="22">
        <v>341.37581000000011</v>
      </c>
      <c r="I576" s="478">
        <v>331.30143999999996</v>
      </c>
    </row>
    <row r="577" spans="1:33">
      <c r="A577" s="22" t="s">
        <v>581</v>
      </c>
      <c r="B577" s="22" t="s">
        <v>111</v>
      </c>
      <c r="D577" s="22" t="s">
        <v>562</v>
      </c>
      <c r="E577" s="22">
        <v>20</v>
      </c>
      <c r="F577" s="22">
        <v>11</v>
      </c>
      <c r="G577" s="22">
        <v>7.6066649999999996</v>
      </c>
      <c r="H577" s="22">
        <v>34.123804999999983</v>
      </c>
      <c r="I577" s="478">
        <v>74.718170000000029</v>
      </c>
    </row>
    <row r="578" spans="1:33">
      <c r="A578" s="22" t="s">
        <v>581</v>
      </c>
      <c r="B578" s="22" t="s">
        <v>111</v>
      </c>
      <c r="D578" s="22" t="s">
        <v>35</v>
      </c>
      <c r="E578" s="22">
        <v>117</v>
      </c>
      <c r="F578" s="22">
        <v>106</v>
      </c>
      <c r="G578" s="22">
        <v>130.18999517</v>
      </c>
      <c r="H578" s="22">
        <v>61.142429869999987</v>
      </c>
      <c r="I578" s="478">
        <v>165</v>
      </c>
    </row>
    <row r="579" spans="1:33">
      <c r="A579" s="22" t="s">
        <v>581</v>
      </c>
      <c r="B579" s="22" t="s">
        <v>111</v>
      </c>
      <c r="D579" s="22" t="s">
        <v>5</v>
      </c>
      <c r="E579" s="22">
        <f>SUM(E573:E578)</f>
        <v>1682</v>
      </c>
      <c r="F579" s="22">
        <v>1938</v>
      </c>
      <c r="G579" s="22">
        <f>SUM(G573:G578)</f>
        <v>1851.3450294099998</v>
      </c>
      <c r="H579" s="22">
        <f>SUM(H573:H578)</f>
        <v>1935.4336988299981</v>
      </c>
      <c r="I579" s="241">
        <f>SUM(I573:I578)</f>
        <v>2083.1338149999988</v>
      </c>
    </row>
    <row r="580" spans="1:33">
      <c r="A580" s="22" t="s">
        <v>581</v>
      </c>
    </row>
    <row r="581" spans="1:33">
      <c r="A581" s="22" t="s">
        <v>581</v>
      </c>
      <c r="B581" s="22" t="s">
        <v>112</v>
      </c>
    </row>
    <row r="582" spans="1:33">
      <c r="A582" s="22" t="s">
        <v>581</v>
      </c>
      <c r="B582" s="22" t="s">
        <v>112</v>
      </c>
    </row>
    <row r="583" spans="1:33">
      <c r="A583" s="22" t="s">
        <v>581</v>
      </c>
      <c r="B583" s="22" t="s">
        <v>112</v>
      </c>
    </row>
    <row r="584" spans="1:33">
      <c r="A584" s="22" t="s">
        <v>581</v>
      </c>
      <c r="B584" s="22" t="s">
        <v>112</v>
      </c>
    </row>
    <row r="585" spans="1:33">
      <c r="A585" s="22" t="s">
        <v>581</v>
      </c>
      <c r="B585" s="22" t="s">
        <v>112</v>
      </c>
    </row>
    <row r="586" spans="1:33">
      <c r="A586" s="22" t="s">
        <v>581</v>
      </c>
      <c r="B586" s="22" t="s">
        <v>112</v>
      </c>
    </row>
    <row r="587" spans="1:33">
      <c r="A587" s="22" t="s">
        <v>581</v>
      </c>
      <c r="B587" s="22" t="s">
        <v>112</v>
      </c>
    </row>
    <row r="588" spans="1:33">
      <c r="A588" s="22" t="s">
        <v>581</v>
      </c>
      <c r="B588" s="22" t="s">
        <v>112</v>
      </c>
    </row>
    <row r="589" spans="1:33">
      <c r="A589" s="22" t="s">
        <v>581</v>
      </c>
      <c r="B589" s="22" t="s">
        <v>112</v>
      </c>
    </row>
    <row r="590" spans="1:33">
      <c r="A590" s="22" t="s">
        <v>581</v>
      </c>
      <c r="B590" s="22" t="s">
        <v>112</v>
      </c>
    </row>
    <row r="591" spans="1:33">
      <c r="A591" s="22" t="s">
        <v>581</v>
      </c>
      <c r="B591" s="22" t="s">
        <v>112</v>
      </c>
    </row>
    <row r="592" spans="1:33">
      <c r="A592" s="22" t="s">
        <v>581</v>
      </c>
      <c r="B592" s="22" t="s">
        <v>112</v>
      </c>
      <c r="U592" s="421"/>
      <c r="V592" s="116"/>
      <c r="W592" s="116"/>
      <c r="X592" s="116"/>
      <c r="Y592" s="116"/>
      <c r="Z592" s="116"/>
      <c r="AA592" s="116"/>
      <c r="AB592" s="116"/>
      <c r="AC592" s="116"/>
      <c r="AD592" s="116"/>
      <c r="AE592" s="116"/>
      <c r="AF592" s="116"/>
      <c r="AG592" s="116"/>
    </row>
    <row r="593" spans="1:33">
      <c r="A593" s="22" t="s">
        <v>581</v>
      </c>
      <c r="B593" s="22" t="s">
        <v>112</v>
      </c>
      <c r="U593" s="421"/>
      <c r="V593" s="116"/>
      <c r="W593" s="116"/>
      <c r="X593" s="116"/>
      <c r="Y593" s="116"/>
      <c r="Z593" s="116"/>
      <c r="AA593" s="116"/>
      <c r="AB593" s="116"/>
      <c r="AC593" s="116"/>
      <c r="AD593" s="116"/>
      <c r="AE593" s="116"/>
      <c r="AF593" s="116"/>
      <c r="AG593" s="116"/>
    </row>
    <row r="594" spans="1:33">
      <c r="A594" s="22" t="s">
        <v>581</v>
      </c>
      <c r="B594" s="22" t="s">
        <v>112</v>
      </c>
      <c r="U594" s="430"/>
      <c r="V594" s="64"/>
      <c r="W594" s="64"/>
      <c r="X594" s="64"/>
      <c r="Y594" s="64"/>
      <c r="Z594" s="64"/>
      <c r="AA594" s="183"/>
      <c r="AB594" s="182"/>
      <c r="AC594" s="116"/>
      <c r="AD594" s="116"/>
      <c r="AE594" s="116"/>
      <c r="AF594" s="116"/>
      <c r="AG594" s="116"/>
    </row>
    <row r="595" spans="1:33">
      <c r="A595" s="22" t="s">
        <v>581</v>
      </c>
      <c r="B595" s="22" t="s">
        <v>112</v>
      </c>
      <c r="U595" s="430"/>
      <c r="V595" s="64"/>
      <c r="W595" s="64"/>
      <c r="X595" s="64"/>
      <c r="Y595" s="64"/>
      <c r="Z595" s="135"/>
      <c r="AA595" s="142"/>
      <c r="AB595" s="130"/>
      <c r="AC595" s="116"/>
      <c r="AD595" s="116"/>
      <c r="AE595" s="116"/>
      <c r="AF595" s="116"/>
      <c r="AG595" s="116"/>
    </row>
    <row r="596" spans="1:33">
      <c r="A596" s="22" t="s">
        <v>581</v>
      </c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U596" s="430"/>
      <c r="V596" s="64"/>
      <c r="W596" s="64"/>
      <c r="X596" s="64"/>
      <c r="Y596" s="64"/>
      <c r="Z596" s="135"/>
      <c r="AA596" s="142"/>
      <c r="AB596" s="131"/>
      <c r="AC596" s="116"/>
      <c r="AD596" s="116"/>
      <c r="AE596" s="116"/>
      <c r="AF596" s="116"/>
      <c r="AG596" s="116"/>
    </row>
    <row r="597" spans="1:33">
      <c r="A597" s="22" t="s">
        <v>581</v>
      </c>
      <c r="B597" s="22" t="s">
        <v>124</v>
      </c>
      <c r="D597" s="208" t="s">
        <v>1135</v>
      </c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115"/>
      <c r="T597" s="115"/>
      <c r="U597" s="430"/>
      <c r="V597" s="64"/>
      <c r="W597" s="64"/>
      <c r="X597" s="64"/>
      <c r="Y597" s="64"/>
      <c r="Z597" s="135"/>
      <c r="AA597" s="142"/>
      <c r="AB597" s="131"/>
      <c r="AC597" s="116"/>
      <c r="AD597" s="116"/>
      <c r="AE597" s="116"/>
      <c r="AF597" s="116"/>
      <c r="AG597" s="116"/>
    </row>
    <row r="598" spans="1:33" s="24" customFormat="1">
      <c r="A598" s="22" t="s">
        <v>581</v>
      </c>
      <c r="U598" s="430"/>
      <c r="V598" s="64"/>
      <c r="W598" s="64"/>
      <c r="X598" s="64"/>
      <c r="Y598" s="64"/>
      <c r="Z598" s="135"/>
      <c r="AA598" s="143"/>
      <c r="AB598" s="132"/>
      <c r="AC598" s="116"/>
      <c r="AD598" s="116"/>
      <c r="AE598" s="116"/>
      <c r="AF598" s="116"/>
      <c r="AG598" s="116"/>
    </row>
    <row r="599" spans="1:33">
      <c r="A599" s="69" t="s">
        <v>880</v>
      </c>
      <c r="B599" s="69" t="s">
        <v>119</v>
      </c>
      <c r="C599" s="69"/>
      <c r="D599" s="212" t="s">
        <v>1161</v>
      </c>
      <c r="E599" s="69"/>
      <c r="F599" s="69"/>
      <c r="G599" s="69"/>
      <c r="H599" s="69"/>
      <c r="I599" s="69"/>
      <c r="J599" s="69"/>
      <c r="K599" s="69"/>
      <c r="L599" s="69"/>
      <c r="M599" s="69"/>
      <c r="N599" s="69"/>
      <c r="O599" s="69"/>
      <c r="P599" s="69"/>
      <c r="Q599" s="69"/>
      <c r="R599" s="69"/>
      <c r="U599" s="430"/>
      <c r="V599" s="64"/>
      <c r="W599" s="64"/>
      <c r="X599" s="64"/>
      <c r="Y599" s="64"/>
      <c r="Z599" s="135"/>
      <c r="AA599" s="144"/>
      <c r="AB599" s="133"/>
      <c r="AC599" s="116"/>
      <c r="AD599" s="116"/>
      <c r="AE599" s="116"/>
      <c r="AF599" s="116"/>
      <c r="AG599" s="116"/>
    </row>
    <row r="600" spans="1:33">
      <c r="A600" s="22" t="s">
        <v>880</v>
      </c>
      <c r="B600" s="22" t="s">
        <v>122</v>
      </c>
      <c r="D600" s="208" t="s">
        <v>1162</v>
      </c>
      <c r="U600" s="430"/>
      <c r="V600" s="64"/>
      <c r="W600" s="64"/>
      <c r="X600" s="64"/>
      <c r="Y600" s="64"/>
      <c r="Z600" s="135"/>
      <c r="AA600" s="136"/>
      <c r="AB600" s="116"/>
      <c r="AC600" s="116"/>
      <c r="AD600" s="116"/>
      <c r="AE600" s="116"/>
      <c r="AF600" s="116"/>
      <c r="AG600" s="116"/>
    </row>
    <row r="601" spans="1:33">
      <c r="A601" s="22" t="s">
        <v>880</v>
      </c>
      <c r="U601" s="430"/>
      <c r="V601" s="64"/>
      <c r="W601" s="64"/>
      <c r="X601" s="64"/>
      <c r="Y601" s="64"/>
      <c r="Z601" s="135"/>
      <c r="AA601" s="136"/>
      <c r="AB601" s="116"/>
      <c r="AC601" s="116"/>
      <c r="AD601" s="116"/>
      <c r="AE601" s="116"/>
      <c r="AF601" s="116"/>
      <c r="AG601" s="116"/>
    </row>
    <row r="602" spans="1:33">
      <c r="A602" s="22" t="s">
        <v>880</v>
      </c>
      <c r="B602" s="22" t="s">
        <v>111</v>
      </c>
      <c r="D602" s="22" t="s">
        <v>19</v>
      </c>
      <c r="E602" s="22" t="s">
        <v>27</v>
      </c>
      <c r="F602" s="22" t="s">
        <v>28</v>
      </c>
      <c r="G602" s="22" t="s">
        <v>166</v>
      </c>
      <c r="H602" s="22" t="s">
        <v>916</v>
      </c>
      <c r="I602" s="22" t="s">
        <v>1147</v>
      </c>
      <c r="J602" s="87" t="s">
        <v>286</v>
      </c>
      <c r="U602" s="430"/>
      <c r="V602" s="64"/>
      <c r="W602" s="64"/>
      <c r="X602" s="64"/>
      <c r="Y602" s="64"/>
      <c r="Z602" s="135"/>
      <c r="AA602" s="136"/>
      <c r="AB602" s="116"/>
      <c r="AC602" s="116"/>
      <c r="AD602" s="116"/>
      <c r="AE602" s="116"/>
      <c r="AF602" s="116"/>
      <c r="AG602" s="116"/>
    </row>
    <row r="603" spans="1:33">
      <c r="A603" s="22" t="s">
        <v>880</v>
      </c>
      <c r="B603" s="22" t="s">
        <v>111</v>
      </c>
      <c r="D603" s="22" t="s">
        <v>560</v>
      </c>
      <c r="E603" s="22">
        <v>460</v>
      </c>
      <c r="F603" s="22">
        <v>589</v>
      </c>
      <c r="G603" s="145">
        <v>571.23938622000026</v>
      </c>
      <c r="H603" s="479">
        <v>567.60765000000004</v>
      </c>
      <c r="I603" s="478">
        <v>525.23633763999987</v>
      </c>
      <c r="U603" s="430"/>
      <c r="V603" s="64"/>
      <c r="W603" s="64"/>
      <c r="X603" s="64"/>
      <c r="Y603" s="64"/>
      <c r="Z603" s="135"/>
      <c r="AA603" s="136"/>
      <c r="AB603" s="116"/>
      <c r="AC603" s="116"/>
      <c r="AD603" s="116"/>
      <c r="AE603" s="116"/>
      <c r="AF603" s="116"/>
      <c r="AG603" s="116"/>
    </row>
    <row r="604" spans="1:33">
      <c r="A604" s="22" t="s">
        <v>880</v>
      </c>
      <c r="B604" s="22" t="s">
        <v>111</v>
      </c>
      <c r="D604" s="22" t="s">
        <v>529</v>
      </c>
      <c r="E604" s="22">
        <v>651</v>
      </c>
      <c r="F604" s="22">
        <v>818</v>
      </c>
      <c r="G604" s="145">
        <v>610.58232329999987</v>
      </c>
      <c r="H604" s="479">
        <v>455.41391339999979</v>
      </c>
      <c r="I604" s="478">
        <v>496.39465800000033</v>
      </c>
      <c r="U604" s="421"/>
      <c r="V604" s="116"/>
      <c r="W604" s="116"/>
      <c r="X604" s="116"/>
      <c r="Y604" s="116"/>
      <c r="Z604" s="116"/>
      <c r="AA604" s="116"/>
      <c r="AB604" s="116"/>
      <c r="AC604" s="116"/>
      <c r="AD604" s="116"/>
      <c r="AE604" s="116"/>
      <c r="AF604" s="116"/>
      <c r="AG604" s="116"/>
    </row>
    <row r="605" spans="1:33">
      <c r="A605" s="22" t="s">
        <v>880</v>
      </c>
      <c r="B605" s="22" t="s">
        <v>111</v>
      </c>
      <c r="D605" s="22" t="s">
        <v>531</v>
      </c>
      <c r="E605" s="22">
        <v>118</v>
      </c>
      <c r="F605" s="22">
        <v>61</v>
      </c>
      <c r="G605" s="145">
        <v>30.855000000000004</v>
      </c>
      <c r="H605" s="479">
        <v>42.5</v>
      </c>
      <c r="I605" s="478">
        <v>38.25</v>
      </c>
      <c r="U605" s="421"/>
      <c r="V605" s="116"/>
      <c r="W605" s="116"/>
      <c r="X605" s="116"/>
      <c r="Y605" s="116"/>
      <c r="Z605" s="116"/>
      <c r="AA605" s="116"/>
      <c r="AB605" s="116"/>
      <c r="AC605" s="116"/>
      <c r="AD605" s="116"/>
      <c r="AE605" s="116"/>
      <c r="AF605" s="116"/>
      <c r="AG605" s="116"/>
    </row>
    <row r="606" spans="1:33">
      <c r="A606" s="22" t="s">
        <v>880</v>
      </c>
      <c r="B606" s="22" t="s">
        <v>111</v>
      </c>
      <c r="D606" s="22" t="s">
        <v>530</v>
      </c>
      <c r="E606" s="22">
        <v>18</v>
      </c>
      <c r="F606" s="22">
        <v>38</v>
      </c>
      <c r="G606" s="145">
        <v>22.148771799999999</v>
      </c>
      <c r="H606" s="479">
        <v>15.8181818</v>
      </c>
      <c r="I606" s="478">
        <v>5.9181818000000002</v>
      </c>
      <c r="U606" s="421"/>
      <c r="V606" s="116"/>
      <c r="W606" s="116"/>
      <c r="X606" s="116"/>
      <c r="Y606" s="116"/>
      <c r="Z606" s="116"/>
      <c r="AA606" s="116"/>
      <c r="AB606" s="116"/>
      <c r="AC606" s="116"/>
      <c r="AD606" s="116"/>
      <c r="AE606" s="116"/>
      <c r="AF606" s="116"/>
      <c r="AG606" s="116"/>
    </row>
    <row r="607" spans="1:33">
      <c r="A607" s="22" t="s">
        <v>880</v>
      </c>
      <c r="B607" s="22" t="s">
        <v>111</v>
      </c>
      <c r="D607" s="22" t="s">
        <v>562</v>
      </c>
      <c r="E607" s="22">
        <v>6</v>
      </c>
      <c r="F607" s="22">
        <v>6</v>
      </c>
      <c r="G607" s="145">
        <v>5.5</v>
      </c>
      <c r="H607" s="479">
        <v>19.899999999999999</v>
      </c>
      <c r="I607" s="478">
        <v>44.155125000000012</v>
      </c>
      <c r="U607" s="421"/>
      <c r="V607" s="116"/>
      <c r="W607" s="116"/>
      <c r="X607" s="116"/>
      <c r="Y607" s="116"/>
      <c r="Z607" s="116"/>
      <c r="AA607" s="116"/>
      <c r="AB607" s="116"/>
      <c r="AC607" s="116"/>
      <c r="AD607" s="116"/>
      <c r="AE607" s="116"/>
      <c r="AF607" s="116"/>
      <c r="AG607" s="116"/>
    </row>
    <row r="608" spans="1:33">
      <c r="A608" s="22" t="s">
        <v>880</v>
      </c>
      <c r="B608" s="22" t="s">
        <v>111</v>
      </c>
      <c r="D608" s="22" t="s">
        <v>35</v>
      </c>
      <c r="E608" s="22">
        <v>372</v>
      </c>
      <c r="F608" s="22">
        <v>425</v>
      </c>
      <c r="G608" s="145">
        <v>528.69173446999991</v>
      </c>
      <c r="H608" s="479">
        <v>449.27796244000012</v>
      </c>
      <c r="I608" s="478">
        <v>445</v>
      </c>
    </row>
    <row r="609" spans="1:9">
      <c r="A609" s="22" t="s">
        <v>880</v>
      </c>
      <c r="B609" s="22" t="s">
        <v>111</v>
      </c>
      <c r="D609" s="22" t="s">
        <v>5</v>
      </c>
      <c r="E609" s="22">
        <v>1624</v>
      </c>
      <c r="F609" s="22">
        <v>1936</v>
      </c>
      <c r="G609" s="22">
        <f>SUM(G603:G608)</f>
        <v>1769.0172157900001</v>
      </c>
      <c r="H609" s="474">
        <f>SUM(H603:H608)</f>
        <v>1550.51770764</v>
      </c>
      <c r="I609" s="241">
        <f>SUM(I603:I608)</f>
        <v>1554.9543024400002</v>
      </c>
    </row>
    <row r="610" spans="1:9">
      <c r="A610" s="22" t="s">
        <v>880</v>
      </c>
    </row>
    <row r="611" spans="1:9">
      <c r="A611" s="22" t="s">
        <v>880</v>
      </c>
      <c r="B611" s="22" t="s">
        <v>112</v>
      </c>
    </row>
    <row r="612" spans="1:9">
      <c r="A612" s="22" t="s">
        <v>880</v>
      </c>
      <c r="B612" s="22" t="s">
        <v>112</v>
      </c>
    </row>
    <row r="613" spans="1:9">
      <c r="A613" s="22" t="s">
        <v>880</v>
      </c>
      <c r="B613" s="22" t="s">
        <v>112</v>
      </c>
    </row>
    <row r="614" spans="1:9">
      <c r="A614" s="22" t="s">
        <v>880</v>
      </c>
      <c r="B614" s="22" t="s">
        <v>112</v>
      </c>
    </row>
    <row r="615" spans="1:9">
      <c r="A615" s="22" t="s">
        <v>880</v>
      </c>
      <c r="B615" s="22" t="s">
        <v>112</v>
      </c>
    </row>
    <row r="616" spans="1:9">
      <c r="A616" s="22" t="s">
        <v>880</v>
      </c>
      <c r="B616" s="22" t="s">
        <v>112</v>
      </c>
    </row>
    <row r="617" spans="1:9">
      <c r="A617" s="22" t="s">
        <v>880</v>
      </c>
      <c r="B617" s="22" t="s">
        <v>112</v>
      </c>
    </row>
    <row r="618" spans="1:9">
      <c r="A618" s="22" t="s">
        <v>880</v>
      </c>
      <c r="B618" s="22" t="s">
        <v>112</v>
      </c>
    </row>
    <row r="619" spans="1:9">
      <c r="A619" s="22" t="s">
        <v>880</v>
      </c>
      <c r="B619" s="22" t="s">
        <v>112</v>
      </c>
    </row>
    <row r="620" spans="1:9">
      <c r="A620" s="22" t="s">
        <v>880</v>
      </c>
      <c r="B620" s="22" t="s">
        <v>112</v>
      </c>
    </row>
    <row r="621" spans="1:9">
      <c r="A621" s="22" t="s">
        <v>880</v>
      </c>
      <c r="B621" s="22" t="s">
        <v>112</v>
      </c>
    </row>
    <row r="622" spans="1:9">
      <c r="A622" s="22" t="s">
        <v>880</v>
      </c>
      <c r="B622" s="22" t="s">
        <v>112</v>
      </c>
    </row>
    <row r="623" spans="1:9">
      <c r="A623" s="22" t="s">
        <v>880</v>
      </c>
      <c r="B623" s="22" t="s">
        <v>112</v>
      </c>
    </row>
    <row r="624" spans="1:9">
      <c r="A624" s="22" t="s">
        <v>880</v>
      </c>
      <c r="B624" s="22" t="s">
        <v>112</v>
      </c>
    </row>
    <row r="625" spans="1:21">
      <c r="A625" s="22" t="s">
        <v>880</v>
      </c>
      <c r="B625" s="22" t="s">
        <v>112</v>
      </c>
    </row>
    <row r="626" spans="1:21">
      <c r="A626" s="22" t="s">
        <v>880</v>
      </c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</row>
    <row r="627" spans="1:21">
      <c r="A627" s="22" t="s">
        <v>880</v>
      </c>
      <c r="B627" s="22" t="s">
        <v>124</v>
      </c>
      <c r="D627" s="208" t="s">
        <v>1135</v>
      </c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115"/>
      <c r="T627" s="115"/>
    </row>
    <row r="628" spans="1:21" s="24" customFormat="1">
      <c r="A628" s="22" t="s">
        <v>880</v>
      </c>
      <c r="U628" s="411"/>
    </row>
    <row r="629" spans="1:21">
      <c r="A629" s="69"/>
      <c r="B629" s="69"/>
      <c r="C629" s="69"/>
      <c r="D629" s="69"/>
      <c r="E629" s="69"/>
      <c r="F629" s="69"/>
      <c r="G629" s="69"/>
      <c r="H629" s="69"/>
      <c r="I629" s="69"/>
      <c r="J629" s="69"/>
      <c r="K629" s="69"/>
      <c r="L629" s="69"/>
      <c r="M629" s="69"/>
      <c r="N629" s="69"/>
      <c r="O629" s="69"/>
      <c r="P629" s="69"/>
      <c r="Q629" s="69"/>
      <c r="R629" s="69"/>
    </row>
    <row r="637" spans="1:21">
      <c r="E637" s="135"/>
      <c r="G637" s="52"/>
      <c r="I637" s="52"/>
    </row>
    <row r="638" spans="1:21">
      <c r="E638" s="135"/>
      <c r="G638" s="52"/>
      <c r="I638" s="52"/>
    </row>
    <row r="639" spans="1:21">
      <c r="E639" s="135"/>
      <c r="G639" s="52"/>
      <c r="I639" s="52"/>
    </row>
    <row r="640" spans="1:21">
      <c r="E640" s="135"/>
      <c r="G640" s="52"/>
      <c r="I640" s="52"/>
    </row>
    <row r="641" spans="1:21">
      <c r="E641" s="135"/>
      <c r="G641" s="52"/>
      <c r="I641" s="52"/>
    </row>
    <row r="642" spans="1:21">
      <c r="E642" s="135"/>
      <c r="G642" s="52"/>
      <c r="I642" s="52"/>
    </row>
    <row r="643" spans="1:21" s="24" customFormat="1">
      <c r="U643" s="411"/>
    </row>
    <row r="646" spans="1:21">
      <c r="A646" s="24"/>
    </row>
    <row r="649" spans="1:21">
      <c r="F649" s="116"/>
      <c r="G649" s="116"/>
      <c r="H649" s="116"/>
      <c r="I649" s="116"/>
      <c r="J649" s="116"/>
      <c r="K649" s="116"/>
    </row>
    <row r="650" spans="1:21">
      <c r="F650" s="116"/>
      <c r="G650" s="135"/>
      <c r="H650" s="116"/>
      <c r="I650" s="116"/>
      <c r="J650" s="116"/>
      <c r="K650" s="116"/>
    </row>
    <row r="651" spans="1:21">
      <c r="F651" s="116"/>
      <c r="G651" s="116"/>
      <c r="H651" s="116"/>
      <c r="I651" s="116"/>
      <c r="J651" s="135"/>
      <c r="K651" s="116"/>
    </row>
    <row r="652" spans="1:21">
      <c r="F652" s="116"/>
      <c r="G652" s="116"/>
      <c r="H652" s="116"/>
      <c r="I652" s="116"/>
      <c r="J652" s="135"/>
      <c r="K652" s="116"/>
    </row>
    <row r="653" spans="1:21">
      <c r="F653" s="116"/>
      <c r="G653" s="116"/>
      <c r="H653" s="116"/>
      <c r="I653" s="116"/>
      <c r="J653" s="135"/>
      <c r="K653" s="116"/>
    </row>
    <row r="654" spans="1:21">
      <c r="F654" s="116"/>
      <c r="G654" s="116"/>
      <c r="H654" s="116"/>
      <c r="I654" s="116"/>
      <c r="J654" s="135"/>
      <c r="K654" s="116"/>
    </row>
    <row r="655" spans="1:21">
      <c r="F655" s="116"/>
      <c r="G655" s="116"/>
      <c r="H655" s="116"/>
      <c r="I655" s="116"/>
      <c r="J655" s="135"/>
      <c r="K655" s="116"/>
    </row>
    <row r="656" spans="1:21">
      <c r="F656" s="116"/>
      <c r="G656" s="116"/>
      <c r="H656" s="116"/>
      <c r="I656" s="116"/>
      <c r="J656" s="135"/>
      <c r="K656" s="116"/>
    </row>
    <row r="657" spans="6:11">
      <c r="F657" s="116"/>
      <c r="G657" s="116"/>
      <c r="H657" s="116"/>
      <c r="I657" s="116"/>
      <c r="J657" s="116"/>
      <c r="K657" s="116"/>
    </row>
  </sheetData>
  <autoFilter ref="A1:B646" xr:uid="{00000000-0009-0000-0000-000001000000}"/>
  <mergeCells count="6">
    <mergeCell ref="T27:U27"/>
    <mergeCell ref="D15:E15"/>
    <mergeCell ref="D19:E19"/>
    <mergeCell ref="D23:E23"/>
    <mergeCell ref="D27:E27"/>
    <mergeCell ref="L27:M27"/>
  </mergeCells>
  <phoneticPr fontId="13" type="noConversion"/>
  <hyperlinks>
    <hyperlink ref="D96" r:id="rId1" display="http://index.go.kr/main.do?cate=1" xr:uid="{00000000-0004-0000-0100-000000000000}"/>
    <hyperlink ref="U301" r:id="rId2" display="https://bio.nikkeibp.co.jp/atclyb/21/112800046/" xr:uid="{00000000-0004-0000-0100-000001000000}"/>
    <hyperlink ref="T303" r:id="rId3" display="https://www.nistep.go.jp/research/science-and-technology-indicators-and-scientometrics/indicators" xr:uid="{00000000-0004-0000-0100-000002000000}"/>
  </hyperlinks>
  <pageMargins left="0.7" right="0.7" top="0.75" bottom="0.75" header="0.3" footer="0.3"/>
  <pageSetup paperSize="9" orientation="portrait" horizontalDpi="200" verticalDpi="200" r:id="rId4"/>
  <ignoredErrors>
    <ignoredError sqref="F11" calculatedColumn="1"/>
  </ignoredErrors>
  <drawing r:id="rId5"/>
  <tableParts count="25"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A397"/>
  <sheetViews>
    <sheetView zoomScale="85" zoomScaleNormal="85" workbookViewId="0">
      <selection activeCell="D407" sqref="D406:D407"/>
    </sheetView>
  </sheetViews>
  <sheetFormatPr defaultColWidth="10.625" defaultRowHeight="16.5"/>
  <cols>
    <col min="1" max="2" width="15.625" style="22" customWidth="1"/>
    <col min="3" max="3" width="1.625" style="22" customWidth="1"/>
    <col min="4" max="4" width="14" style="22" customWidth="1"/>
    <col min="5" max="5" width="13.5" style="22" customWidth="1"/>
    <col min="6" max="6" width="14.875" style="22" customWidth="1"/>
    <col min="7" max="7" width="14.125" style="22" customWidth="1"/>
    <col min="8" max="14" width="10.625" style="22" customWidth="1"/>
    <col min="15" max="16384" width="10.625" style="22"/>
  </cols>
  <sheetData>
    <row r="1" spans="1:20">
      <c r="A1" s="20" t="s">
        <v>149</v>
      </c>
      <c r="B1" s="21" t="s">
        <v>340</v>
      </c>
      <c r="C1" s="21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</row>
    <row r="2" spans="1:20">
      <c r="A2" s="69" t="s">
        <v>117</v>
      </c>
      <c r="B2" s="69" t="s">
        <v>119</v>
      </c>
      <c r="C2" s="69"/>
      <c r="D2" s="212" t="s">
        <v>1171</v>
      </c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</row>
    <row r="3" spans="1:20">
      <c r="A3" s="22" t="s">
        <v>118</v>
      </c>
      <c r="B3" s="22" t="s">
        <v>122</v>
      </c>
      <c r="D3" s="22" t="s">
        <v>11</v>
      </c>
    </row>
    <row r="4" spans="1:20">
      <c r="A4" s="22" t="s">
        <v>118</v>
      </c>
      <c r="B4" s="22" t="s">
        <v>122</v>
      </c>
      <c r="D4" s="208" t="s">
        <v>2238</v>
      </c>
      <c r="F4" s="115"/>
    </row>
    <row r="5" spans="1:20">
      <c r="A5" s="22" t="s">
        <v>118</v>
      </c>
    </row>
    <row r="6" spans="1:20">
      <c r="A6" s="22" t="s">
        <v>118</v>
      </c>
      <c r="B6" s="22" t="s">
        <v>110</v>
      </c>
      <c r="D6" s="22" t="s">
        <v>12</v>
      </c>
      <c r="E6" s="22" t="s">
        <v>617</v>
      </c>
      <c r="F6" s="22" t="s">
        <v>618</v>
      </c>
      <c r="G6" s="22" t="s">
        <v>124</v>
      </c>
      <c r="S6" s="24"/>
      <c r="T6" s="24"/>
    </row>
    <row r="7" spans="1:20">
      <c r="A7" s="22" t="s">
        <v>118</v>
      </c>
      <c r="B7" s="22" t="s">
        <v>110</v>
      </c>
      <c r="D7" s="22" t="s">
        <v>20</v>
      </c>
      <c r="E7" s="208">
        <v>11605</v>
      </c>
      <c r="F7" s="208" t="s">
        <v>1170</v>
      </c>
      <c r="G7" s="22" t="s">
        <v>1166</v>
      </c>
    </row>
    <row r="8" spans="1:20">
      <c r="A8" s="22" t="s">
        <v>118</v>
      </c>
      <c r="B8" s="22" t="s">
        <v>110</v>
      </c>
      <c r="F8" s="22" t="s">
        <v>619</v>
      </c>
      <c r="G8" s="22" t="s">
        <v>620</v>
      </c>
    </row>
    <row r="9" spans="1:20">
      <c r="A9" s="22" t="s">
        <v>118</v>
      </c>
      <c r="B9" s="22" t="s">
        <v>110</v>
      </c>
      <c r="D9" s="22" t="s">
        <v>21</v>
      </c>
      <c r="E9" s="208">
        <v>53546</v>
      </c>
      <c r="F9" s="208" t="s">
        <v>1177</v>
      </c>
      <c r="G9" s="208" t="s">
        <v>1178</v>
      </c>
      <c r="H9" s="403"/>
      <c r="O9" s="208"/>
    </row>
    <row r="10" spans="1:20">
      <c r="A10" s="22" t="s">
        <v>118</v>
      </c>
      <c r="B10" s="22" t="s">
        <v>110</v>
      </c>
      <c r="D10" s="22" t="s">
        <v>733</v>
      </c>
      <c r="E10" s="208">
        <v>34140</v>
      </c>
      <c r="F10" s="208" t="s">
        <v>1205</v>
      </c>
      <c r="G10" s="208" t="s">
        <v>1204</v>
      </c>
      <c r="H10" s="403"/>
    </row>
    <row r="11" spans="1:20">
      <c r="A11" s="22" t="s">
        <v>118</v>
      </c>
      <c r="B11" s="22" t="s">
        <v>110</v>
      </c>
      <c r="E11" s="403"/>
      <c r="F11" s="208" t="s">
        <v>1206</v>
      </c>
      <c r="G11" s="403" t="s">
        <v>620</v>
      </c>
      <c r="H11" s="403"/>
    </row>
    <row r="12" spans="1:20">
      <c r="A12" s="22" t="s">
        <v>118</v>
      </c>
      <c r="B12" s="22" t="s">
        <v>110</v>
      </c>
      <c r="D12" s="22" t="s">
        <v>22</v>
      </c>
      <c r="E12" s="403">
        <v>65387</v>
      </c>
      <c r="F12" s="403" t="s">
        <v>920</v>
      </c>
      <c r="G12" s="403" t="s">
        <v>1051</v>
      </c>
      <c r="H12" s="403"/>
    </row>
    <row r="13" spans="1:20">
      <c r="A13" s="22" t="s">
        <v>118</v>
      </c>
    </row>
    <row r="14" spans="1:20">
      <c r="A14" s="22" t="s">
        <v>118</v>
      </c>
      <c r="B14" s="22" t="s">
        <v>124</v>
      </c>
      <c r="D14" s="263" t="s">
        <v>1178</v>
      </c>
    </row>
    <row r="15" spans="1:20">
      <c r="A15" s="22" t="s">
        <v>118</v>
      </c>
      <c r="B15" s="22" t="s">
        <v>124</v>
      </c>
      <c r="D15" s="200" t="s">
        <v>1204</v>
      </c>
    </row>
    <row r="16" spans="1:20" s="24" customFormat="1">
      <c r="A16" s="22" t="s">
        <v>118</v>
      </c>
      <c r="B16" s="22" t="s">
        <v>124</v>
      </c>
      <c r="D16" s="453" t="s">
        <v>1051</v>
      </c>
    </row>
    <row r="17" spans="1:18">
      <c r="A17" s="69" t="s">
        <v>16</v>
      </c>
      <c r="B17" s="69" t="s">
        <v>119</v>
      </c>
      <c r="C17" s="69"/>
      <c r="D17" s="212" t="s">
        <v>1165</v>
      </c>
      <c r="E17" s="69"/>
      <c r="F17" s="69"/>
      <c r="G17" s="69"/>
      <c r="H17" s="69"/>
      <c r="I17" s="69"/>
      <c r="J17" s="69"/>
      <c r="K17" s="69"/>
      <c r="L17" s="69"/>
      <c r="M17" s="69"/>
      <c r="N17" s="69"/>
      <c r="O17" s="69"/>
      <c r="P17" s="69"/>
      <c r="Q17" s="69"/>
      <c r="R17" s="69"/>
    </row>
    <row r="18" spans="1:18">
      <c r="A18" s="24" t="s">
        <v>16</v>
      </c>
      <c r="B18" s="22" t="s">
        <v>122</v>
      </c>
      <c r="D18" s="208" t="s">
        <v>1172</v>
      </c>
    </row>
    <row r="19" spans="1:18">
      <c r="A19" s="24" t="s">
        <v>16</v>
      </c>
      <c r="B19" s="22" t="s">
        <v>122</v>
      </c>
      <c r="D19" s="208" t="s">
        <v>1173</v>
      </c>
    </row>
    <row r="20" spans="1:18">
      <c r="A20" s="24" t="s">
        <v>16</v>
      </c>
      <c r="B20" s="22" t="s">
        <v>122</v>
      </c>
      <c r="D20" s="22" t="s">
        <v>9</v>
      </c>
    </row>
    <row r="21" spans="1:18">
      <c r="A21" s="24" t="s">
        <v>16</v>
      </c>
    </row>
    <row r="22" spans="1:18">
      <c r="A22" s="24" t="s">
        <v>16</v>
      </c>
      <c r="B22" s="24" t="s">
        <v>111</v>
      </c>
      <c r="C22" s="24"/>
      <c r="D22" s="24" t="s">
        <v>12</v>
      </c>
      <c r="E22" s="24" t="s">
        <v>105</v>
      </c>
      <c r="F22" s="24" t="s">
        <v>106</v>
      </c>
      <c r="G22" s="24" t="s">
        <v>32</v>
      </c>
      <c r="H22" s="24" t="s">
        <v>107</v>
      </c>
      <c r="I22" s="24" t="s">
        <v>108</v>
      </c>
      <c r="J22" s="24" t="s">
        <v>31</v>
      </c>
      <c r="K22" s="24" t="s">
        <v>15</v>
      </c>
      <c r="L22" s="24" t="s">
        <v>23</v>
      </c>
      <c r="M22" s="24"/>
    </row>
    <row r="23" spans="1:18">
      <c r="A23" s="24" t="s">
        <v>16</v>
      </c>
      <c r="B23" s="24" t="s">
        <v>111</v>
      </c>
      <c r="C23" s="24"/>
      <c r="D23" s="24" t="s">
        <v>2</v>
      </c>
      <c r="E23" s="24">
        <v>4629</v>
      </c>
      <c r="F23" s="24">
        <v>5271</v>
      </c>
      <c r="G23" s="24">
        <v>9900</v>
      </c>
      <c r="H23" s="24">
        <v>1900</v>
      </c>
      <c r="I23" s="24">
        <v>1316</v>
      </c>
      <c r="J23" s="24">
        <v>3216</v>
      </c>
      <c r="K23" s="24">
        <v>13116</v>
      </c>
      <c r="M23" s="24"/>
    </row>
    <row r="24" spans="1:18">
      <c r="A24" s="24" t="s">
        <v>16</v>
      </c>
      <c r="B24" s="24" t="s">
        <v>111</v>
      </c>
      <c r="C24" s="24"/>
      <c r="D24" s="24" t="s">
        <v>3</v>
      </c>
      <c r="E24" s="24">
        <v>4858</v>
      </c>
      <c r="F24" s="24">
        <v>5430</v>
      </c>
      <c r="G24" s="24">
        <v>10288</v>
      </c>
      <c r="H24" s="24">
        <v>1943</v>
      </c>
      <c r="I24" s="24">
        <v>1384</v>
      </c>
      <c r="J24" s="24">
        <v>3327</v>
      </c>
      <c r="K24" s="24">
        <v>13615</v>
      </c>
      <c r="M24" s="24"/>
    </row>
    <row r="25" spans="1:18">
      <c r="A25" s="24" t="s">
        <v>16</v>
      </c>
      <c r="B25" s="24" t="s">
        <v>111</v>
      </c>
      <c r="C25" s="24"/>
      <c r="D25" s="24" t="s">
        <v>7</v>
      </c>
      <c r="E25" s="24">
        <v>4602</v>
      </c>
      <c r="F25" s="24">
        <v>5328</v>
      </c>
      <c r="G25" s="24">
        <v>9930</v>
      </c>
      <c r="H25" s="24">
        <v>1898</v>
      </c>
      <c r="I25" s="24">
        <v>1301</v>
      </c>
      <c r="J25" s="24">
        <v>3199</v>
      </c>
      <c r="K25" s="24">
        <v>13129</v>
      </c>
      <c r="M25" s="24"/>
    </row>
    <row r="26" spans="1:18">
      <c r="A26" s="24" t="s">
        <v>16</v>
      </c>
      <c r="B26" s="24" t="s">
        <v>111</v>
      </c>
      <c r="C26" s="24"/>
      <c r="D26" s="24" t="s">
        <v>675</v>
      </c>
      <c r="E26" s="24">
        <v>4267</v>
      </c>
      <c r="F26" s="24">
        <v>5204</v>
      </c>
      <c r="G26" s="24">
        <v>9471</v>
      </c>
      <c r="H26" s="24">
        <v>1883</v>
      </c>
      <c r="I26" s="24">
        <v>1400</v>
      </c>
      <c r="J26" s="146">
        <v>3283</v>
      </c>
      <c r="K26" s="24">
        <v>12754</v>
      </c>
      <c r="M26" s="24"/>
    </row>
    <row r="27" spans="1:18">
      <c r="A27" s="24" t="s">
        <v>16</v>
      </c>
      <c r="B27" s="24" t="s">
        <v>111</v>
      </c>
      <c r="C27" s="24"/>
      <c r="D27" s="19" t="s">
        <v>707</v>
      </c>
      <c r="E27" s="19">
        <v>4295</v>
      </c>
      <c r="F27" s="482">
        <v>5107</v>
      </c>
      <c r="G27" s="482">
        <v>9402</v>
      </c>
      <c r="H27" s="19">
        <v>1888</v>
      </c>
      <c r="I27" s="19">
        <v>1417</v>
      </c>
      <c r="J27" s="482">
        <v>3305</v>
      </c>
      <c r="K27" s="482">
        <v>12707</v>
      </c>
      <c r="M27" s="24"/>
    </row>
    <row r="28" spans="1:18">
      <c r="A28" s="24" t="s">
        <v>16</v>
      </c>
      <c r="B28" s="24" t="s">
        <v>111</v>
      </c>
      <c r="C28" s="24"/>
      <c r="D28" s="235" t="s">
        <v>1169</v>
      </c>
      <c r="E28" s="481">
        <v>3452</v>
      </c>
      <c r="F28" s="481">
        <v>4640</v>
      </c>
      <c r="G28" s="481">
        <v>8092</v>
      </c>
      <c r="H28" s="481">
        <v>1963</v>
      </c>
      <c r="I28" s="481">
        <v>1550</v>
      </c>
      <c r="J28" s="481">
        <v>3513</v>
      </c>
      <c r="K28" s="481">
        <v>11605</v>
      </c>
      <c r="M28" s="24"/>
    </row>
    <row r="29" spans="1:18">
      <c r="A29" s="24" t="s">
        <v>16</v>
      </c>
      <c r="D29" s="147"/>
      <c r="E29" s="147"/>
      <c r="F29" s="147"/>
      <c r="G29" s="147"/>
      <c r="H29" s="147"/>
      <c r="I29" s="147"/>
      <c r="J29" s="147"/>
      <c r="K29" s="147"/>
      <c r="L29" s="247"/>
      <c r="M29" s="248"/>
    </row>
    <row r="30" spans="1:18">
      <c r="A30" s="24" t="s">
        <v>16</v>
      </c>
      <c r="B30" s="22" t="s">
        <v>112</v>
      </c>
    </row>
    <row r="31" spans="1:18">
      <c r="A31" s="24" t="s">
        <v>16</v>
      </c>
      <c r="B31" s="22" t="s">
        <v>112</v>
      </c>
    </row>
    <row r="32" spans="1:18">
      <c r="A32" s="24" t="s">
        <v>16</v>
      </c>
      <c r="B32" s="22" t="s">
        <v>112</v>
      </c>
    </row>
    <row r="33" spans="1:18">
      <c r="A33" s="24" t="s">
        <v>16</v>
      </c>
      <c r="B33" s="22" t="s">
        <v>112</v>
      </c>
    </row>
    <row r="34" spans="1:18">
      <c r="A34" s="24" t="s">
        <v>16</v>
      </c>
      <c r="B34" s="22" t="s">
        <v>112</v>
      </c>
    </row>
    <row r="35" spans="1:18">
      <c r="A35" s="24" t="s">
        <v>16</v>
      </c>
      <c r="B35" s="22" t="s">
        <v>112</v>
      </c>
    </row>
    <row r="36" spans="1:18">
      <c r="A36" s="24" t="s">
        <v>16</v>
      </c>
      <c r="B36" s="22" t="s">
        <v>112</v>
      </c>
    </row>
    <row r="37" spans="1:18">
      <c r="A37" s="24" t="s">
        <v>16</v>
      </c>
      <c r="B37" s="22" t="s">
        <v>112</v>
      </c>
    </row>
    <row r="38" spans="1:18">
      <c r="A38" s="24" t="s">
        <v>16</v>
      </c>
      <c r="B38" s="22" t="s">
        <v>112</v>
      </c>
    </row>
    <row r="39" spans="1:18">
      <c r="A39" s="24" t="s">
        <v>16</v>
      </c>
      <c r="B39" s="22" t="s">
        <v>112</v>
      </c>
    </row>
    <row r="40" spans="1:18">
      <c r="A40" s="24" t="s">
        <v>16</v>
      </c>
      <c r="B40" s="22" t="s">
        <v>112</v>
      </c>
    </row>
    <row r="41" spans="1:18">
      <c r="A41" s="24" t="s">
        <v>16</v>
      </c>
      <c r="B41" s="22" t="s">
        <v>112</v>
      </c>
    </row>
    <row r="42" spans="1:18">
      <c r="A42" s="24" t="s">
        <v>16</v>
      </c>
      <c r="B42" s="22" t="s">
        <v>112</v>
      </c>
    </row>
    <row r="43" spans="1:18">
      <c r="A43" s="24" t="s">
        <v>16</v>
      </c>
      <c r="B43" s="22" t="s">
        <v>112</v>
      </c>
    </row>
    <row r="44" spans="1:18">
      <c r="A44" s="24" t="s">
        <v>16</v>
      </c>
      <c r="B44" s="22" t="s">
        <v>112</v>
      </c>
    </row>
    <row r="45" spans="1:18">
      <c r="A45" s="24" t="s">
        <v>16</v>
      </c>
    </row>
    <row r="46" spans="1:18">
      <c r="A46" s="24" t="s">
        <v>16</v>
      </c>
      <c r="B46" s="22" t="s">
        <v>124</v>
      </c>
      <c r="D46" s="22" t="s">
        <v>719</v>
      </c>
    </row>
    <row r="47" spans="1:18" s="24" customFormat="1">
      <c r="A47" s="24" t="s">
        <v>16</v>
      </c>
      <c r="E47" s="22"/>
      <c r="F47" s="22"/>
      <c r="G47" s="22"/>
      <c r="H47" s="22"/>
      <c r="I47"/>
      <c r="J47" s="22"/>
      <c r="K47" s="22"/>
      <c r="L47" s="22"/>
    </row>
    <row r="48" spans="1:18">
      <c r="A48" s="69" t="s">
        <v>17</v>
      </c>
      <c r="B48" s="69" t="s">
        <v>120</v>
      </c>
      <c r="C48" s="69"/>
      <c r="D48" s="212" t="s">
        <v>1174</v>
      </c>
      <c r="E48" s="107"/>
      <c r="F48" s="107"/>
      <c r="G48" s="107"/>
      <c r="H48" s="107"/>
      <c r="I48" s="107"/>
      <c r="J48" s="107"/>
      <c r="K48" s="107"/>
      <c r="L48" s="107"/>
      <c r="M48" s="69"/>
      <c r="N48" s="69"/>
      <c r="O48" s="69"/>
      <c r="P48" s="69"/>
      <c r="Q48" s="69"/>
      <c r="R48" s="69"/>
    </row>
    <row r="49" spans="1:14">
      <c r="A49" s="24" t="s">
        <v>17</v>
      </c>
      <c r="B49" s="24" t="s">
        <v>122</v>
      </c>
      <c r="C49" s="24"/>
    </row>
    <row r="50" spans="1:14">
      <c r="A50" s="24" t="s">
        <v>17</v>
      </c>
      <c r="B50" s="24"/>
      <c r="C50" s="24"/>
      <c r="D50" s="208" t="s">
        <v>1180</v>
      </c>
      <c r="N50" s="45"/>
    </row>
    <row r="51" spans="1:14">
      <c r="A51" s="24" t="s">
        <v>17</v>
      </c>
      <c r="B51" s="24" t="s">
        <v>111</v>
      </c>
      <c r="C51" s="24"/>
    </row>
    <row r="52" spans="1:14">
      <c r="A52" s="24" t="s">
        <v>17</v>
      </c>
      <c r="B52" s="24" t="s">
        <v>111</v>
      </c>
      <c r="C52" s="24"/>
      <c r="D52" s="24" t="s">
        <v>12</v>
      </c>
      <c r="E52" s="24" t="s">
        <v>27</v>
      </c>
      <c r="F52" s="24" t="s">
        <v>28</v>
      </c>
      <c r="G52" s="24" t="s">
        <v>166</v>
      </c>
      <c r="H52" s="24" t="s">
        <v>921</v>
      </c>
      <c r="I52" s="235" t="s">
        <v>1179</v>
      </c>
      <c r="J52" s="24" t="s">
        <v>23</v>
      </c>
      <c r="N52" s="45"/>
    </row>
    <row r="53" spans="1:14">
      <c r="A53" s="24" t="s">
        <v>17</v>
      </c>
      <c r="B53" s="24"/>
      <c r="C53" s="24"/>
      <c r="D53" s="24" t="s">
        <v>24</v>
      </c>
      <c r="E53" s="24">
        <v>41559</v>
      </c>
      <c r="F53" s="24">
        <v>44895</v>
      </c>
      <c r="G53" s="19">
        <v>46488</v>
      </c>
      <c r="H53" s="235">
        <v>48683</v>
      </c>
      <c r="I53" s="235">
        <v>53546</v>
      </c>
      <c r="J53" s="235"/>
    </row>
    <row r="54" spans="1:14">
      <c r="A54" s="24" t="s">
        <v>17</v>
      </c>
      <c r="B54" s="24" t="s">
        <v>112</v>
      </c>
      <c r="C54" s="24"/>
    </row>
    <row r="55" spans="1:14">
      <c r="A55" s="24" t="s">
        <v>17</v>
      </c>
      <c r="B55" s="24" t="s">
        <v>112</v>
      </c>
      <c r="C55" s="24"/>
    </row>
    <row r="56" spans="1:14">
      <c r="A56" s="24" t="s">
        <v>17</v>
      </c>
      <c r="B56" s="24" t="s">
        <v>112</v>
      </c>
      <c r="C56" s="24"/>
    </row>
    <row r="57" spans="1:14">
      <c r="A57" s="24" t="s">
        <v>17</v>
      </c>
      <c r="B57" s="24" t="s">
        <v>112</v>
      </c>
      <c r="C57" s="24"/>
    </row>
    <row r="58" spans="1:14">
      <c r="A58" s="24" t="s">
        <v>17</v>
      </c>
      <c r="B58" s="24" t="s">
        <v>112</v>
      </c>
      <c r="C58" s="24"/>
    </row>
    <row r="59" spans="1:14">
      <c r="A59" s="24" t="s">
        <v>17</v>
      </c>
      <c r="B59" s="24" t="s">
        <v>112</v>
      </c>
      <c r="C59" s="24"/>
    </row>
    <row r="60" spans="1:14">
      <c r="A60" s="24" t="s">
        <v>17</v>
      </c>
      <c r="B60" s="24" t="s">
        <v>112</v>
      </c>
      <c r="C60" s="24"/>
    </row>
    <row r="61" spans="1:14">
      <c r="A61" s="24" t="s">
        <v>17</v>
      </c>
      <c r="B61" s="24" t="s">
        <v>112</v>
      </c>
      <c r="C61" s="24"/>
    </row>
    <row r="62" spans="1:14">
      <c r="A62" s="24" t="s">
        <v>17</v>
      </c>
      <c r="B62" s="24" t="s">
        <v>112</v>
      </c>
      <c r="C62" s="24"/>
    </row>
    <row r="63" spans="1:14">
      <c r="A63" s="24" t="s">
        <v>17</v>
      </c>
      <c r="B63" s="24" t="s">
        <v>112</v>
      </c>
      <c r="C63" s="24"/>
    </row>
    <row r="64" spans="1:14">
      <c r="A64" s="24" t="s">
        <v>17</v>
      </c>
      <c r="B64" s="22" t="s">
        <v>112</v>
      </c>
    </row>
    <row r="65" spans="1:20">
      <c r="A65" s="24" t="s">
        <v>17</v>
      </c>
      <c r="B65" s="22" t="s">
        <v>112</v>
      </c>
    </row>
    <row r="66" spans="1:20">
      <c r="A66" s="24" t="s">
        <v>17</v>
      </c>
      <c r="B66" s="22" t="s">
        <v>112</v>
      </c>
    </row>
    <row r="67" spans="1:20">
      <c r="A67" s="24" t="s">
        <v>17</v>
      </c>
      <c r="B67" s="22" t="s">
        <v>112</v>
      </c>
    </row>
    <row r="68" spans="1:20">
      <c r="A68" s="24" t="s">
        <v>17</v>
      </c>
      <c r="B68" s="22" t="s">
        <v>112</v>
      </c>
      <c r="T68" s="45"/>
    </row>
    <row r="69" spans="1:20">
      <c r="A69" s="24" t="s">
        <v>17</v>
      </c>
    </row>
    <row r="70" spans="1:20">
      <c r="A70" s="24" t="s">
        <v>17</v>
      </c>
      <c r="B70" s="24" t="s">
        <v>124</v>
      </c>
      <c r="C70" s="24"/>
      <c r="D70" s="208" t="s">
        <v>1176</v>
      </c>
    </row>
    <row r="71" spans="1:20" s="24" customFormat="1">
      <c r="A71" s="24" t="s">
        <v>17</v>
      </c>
      <c r="G71" s="22"/>
      <c r="H71" s="22"/>
      <c r="I71" s="22"/>
      <c r="J71" s="22"/>
      <c r="K71" s="22"/>
      <c r="L71" s="22"/>
    </row>
    <row r="72" spans="1:20">
      <c r="A72" s="69" t="s">
        <v>95</v>
      </c>
      <c r="B72" s="69" t="s">
        <v>120</v>
      </c>
      <c r="C72" s="69"/>
      <c r="D72" s="212" t="s">
        <v>1181</v>
      </c>
      <c r="E72" s="69"/>
      <c r="F72" s="69"/>
      <c r="G72" s="69"/>
      <c r="H72" s="69"/>
      <c r="I72" s="69"/>
      <c r="J72" s="69"/>
      <c r="K72" s="69"/>
      <c r="L72" s="69"/>
      <c r="M72" s="69"/>
      <c r="N72" s="69"/>
      <c r="O72" s="69"/>
      <c r="P72" s="69"/>
      <c r="Q72" s="69"/>
      <c r="R72" s="69"/>
    </row>
    <row r="73" spans="1:20">
      <c r="A73" s="24" t="s">
        <v>95</v>
      </c>
      <c r="B73" s="24" t="s">
        <v>122</v>
      </c>
      <c r="C73" s="24"/>
      <c r="D73" s="208" t="s">
        <v>1183</v>
      </c>
    </row>
    <row r="74" spans="1:20">
      <c r="A74" s="24" t="s">
        <v>95</v>
      </c>
      <c r="B74" s="24"/>
      <c r="C74" s="24"/>
    </row>
    <row r="75" spans="1:20">
      <c r="A75" s="24" t="s">
        <v>95</v>
      </c>
      <c r="B75" s="24" t="s">
        <v>111</v>
      </c>
      <c r="C75" s="24"/>
      <c r="D75" s="24" t="s">
        <v>19</v>
      </c>
      <c r="E75" s="24" t="s">
        <v>4</v>
      </c>
      <c r="F75" s="24" t="s">
        <v>99</v>
      </c>
      <c r="G75" s="24" t="s">
        <v>52</v>
      </c>
    </row>
    <row r="76" spans="1:20">
      <c r="A76" s="24" t="s">
        <v>95</v>
      </c>
      <c r="B76" s="24" t="s">
        <v>111</v>
      </c>
      <c r="C76" s="24"/>
      <c r="D76" s="235" t="s">
        <v>29</v>
      </c>
      <c r="E76" s="483">
        <v>16873</v>
      </c>
      <c r="F76" s="249">
        <f>표78[[#This Row],[소계]]/E79</f>
        <v>0.3151122399432264</v>
      </c>
    </row>
    <row r="77" spans="1:20">
      <c r="A77" s="24" t="s">
        <v>95</v>
      </c>
      <c r="B77" s="24" t="s">
        <v>111</v>
      </c>
      <c r="C77" s="24"/>
      <c r="D77" s="235" t="s">
        <v>30</v>
      </c>
      <c r="E77" s="483">
        <v>18492</v>
      </c>
      <c r="F77" s="249">
        <f>표78[[#This Row],[소계]]/E79</f>
        <v>0.34534792514847046</v>
      </c>
    </row>
    <row r="78" spans="1:20">
      <c r="A78" s="24" t="s">
        <v>95</v>
      </c>
      <c r="B78" s="24" t="s">
        <v>111</v>
      </c>
      <c r="C78" s="24"/>
      <c r="D78" s="235" t="s">
        <v>35</v>
      </c>
      <c r="E78" s="483">
        <v>18181</v>
      </c>
      <c r="F78" s="249">
        <f>표78[[#This Row],[소계]]/E79</f>
        <v>0.33953983490830314</v>
      </c>
    </row>
    <row r="79" spans="1:20">
      <c r="A79" s="24" t="s">
        <v>95</v>
      </c>
      <c r="B79" s="24" t="s">
        <v>111</v>
      </c>
      <c r="C79" s="24"/>
      <c r="D79" s="235" t="s">
        <v>36</v>
      </c>
      <c r="E79" s="235">
        <f>SUM(E76:E78)</f>
        <v>53546</v>
      </c>
      <c r="F79" s="249">
        <v>1</v>
      </c>
    </row>
    <row r="80" spans="1:20">
      <c r="A80" s="24" t="s">
        <v>95</v>
      </c>
      <c r="B80" s="24" t="s">
        <v>111</v>
      </c>
      <c r="C80" s="24"/>
      <c r="D80" s="235" t="s">
        <v>31</v>
      </c>
      <c r="E80" s="483">
        <v>2964</v>
      </c>
      <c r="F80" s="249">
        <f>표78[[#This Row],[소계]]/E84</f>
        <v>5.5354274829118887E-2</v>
      </c>
    </row>
    <row r="81" spans="1:6">
      <c r="A81" s="24" t="s">
        <v>95</v>
      </c>
      <c r="B81" s="24" t="s">
        <v>111</v>
      </c>
      <c r="C81" s="24"/>
      <c r="D81" s="235" t="s">
        <v>32</v>
      </c>
      <c r="E81" s="483">
        <v>9759</v>
      </c>
      <c r="F81" s="249">
        <f>표78[[#This Row],[소계]]/E84</f>
        <v>0.18225451014081351</v>
      </c>
    </row>
    <row r="82" spans="1:6">
      <c r="A82" s="24" t="s">
        <v>95</v>
      </c>
      <c r="B82" s="24" t="s">
        <v>111</v>
      </c>
      <c r="C82" s="24"/>
      <c r="D82" s="235" t="s">
        <v>34</v>
      </c>
      <c r="E82" s="483">
        <v>26208</v>
      </c>
      <c r="F82" s="249">
        <f>표78[[#This Row],[소계]]/E84</f>
        <v>0.48944832480484068</v>
      </c>
    </row>
    <row r="83" spans="1:6">
      <c r="A83" s="24" t="s">
        <v>95</v>
      </c>
      <c r="B83" s="24" t="s">
        <v>111</v>
      </c>
      <c r="C83" s="24"/>
      <c r="D83" s="235" t="s">
        <v>35</v>
      </c>
      <c r="E83" s="483">
        <v>14615</v>
      </c>
      <c r="F83" s="249">
        <f>표78[[#This Row],[소계]]/E84</f>
        <v>0.27294289022522689</v>
      </c>
    </row>
    <row r="84" spans="1:6">
      <c r="A84" s="24" t="s">
        <v>95</v>
      </c>
      <c r="B84" s="24" t="s">
        <v>111</v>
      </c>
      <c r="C84" s="24"/>
      <c r="D84" s="235" t="s">
        <v>36</v>
      </c>
      <c r="E84" s="235">
        <v>53546</v>
      </c>
      <c r="F84" s="249">
        <v>1</v>
      </c>
    </row>
    <row r="85" spans="1:6">
      <c r="A85" s="24" t="s">
        <v>95</v>
      </c>
      <c r="B85" s="24"/>
      <c r="C85" s="24"/>
    </row>
    <row r="86" spans="1:6">
      <c r="A86" s="24" t="s">
        <v>95</v>
      </c>
      <c r="B86" s="24" t="s">
        <v>112</v>
      </c>
      <c r="C86" s="24"/>
    </row>
    <row r="87" spans="1:6">
      <c r="A87" s="24" t="s">
        <v>95</v>
      </c>
      <c r="B87" s="24" t="s">
        <v>112</v>
      </c>
      <c r="C87" s="24"/>
    </row>
    <row r="88" spans="1:6">
      <c r="A88" s="24" t="s">
        <v>95</v>
      </c>
      <c r="B88" s="24" t="s">
        <v>112</v>
      </c>
      <c r="C88" s="24"/>
    </row>
    <row r="89" spans="1:6">
      <c r="A89" s="24" t="s">
        <v>95</v>
      </c>
      <c r="B89" s="24" t="s">
        <v>112</v>
      </c>
      <c r="C89" s="24"/>
    </row>
    <row r="90" spans="1:6">
      <c r="A90" s="24" t="s">
        <v>95</v>
      </c>
      <c r="B90" s="24" t="s">
        <v>112</v>
      </c>
      <c r="C90" s="24"/>
    </row>
    <row r="91" spans="1:6">
      <c r="A91" s="24" t="s">
        <v>95</v>
      </c>
      <c r="B91" s="24" t="s">
        <v>112</v>
      </c>
      <c r="C91" s="24"/>
    </row>
    <row r="92" spans="1:6">
      <c r="A92" s="24" t="s">
        <v>95</v>
      </c>
      <c r="B92" s="24" t="s">
        <v>112</v>
      </c>
      <c r="C92" s="24"/>
    </row>
    <row r="93" spans="1:6">
      <c r="A93" s="24" t="s">
        <v>95</v>
      </c>
      <c r="B93" s="24" t="s">
        <v>112</v>
      </c>
      <c r="C93" s="24"/>
    </row>
    <row r="94" spans="1:6">
      <c r="A94" s="24" t="s">
        <v>95</v>
      </c>
      <c r="B94" s="24" t="s">
        <v>112</v>
      </c>
      <c r="C94" s="24"/>
    </row>
    <row r="95" spans="1:6">
      <c r="A95" s="24" t="s">
        <v>95</v>
      </c>
      <c r="B95" s="24" t="s">
        <v>112</v>
      </c>
      <c r="C95" s="24"/>
    </row>
    <row r="96" spans="1:6">
      <c r="A96" s="24" t="s">
        <v>95</v>
      </c>
      <c r="B96" s="24" t="s">
        <v>112</v>
      </c>
      <c r="C96" s="24"/>
    </row>
    <row r="97" spans="1:18">
      <c r="A97" s="24" t="s">
        <v>95</v>
      </c>
      <c r="B97" s="24" t="s">
        <v>112</v>
      </c>
      <c r="C97" s="24"/>
    </row>
    <row r="98" spans="1:18">
      <c r="A98" s="24" t="s">
        <v>95</v>
      </c>
      <c r="B98" s="24" t="s">
        <v>112</v>
      </c>
      <c r="C98" s="24"/>
    </row>
    <row r="99" spans="1:18">
      <c r="A99" s="24" t="s">
        <v>95</v>
      </c>
      <c r="B99" s="24" t="s">
        <v>112</v>
      </c>
      <c r="C99" s="24"/>
    </row>
    <row r="100" spans="1:18">
      <c r="A100" s="24" t="s">
        <v>95</v>
      </c>
      <c r="B100" s="24" t="s">
        <v>112</v>
      </c>
      <c r="C100" s="24"/>
    </row>
    <row r="101" spans="1:18">
      <c r="A101" s="24" t="s">
        <v>95</v>
      </c>
    </row>
    <row r="102" spans="1:18">
      <c r="A102" s="24" t="s">
        <v>95</v>
      </c>
      <c r="B102" s="24" t="s">
        <v>124</v>
      </c>
      <c r="C102" s="24"/>
      <c r="D102" s="208" t="s">
        <v>1176</v>
      </c>
    </row>
    <row r="103" spans="1:18" s="24" customFormat="1">
      <c r="A103" s="24" t="s">
        <v>95</v>
      </c>
    </row>
    <row r="104" spans="1:18">
      <c r="A104" s="69" t="s">
        <v>96</v>
      </c>
      <c r="B104" s="69" t="s">
        <v>120</v>
      </c>
      <c r="C104" s="69"/>
      <c r="D104" s="212" t="s">
        <v>1184</v>
      </c>
      <c r="E104" s="69"/>
      <c r="F104" s="69"/>
      <c r="G104" s="69"/>
      <c r="H104" s="69"/>
      <c r="I104" s="69"/>
      <c r="J104" s="69"/>
      <c r="K104" s="69"/>
      <c r="L104" s="69"/>
      <c r="M104" s="69"/>
      <c r="N104" s="69"/>
      <c r="O104" s="69"/>
      <c r="P104" s="69"/>
      <c r="Q104" s="69"/>
      <c r="R104" s="69"/>
    </row>
    <row r="105" spans="1:18">
      <c r="A105" s="24" t="s">
        <v>96</v>
      </c>
      <c r="B105" s="24" t="s">
        <v>122</v>
      </c>
      <c r="C105" s="24"/>
      <c r="D105" s="208" t="s">
        <v>1186</v>
      </c>
    </row>
    <row r="106" spans="1:18">
      <c r="A106" s="24" t="s">
        <v>96</v>
      </c>
      <c r="B106" s="24"/>
      <c r="C106" s="24"/>
    </row>
    <row r="107" spans="1:18">
      <c r="A107" s="24" t="s">
        <v>96</v>
      </c>
      <c r="B107" s="24" t="s">
        <v>111</v>
      </c>
      <c r="C107" s="24"/>
      <c r="D107" s="24" t="s">
        <v>19</v>
      </c>
      <c r="E107" s="24" t="s">
        <v>38</v>
      </c>
      <c r="F107" s="24" t="s">
        <v>39</v>
      </c>
      <c r="G107" s="24" t="s">
        <v>40</v>
      </c>
      <c r="H107" s="24" t="s">
        <v>41</v>
      </c>
      <c r="I107" s="24" t="s">
        <v>42</v>
      </c>
      <c r="J107" s="24" t="s">
        <v>99</v>
      </c>
      <c r="K107" s="24" t="s">
        <v>51</v>
      </c>
    </row>
    <row r="108" spans="1:18">
      <c r="A108" s="24" t="s">
        <v>96</v>
      </c>
      <c r="B108" s="24" t="s">
        <v>111</v>
      </c>
      <c r="C108" s="24"/>
      <c r="D108" s="24" t="s">
        <v>621</v>
      </c>
      <c r="E108" s="235">
        <v>1027</v>
      </c>
      <c r="F108" s="235">
        <v>16873</v>
      </c>
      <c r="G108" s="235">
        <v>18492</v>
      </c>
      <c r="H108" s="235">
        <v>18181</v>
      </c>
      <c r="I108" s="235">
        <v>53546</v>
      </c>
      <c r="J108" s="249">
        <v>1</v>
      </c>
      <c r="K108" s="24"/>
    </row>
    <row r="109" spans="1:18">
      <c r="A109" s="24" t="s">
        <v>96</v>
      </c>
      <c r="B109" s="24" t="s">
        <v>111</v>
      </c>
      <c r="C109" s="24"/>
      <c r="D109" s="24" t="s">
        <v>103</v>
      </c>
      <c r="E109" s="235">
        <v>100</v>
      </c>
      <c r="F109" s="250">
        <v>31.5</v>
      </c>
      <c r="G109" s="250">
        <v>34.5</v>
      </c>
      <c r="H109" s="250">
        <v>34</v>
      </c>
      <c r="I109" s="235">
        <v>100</v>
      </c>
      <c r="J109" s="249">
        <v>1</v>
      </c>
      <c r="K109" s="24"/>
    </row>
    <row r="110" spans="1:18">
      <c r="A110" s="24" t="s">
        <v>96</v>
      </c>
      <c r="B110" s="24" t="s">
        <v>111</v>
      </c>
      <c r="C110" s="24"/>
      <c r="D110" s="24" t="s">
        <v>43</v>
      </c>
      <c r="E110" s="235">
        <v>326</v>
      </c>
      <c r="F110" s="235">
        <v>7451</v>
      </c>
      <c r="G110" s="235">
        <v>6802</v>
      </c>
      <c r="H110" s="235">
        <v>7579</v>
      </c>
      <c r="I110" s="235">
        <v>21832</v>
      </c>
      <c r="J110" s="484">
        <v>40.799999999999997</v>
      </c>
      <c r="K110" s="24"/>
      <c r="L110" s="45"/>
      <c r="M110" s="45"/>
      <c r="N110" s="45"/>
    </row>
    <row r="111" spans="1:18">
      <c r="A111" s="24" t="s">
        <v>96</v>
      </c>
      <c r="B111" s="24" t="s">
        <v>111</v>
      </c>
      <c r="C111" s="24"/>
      <c r="D111" s="24" t="s">
        <v>44</v>
      </c>
      <c r="E111" s="235">
        <v>191</v>
      </c>
      <c r="F111" s="235">
        <v>2119</v>
      </c>
      <c r="G111" s="235">
        <v>2471</v>
      </c>
      <c r="H111" s="235">
        <v>2294</v>
      </c>
      <c r="I111" s="235">
        <v>6884</v>
      </c>
      <c r="J111" s="484">
        <v>12.9</v>
      </c>
      <c r="K111" s="24"/>
    </row>
    <row r="112" spans="1:18">
      <c r="A112" s="24" t="s">
        <v>96</v>
      </c>
      <c r="B112" s="24" t="s">
        <v>111</v>
      </c>
      <c r="C112" s="24"/>
      <c r="D112" s="24" t="s">
        <v>45</v>
      </c>
      <c r="E112" s="235">
        <v>170</v>
      </c>
      <c r="F112" s="235">
        <v>1592</v>
      </c>
      <c r="G112" s="235">
        <v>3432</v>
      </c>
      <c r="H112" s="235">
        <v>2215</v>
      </c>
      <c r="I112" s="235">
        <v>7239</v>
      </c>
      <c r="J112" s="484">
        <v>13.5</v>
      </c>
      <c r="K112" s="24"/>
    </row>
    <row r="113" spans="1:11">
      <c r="A113" s="24" t="s">
        <v>96</v>
      </c>
      <c r="B113" s="24" t="s">
        <v>111</v>
      </c>
      <c r="C113" s="24"/>
      <c r="D113" s="24" t="s">
        <v>46</v>
      </c>
      <c r="E113" s="235">
        <v>64</v>
      </c>
      <c r="F113" s="235">
        <v>372</v>
      </c>
      <c r="G113" s="235">
        <v>392</v>
      </c>
      <c r="H113" s="235">
        <v>270</v>
      </c>
      <c r="I113" s="235">
        <v>1034</v>
      </c>
      <c r="J113" s="484">
        <v>1.9</v>
      </c>
      <c r="K113" s="24"/>
    </row>
    <row r="114" spans="1:11">
      <c r="A114" s="24" t="s">
        <v>96</v>
      </c>
      <c r="B114" s="24" t="s">
        <v>111</v>
      </c>
      <c r="C114" s="24"/>
      <c r="D114" s="24" t="s">
        <v>47</v>
      </c>
      <c r="E114" s="235">
        <v>96</v>
      </c>
      <c r="F114" s="235">
        <v>1648</v>
      </c>
      <c r="G114" s="235">
        <v>2240</v>
      </c>
      <c r="H114" s="235">
        <v>2332</v>
      </c>
      <c r="I114" s="235">
        <v>6220</v>
      </c>
      <c r="J114" s="484">
        <v>11.6</v>
      </c>
      <c r="K114" s="24"/>
    </row>
    <row r="115" spans="1:11">
      <c r="A115" s="24" t="s">
        <v>96</v>
      </c>
      <c r="B115" s="24" t="s">
        <v>111</v>
      </c>
      <c r="C115" s="24"/>
      <c r="D115" s="24" t="s">
        <v>48</v>
      </c>
      <c r="E115" s="235">
        <v>62</v>
      </c>
      <c r="F115" s="235">
        <v>507</v>
      </c>
      <c r="G115" s="235">
        <v>744</v>
      </c>
      <c r="H115" s="235">
        <v>1144</v>
      </c>
      <c r="I115" s="235">
        <v>2395</v>
      </c>
      <c r="J115" s="484">
        <v>4.5</v>
      </c>
      <c r="K115" s="24"/>
    </row>
    <row r="116" spans="1:11">
      <c r="A116" s="24" t="s">
        <v>96</v>
      </c>
      <c r="B116" s="24" t="s">
        <v>111</v>
      </c>
      <c r="C116" s="24"/>
      <c r="D116" s="24" t="s">
        <v>49</v>
      </c>
      <c r="E116" s="235">
        <v>15</v>
      </c>
      <c r="F116" s="235">
        <v>283</v>
      </c>
      <c r="G116" s="235">
        <v>305</v>
      </c>
      <c r="H116" s="235">
        <v>490</v>
      </c>
      <c r="I116" s="235">
        <v>1078</v>
      </c>
      <c r="J116" s="484">
        <v>2</v>
      </c>
      <c r="K116" s="24"/>
    </row>
    <row r="117" spans="1:11">
      <c r="A117" s="24" t="s">
        <v>96</v>
      </c>
      <c r="B117" s="24" t="s">
        <v>111</v>
      </c>
      <c r="C117" s="24"/>
      <c r="D117" s="24" t="s">
        <v>50</v>
      </c>
      <c r="E117" s="235">
        <v>103</v>
      </c>
      <c r="F117" s="235">
        <v>2901</v>
      </c>
      <c r="G117" s="235">
        <v>2106</v>
      </c>
      <c r="H117" s="235">
        <v>1857</v>
      </c>
      <c r="I117" s="235">
        <v>6864</v>
      </c>
      <c r="J117" s="484">
        <v>12.8</v>
      </c>
      <c r="K117" s="24"/>
    </row>
    <row r="118" spans="1:11">
      <c r="A118" s="24" t="s">
        <v>96</v>
      </c>
      <c r="B118" s="24"/>
      <c r="C118" s="24"/>
      <c r="D118" s="24"/>
      <c r="E118" s="24"/>
      <c r="F118" s="24"/>
      <c r="G118" s="24"/>
      <c r="H118" s="24"/>
      <c r="I118" s="24"/>
      <c r="J118" s="24"/>
      <c r="K118" s="24"/>
    </row>
    <row r="119" spans="1:11">
      <c r="A119" s="24" t="s">
        <v>96</v>
      </c>
      <c r="B119" s="24" t="s">
        <v>112</v>
      </c>
      <c r="C119" s="24"/>
      <c r="D119" s="24"/>
      <c r="E119" s="24"/>
      <c r="F119" s="24"/>
      <c r="G119" s="24"/>
      <c r="H119" s="24"/>
      <c r="I119" s="24"/>
      <c r="J119" s="24"/>
      <c r="K119" s="24"/>
    </row>
    <row r="120" spans="1:11">
      <c r="A120" s="24" t="s">
        <v>96</v>
      </c>
      <c r="B120" s="24" t="s">
        <v>112</v>
      </c>
      <c r="C120" s="24"/>
      <c r="D120" s="24"/>
      <c r="E120" s="24"/>
      <c r="F120" s="24"/>
      <c r="G120" s="24"/>
      <c r="H120" s="24"/>
      <c r="I120" s="24"/>
      <c r="J120" s="24"/>
      <c r="K120" s="24"/>
    </row>
    <row r="121" spans="1:11">
      <c r="A121" s="24" t="s">
        <v>96</v>
      </c>
      <c r="B121" s="24" t="s">
        <v>112</v>
      </c>
      <c r="C121" s="24"/>
      <c r="D121" s="24"/>
      <c r="E121" s="24"/>
      <c r="F121" s="24"/>
      <c r="G121" s="24"/>
      <c r="H121" s="24"/>
      <c r="I121" s="24"/>
      <c r="J121" s="24"/>
      <c r="K121" s="24"/>
    </row>
    <row r="122" spans="1:11">
      <c r="A122" s="24" t="s">
        <v>96</v>
      </c>
      <c r="B122" s="24" t="s">
        <v>112</v>
      </c>
      <c r="C122" s="24"/>
      <c r="D122" s="24"/>
      <c r="E122" s="24"/>
      <c r="F122" s="24"/>
      <c r="G122" s="24"/>
      <c r="H122" s="24"/>
      <c r="I122" s="24"/>
      <c r="J122" s="24"/>
      <c r="K122" s="24"/>
    </row>
    <row r="123" spans="1:11">
      <c r="A123" s="24" t="s">
        <v>96</v>
      </c>
      <c r="B123" s="24" t="s">
        <v>112</v>
      </c>
      <c r="C123" s="24"/>
      <c r="D123" s="24"/>
      <c r="E123" s="24"/>
      <c r="F123" s="24"/>
      <c r="G123" s="24"/>
      <c r="H123" s="24"/>
      <c r="I123" s="24"/>
      <c r="J123" s="24"/>
      <c r="K123" s="24"/>
    </row>
    <row r="124" spans="1:11">
      <c r="A124" s="24" t="s">
        <v>96</v>
      </c>
      <c r="B124" s="24" t="s">
        <v>112</v>
      </c>
      <c r="C124" s="24"/>
      <c r="D124" s="24"/>
      <c r="E124" s="24"/>
      <c r="F124" s="24"/>
      <c r="G124" s="24"/>
      <c r="H124" s="24"/>
      <c r="I124" s="24"/>
      <c r="J124" s="24"/>
      <c r="K124" s="24"/>
    </row>
    <row r="125" spans="1:11">
      <c r="A125" s="24" t="s">
        <v>96</v>
      </c>
      <c r="B125" s="24" t="s">
        <v>112</v>
      </c>
      <c r="C125" s="24"/>
      <c r="D125" s="24"/>
      <c r="E125" s="24"/>
      <c r="F125" s="24"/>
      <c r="G125" s="24"/>
      <c r="H125" s="24"/>
      <c r="I125" s="24"/>
      <c r="J125" s="24"/>
      <c r="K125" s="24"/>
    </row>
    <row r="126" spans="1:11">
      <c r="A126" s="24" t="s">
        <v>96</v>
      </c>
      <c r="B126" s="24" t="s">
        <v>112</v>
      </c>
      <c r="C126" s="24"/>
      <c r="D126" s="24"/>
      <c r="E126" s="24"/>
      <c r="F126" s="24"/>
      <c r="G126" s="24"/>
      <c r="H126" s="24"/>
      <c r="I126" s="24"/>
      <c r="J126" s="24"/>
      <c r="K126" s="24"/>
    </row>
    <row r="127" spans="1:11">
      <c r="A127" s="24" t="s">
        <v>96</v>
      </c>
      <c r="B127" s="24" t="s">
        <v>112</v>
      </c>
      <c r="C127" s="24"/>
      <c r="D127" s="24"/>
      <c r="E127" s="24"/>
      <c r="F127" s="24"/>
      <c r="G127" s="24"/>
      <c r="H127" s="24"/>
      <c r="I127" s="24"/>
      <c r="J127" s="24"/>
      <c r="K127" s="24"/>
    </row>
    <row r="128" spans="1:11">
      <c r="A128" s="24" t="s">
        <v>96</v>
      </c>
      <c r="B128" s="24" t="s">
        <v>112</v>
      </c>
      <c r="C128" s="24"/>
    </row>
    <row r="129" spans="1:19">
      <c r="A129" s="24" t="s">
        <v>96</v>
      </c>
      <c r="B129" s="24" t="s">
        <v>112</v>
      </c>
      <c r="C129" s="24"/>
    </row>
    <row r="130" spans="1:19">
      <c r="A130" s="24" t="s">
        <v>96</v>
      </c>
      <c r="B130" s="24" t="s">
        <v>112</v>
      </c>
      <c r="C130" s="24"/>
    </row>
    <row r="131" spans="1:19">
      <c r="A131" s="24" t="s">
        <v>96</v>
      </c>
      <c r="B131" s="24" t="s">
        <v>112</v>
      </c>
      <c r="C131" s="24"/>
    </row>
    <row r="132" spans="1:19">
      <c r="A132" s="24" t="s">
        <v>96</v>
      </c>
      <c r="B132" s="24" t="s">
        <v>112</v>
      </c>
      <c r="C132" s="24"/>
    </row>
    <row r="133" spans="1:19">
      <c r="A133" s="24" t="s">
        <v>96</v>
      </c>
      <c r="B133" s="24" t="s">
        <v>112</v>
      </c>
      <c r="C133" s="24"/>
    </row>
    <row r="134" spans="1:19">
      <c r="A134" s="24" t="s">
        <v>96</v>
      </c>
    </row>
    <row r="135" spans="1:19">
      <c r="A135" s="24" t="s">
        <v>96</v>
      </c>
      <c r="B135" s="24" t="s">
        <v>124</v>
      </c>
      <c r="C135" s="24"/>
      <c r="D135" s="208" t="s">
        <v>1176</v>
      </c>
    </row>
    <row r="136" spans="1:19" s="24" customFormat="1">
      <c r="A136" s="24" t="s">
        <v>96</v>
      </c>
    </row>
    <row r="137" spans="1:19">
      <c r="A137" s="69" t="s">
        <v>97</v>
      </c>
      <c r="B137" s="69" t="s">
        <v>120</v>
      </c>
      <c r="C137" s="69"/>
      <c r="D137" s="212" t="s">
        <v>1187</v>
      </c>
      <c r="E137" s="69"/>
      <c r="F137" s="69"/>
      <c r="G137" s="69"/>
      <c r="H137" s="69"/>
      <c r="I137" s="69"/>
      <c r="J137" s="69"/>
      <c r="K137" s="69"/>
      <c r="L137" s="69"/>
      <c r="M137" s="69"/>
      <c r="N137" s="69"/>
      <c r="O137" s="69"/>
      <c r="P137" s="69"/>
      <c r="Q137" s="69"/>
      <c r="R137" s="69"/>
    </row>
    <row r="138" spans="1:19">
      <c r="A138" s="24" t="s">
        <v>97</v>
      </c>
      <c r="B138" s="24" t="s">
        <v>122</v>
      </c>
      <c r="C138" s="24"/>
      <c r="D138" s="208" t="s">
        <v>1189</v>
      </c>
    </row>
    <row r="139" spans="1:19">
      <c r="A139" s="24" t="s">
        <v>97</v>
      </c>
      <c r="O139" s="24"/>
      <c r="P139" s="24"/>
      <c r="Q139" s="24"/>
      <c r="R139" s="24"/>
      <c r="S139" s="24"/>
    </row>
    <row r="140" spans="1:19">
      <c r="A140" s="24" t="s">
        <v>97</v>
      </c>
      <c r="B140" s="24" t="s">
        <v>111</v>
      </c>
      <c r="C140" s="24"/>
      <c r="D140" s="24" t="s">
        <v>19</v>
      </c>
      <c r="E140" s="24" t="s">
        <v>14</v>
      </c>
      <c r="F140" s="24" t="s">
        <v>13</v>
      </c>
      <c r="G140" s="24" t="s">
        <v>33</v>
      </c>
      <c r="H140" s="24" t="s">
        <v>6</v>
      </c>
      <c r="I140" s="24" t="s">
        <v>42</v>
      </c>
      <c r="J140" s="24" t="s">
        <v>99</v>
      </c>
      <c r="K140" s="24" t="s">
        <v>37</v>
      </c>
      <c r="O140" s="65"/>
      <c r="P140" s="65"/>
      <c r="Q140" s="65"/>
      <c r="R140" s="65"/>
      <c r="S140" s="65"/>
    </row>
    <row r="141" spans="1:19">
      <c r="A141" s="24" t="s">
        <v>97</v>
      </c>
      <c r="B141" s="24" t="s">
        <v>111</v>
      </c>
      <c r="C141" s="24"/>
      <c r="D141" s="24" t="s">
        <v>102</v>
      </c>
      <c r="E141" s="235">
        <v>2964</v>
      </c>
      <c r="F141" s="235">
        <v>9759</v>
      </c>
      <c r="G141" s="235">
        <v>26208</v>
      </c>
      <c r="H141" s="235">
        <v>14615</v>
      </c>
      <c r="I141" s="235">
        <v>53546</v>
      </c>
      <c r="J141" s="249">
        <v>1</v>
      </c>
      <c r="K141" s="24"/>
      <c r="O141" s="24"/>
      <c r="P141" s="24"/>
      <c r="Q141" s="24"/>
      <c r="R141" s="24"/>
      <c r="S141" s="24"/>
    </row>
    <row r="142" spans="1:19">
      <c r="A142" s="24" t="s">
        <v>97</v>
      </c>
      <c r="B142" s="24" t="s">
        <v>111</v>
      </c>
      <c r="C142" s="24"/>
      <c r="D142" s="24" t="s">
        <v>103</v>
      </c>
      <c r="E142" s="250">
        <v>5.5</v>
      </c>
      <c r="F142" s="250">
        <v>18.2</v>
      </c>
      <c r="G142" s="250">
        <v>48.9</v>
      </c>
      <c r="H142" s="250">
        <v>27.3</v>
      </c>
      <c r="I142" s="235">
        <v>100</v>
      </c>
      <c r="J142" s="249">
        <v>1</v>
      </c>
      <c r="K142" s="24"/>
      <c r="O142" s="56"/>
      <c r="P142" s="56"/>
      <c r="Q142" s="56"/>
      <c r="R142" s="56"/>
      <c r="S142" s="24"/>
    </row>
    <row r="143" spans="1:19">
      <c r="A143" s="24" t="s">
        <v>97</v>
      </c>
      <c r="B143" s="24" t="s">
        <v>111</v>
      </c>
      <c r="C143" s="24"/>
      <c r="D143" s="24" t="s">
        <v>43</v>
      </c>
      <c r="E143" s="235">
        <v>1488</v>
      </c>
      <c r="F143" s="235">
        <v>4709</v>
      </c>
      <c r="G143" s="235">
        <v>10710</v>
      </c>
      <c r="H143" s="235">
        <v>4925</v>
      </c>
      <c r="I143" s="235">
        <v>21832</v>
      </c>
      <c r="J143" s="485">
        <v>40.799999999999997</v>
      </c>
      <c r="K143" s="24"/>
      <c r="L143" s="45"/>
      <c r="M143" s="45"/>
      <c r="N143" s="45"/>
      <c r="O143" s="56"/>
      <c r="P143" s="24"/>
      <c r="Q143" s="24"/>
      <c r="R143" s="24"/>
      <c r="S143" s="24"/>
    </row>
    <row r="144" spans="1:19">
      <c r="A144" s="24" t="s">
        <v>97</v>
      </c>
      <c r="B144" s="24" t="s">
        <v>111</v>
      </c>
      <c r="C144" s="24"/>
      <c r="D144" s="24" t="s">
        <v>44</v>
      </c>
      <c r="E144" s="235">
        <v>324</v>
      </c>
      <c r="F144" s="235">
        <v>1184</v>
      </c>
      <c r="G144" s="235">
        <v>3223</v>
      </c>
      <c r="H144" s="235">
        <v>2153</v>
      </c>
      <c r="I144" s="235">
        <v>6884</v>
      </c>
      <c r="J144" s="485">
        <v>12.9</v>
      </c>
      <c r="K144" s="24"/>
      <c r="O144" s="24"/>
      <c r="P144" s="24"/>
      <c r="Q144" s="24"/>
      <c r="R144" s="24"/>
      <c r="S144" s="24"/>
    </row>
    <row r="145" spans="1:11">
      <c r="A145" s="24" t="s">
        <v>97</v>
      </c>
      <c r="B145" s="24" t="s">
        <v>111</v>
      </c>
      <c r="C145" s="24"/>
      <c r="D145" s="24" t="s">
        <v>45</v>
      </c>
      <c r="E145" s="235">
        <v>309</v>
      </c>
      <c r="F145" s="235">
        <v>887</v>
      </c>
      <c r="G145" s="235">
        <v>3155</v>
      </c>
      <c r="H145" s="235">
        <v>2888</v>
      </c>
      <c r="I145" s="235">
        <v>7239</v>
      </c>
      <c r="J145" s="485">
        <v>13.5</v>
      </c>
      <c r="K145" s="24"/>
    </row>
    <row r="146" spans="1:11">
      <c r="A146" s="24" t="s">
        <v>97</v>
      </c>
      <c r="B146" s="24" t="s">
        <v>111</v>
      </c>
      <c r="C146" s="24"/>
      <c r="D146" s="24" t="s">
        <v>46</v>
      </c>
      <c r="E146" s="235">
        <v>35</v>
      </c>
      <c r="F146" s="235">
        <v>138</v>
      </c>
      <c r="G146" s="235">
        <v>617</v>
      </c>
      <c r="H146" s="235">
        <v>244</v>
      </c>
      <c r="I146" s="235">
        <v>1034</v>
      </c>
      <c r="J146" s="485">
        <v>1.9</v>
      </c>
      <c r="K146" s="24"/>
    </row>
    <row r="147" spans="1:11">
      <c r="A147" s="24" t="s">
        <v>97</v>
      </c>
      <c r="B147" s="24" t="s">
        <v>111</v>
      </c>
      <c r="C147" s="24"/>
      <c r="D147" s="24" t="s">
        <v>47</v>
      </c>
      <c r="E147" s="235">
        <v>302</v>
      </c>
      <c r="F147" s="235">
        <v>1061</v>
      </c>
      <c r="G147" s="235">
        <v>2961</v>
      </c>
      <c r="H147" s="235">
        <v>1896</v>
      </c>
      <c r="I147" s="235">
        <v>6220</v>
      </c>
      <c r="J147" s="485">
        <v>11.6</v>
      </c>
      <c r="K147" s="24"/>
    </row>
    <row r="148" spans="1:11">
      <c r="A148" s="24" t="s">
        <v>97</v>
      </c>
      <c r="B148" s="24" t="s">
        <v>111</v>
      </c>
      <c r="C148" s="24"/>
      <c r="D148" s="24" t="s">
        <v>48</v>
      </c>
      <c r="E148" s="235">
        <v>65</v>
      </c>
      <c r="F148" s="235">
        <v>213</v>
      </c>
      <c r="G148" s="235">
        <v>1341</v>
      </c>
      <c r="H148" s="235">
        <v>776</v>
      </c>
      <c r="I148" s="235">
        <v>2395</v>
      </c>
      <c r="J148" s="485">
        <v>4.5</v>
      </c>
      <c r="K148" s="24"/>
    </row>
    <row r="149" spans="1:11">
      <c r="A149" s="24" t="s">
        <v>97</v>
      </c>
      <c r="B149" s="24" t="s">
        <v>111</v>
      </c>
      <c r="C149" s="24"/>
      <c r="D149" s="24" t="s">
        <v>49</v>
      </c>
      <c r="E149" s="235">
        <v>54</v>
      </c>
      <c r="F149" s="235">
        <v>155</v>
      </c>
      <c r="G149" s="235">
        <v>501</v>
      </c>
      <c r="H149" s="235">
        <v>368</v>
      </c>
      <c r="I149" s="235">
        <v>1078</v>
      </c>
      <c r="J149" s="485">
        <v>2</v>
      </c>
      <c r="K149" s="24"/>
    </row>
    <row r="150" spans="1:11">
      <c r="A150" s="24" t="s">
        <v>97</v>
      </c>
      <c r="B150" s="24" t="s">
        <v>111</v>
      </c>
      <c r="C150" s="24"/>
      <c r="D150" s="24" t="s">
        <v>50</v>
      </c>
      <c r="E150" s="235">
        <v>387</v>
      </c>
      <c r="F150" s="235">
        <v>1412</v>
      </c>
      <c r="G150" s="235">
        <v>3700</v>
      </c>
      <c r="H150" s="235">
        <v>1365</v>
      </c>
      <c r="I150" s="235">
        <v>6864</v>
      </c>
      <c r="J150" s="485">
        <v>12.8</v>
      </c>
      <c r="K150" s="24"/>
    </row>
    <row r="151" spans="1:11">
      <c r="A151" s="24" t="s">
        <v>97</v>
      </c>
      <c r="B151" s="24"/>
      <c r="C151" s="24"/>
      <c r="D151" s="24"/>
      <c r="E151" s="24"/>
      <c r="F151" s="24"/>
      <c r="G151" s="24"/>
      <c r="H151" s="24"/>
      <c r="I151" s="24"/>
      <c r="J151" s="24"/>
      <c r="K151" s="24"/>
    </row>
    <row r="152" spans="1:11">
      <c r="A152" s="24" t="s">
        <v>97</v>
      </c>
      <c r="B152" s="24" t="s">
        <v>112</v>
      </c>
      <c r="C152" s="24"/>
      <c r="D152" s="24"/>
      <c r="E152" s="24"/>
      <c r="F152" s="24"/>
      <c r="G152" s="24"/>
      <c r="H152" s="24"/>
      <c r="I152" s="24"/>
      <c r="J152" s="24"/>
      <c r="K152" s="24"/>
    </row>
    <row r="153" spans="1:11">
      <c r="A153" s="24" t="s">
        <v>97</v>
      </c>
      <c r="B153" s="24" t="s">
        <v>112</v>
      </c>
      <c r="C153" s="24"/>
      <c r="D153" s="24"/>
      <c r="E153" s="24"/>
      <c r="F153" s="24"/>
      <c r="G153" s="24"/>
      <c r="H153" s="24"/>
      <c r="I153" s="24"/>
      <c r="J153" s="24"/>
      <c r="K153" s="24"/>
    </row>
    <row r="154" spans="1:11">
      <c r="A154" s="24" t="s">
        <v>97</v>
      </c>
      <c r="B154" s="24" t="s">
        <v>112</v>
      </c>
      <c r="C154" s="24"/>
      <c r="D154" s="24"/>
      <c r="E154" s="24"/>
      <c r="F154" s="24"/>
      <c r="G154" s="24"/>
      <c r="H154" s="24"/>
      <c r="I154" s="24"/>
      <c r="J154" s="24"/>
      <c r="K154" s="24"/>
    </row>
    <row r="155" spans="1:11">
      <c r="A155" s="24" t="s">
        <v>97</v>
      </c>
      <c r="B155" s="24" t="s">
        <v>112</v>
      </c>
      <c r="C155" s="24"/>
      <c r="D155" s="24"/>
      <c r="E155" s="24"/>
      <c r="F155" s="24"/>
      <c r="G155" s="24"/>
      <c r="H155" s="24"/>
      <c r="I155" s="24"/>
      <c r="J155" s="24"/>
      <c r="K155" s="24"/>
    </row>
    <row r="156" spans="1:11">
      <c r="A156" s="24" t="s">
        <v>97</v>
      </c>
      <c r="B156" s="24" t="s">
        <v>112</v>
      </c>
      <c r="C156" s="24"/>
      <c r="D156" s="24"/>
      <c r="E156" s="24"/>
      <c r="F156" s="24"/>
      <c r="G156" s="24"/>
      <c r="H156" s="24"/>
      <c r="I156" s="24"/>
      <c r="J156" s="24"/>
      <c r="K156" s="24"/>
    </row>
    <row r="157" spans="1:11">
      <c r="A157" s="24" t="s">
        <v>97</v>
      </c>
      <c r="B157" s="24" t="s">
        <v>112</v>
      </c>
      <c r="C157" s="24"/>
      <c r="D157" s="24"/>
      <c r="E157" s="24"/>
      <c r="F157" s="24"/>
      <c r="G157" s="24"/>
      <c r="H157" s="24"/>
      <c r="I157" s="24"/>
      <c r="J157" s="24"/>
      <c r="K157" s="24"/>
    </row>
    <row r="158" spans="1:11">
      <c r="A158" s="24" t="s">
        <v>97</v>
      </c>
      <c r="B158" s="24" t="s">
        <v>112</v>
      </c>
      <c r="C158" s="24"/>
      <c r="D158" s="24"/>
      <c r="E158" s="24"/>
      <c r="F158" s="24"/>
      <c r="G158" s="24"/>
      <c r="H158" s="24"/>
      <c r="I158" s="24"/>
      <c r="J158" s="24"/>
      <c r="K158" s="24"/>
    </row>
    <row r="159" spans="1:11">
      <c r="A159" s="24" t="s">
        <v>97</v>
      </c>
      <c r="B159" s="24" t="s">
        <v>112</v>
      </c>
      <c r="C159" s="24"/>
      <c r="D159" s="24"/>
      <c r="E159" s="24"/>
      <c r="F159" s="24"/>
      <c r="G159" s="24"/>
      <c r="H159" s="24"/>
      <c r="I159" s="24"/>
      <c r="J159" s="24"/>
      <c r="K159" s="24"/>
    </row>
    <row r="160" spans="1:11">
      <c r="A160" s="24" t="s">
        <v>97</v>
      </c>
      <c r="B160" s="24" t="s">
        <v>112</v>
      </c>
      <c r="C160" s="24"/>
      <c r="D160" s="24"/>
      <c r="E160" s="24"/>
      <c r="F160" s="24"/>
      <c r="G160" s="24"/>
      <c r="H160" s="24"/>
      <c r="I160" s="24"/>
      <c r="J160" s="24"/>
      <c r="K160" s="24"/>
    </row>
    <row r="161" spans="1:18">
      <c r="A161" s="24" t="s">
        <v>97</v>
      </c>
      <c r="B161" s="24" t="s">
        <v>112</v>
      </c>
      <c r="C161" s="24"/>
    </row>
    <row r="162" spans="1:18">
      <c r="A162" s="24" t="s">
        <v>97</v>
      </c>
      <c r="B162" s="24" t="s">
        <v>112</v>
      </c>
      <c r="C162" s="24"/>
    </row>
    <row r="163" spans="1:18">
      <c r="A163" s="24" t="s">
        <v>97</v>
      </c>
      <c r="B163" s="24" t="s">
        <v>112</v>
      </c>
      <c r="C163" s="24"/>
    </row>
    <row r="164" spans="1:18">
      <c r="A164" s="24" t="s">
        <v>97</v>
      </c>
      <c r="B164" s="24" t="s">
        <v>112</v>
      </c>
      <c r="C164" s="24"/>
    </row>
    <row r="165" spans="1:18">
      <c r="A165" s="24" t="s">
        <v>97</v>
      </c>
      <c r="B165" s="24" t="s">
        <v>112</v>
      </c>
      <c r="C165" s="24"/>
    </row>
    <row r="166" spans="1:18">
      <c r="A166" s="24" t="s">
        <v>97</v>
      </c>
      <c r="B166" s="24" t="s">
        <v>112</v>
      </c>
      <c r="C166" s="24"/>
    </row>
    <row r="167" spans="1:18">
      <c r="A167" s="24" t="s">
        <v>97</v>
      </c>
    </row>
    <row r="168" spans="1:18">
      <c r="A168" s="24" t="s">
        <v>97</v>
      </c>
      <c r="B168" s="24" t="s">
        <v>124</v>
      </c>
      <c r="C168" s="24"/>
      <c r="D168" s="208" t="s">
        <v>1176</v>
      </c>
    </row>
    <row r="169" spans="1:18" s="24" customFormat="1">
      <c r="A169" s="24" t="s">
        <v>97</v>
      </c>
    </row>
    <row r="170" spans="1:18">
      <c r="A170" s="69" t="s">
        <v>98</v>
      </c>
      <c r="B170" s="69" t="s">
        <v>120</v>
      </c>
      <c r="C170" s="69"/>
      <c r="D170" s="212" t="s">
        <v>1190</v>
      </c>
      <c r="E170" s="69"/>
      <c r="F170" s="69"/>
      <c r="G170" s="69"/>
      <c r="H170" s="69"/>
      <c r="I170" s="69"/>
      <c r="J170" s="69"/>
      <c r="K170" s="69"/>
      <c r="L170" s="69"/>
      <c r="M170" s="69"/>
      <c r="N170" s="69"/>
      <c r="O170" s="69"/>
      <c r="P170" s="69"/>
      <c r="Q170" s="69"/>
      <c r="R170" s="69"/>
    </row>
    <row r="171" spans="1:18">
      <c r="A171" s="24" t="s">
        <v>98</v>
      </c>
      <c r="B171" s="24" t="s">
        <v>122</v>
      </c>
      <c r="C171" s="24"/>
      <c r="D171" s="208" t="s">
        <v>1192</v>
      </c>
    </row>
    <row r="172" spans="1:18">
      <c r="A172" s="24" t="s">
        <v>98</v>
      </c>
    </row>
    <row r="173" spans="1:18">
      <c r="A173" s="24" t="s">
        <v>98</v>
      </c>
      <c r="B173" s="24" t="s">
        <v>111</v>
      </c>
      <c r="C173" s="24"/>
      <c r="D173" s="24" t="s">
        <v>19</v>
      </c>
      <c r="E173" s="24" t="s">
        <v>14</v>
      </c>
      <c r="F173" s="24" t="s">
        <v>13</v>
      </c>
      <c r="G173" s="24" t="s">
        <v>33</v>
      </c>
      <c r="H173" s="24" t="s">
        <v>6</v>
      </c>
      <c r="I173" s="24" t="s">
        <v>42</v>
      </c>
      <c r="J173" s="24" t="s">
        <v>99</v>
      </c>
      <c r="K173" s="24" t="s">
        <v>52</v>
      </c>
      <c r="P173" s="64"/>
      <c r="Q173" s="486"/>
    </row>
    <row r="174" spans="1:18">
      <c r="A174" s="24" t="s">
        <v>98</v>
      </c>
      <c r="B174" s="24" t="s">
        <v>111</v>
      </c>
      <c r="C174" s="24"/>
      <c r="D174" s="24" t="s">
        <v>102</v>
      </c>
      <c r="E174" s="235">
        <v>2964</v>
      </c>
      <c r="F174" s="235">
        <v>9759</v>
      </c>
      <c r="G174" s="235">
        <v>26208</v>
      </c>
      <c r="H174" s="235">
        <v>14615</v>
      </c>
      <c r="I174" s="235">
        <v>53546</v>
      </c>
      <c r="J174" s="249">
        <v>1</v>
      </c>
      <c r="M174" s="24"/>
      <c r="N174" s="24"/>
      <c r="O174" s="24"/>
      <c r="P174" s="64"/>
      <c r="Q174" s="486"/>
    </row>
    <row r="175" spans="1:18">
      <c r="A175" s="24" t="s">
        <v>98</v>
      </c>
      <c r="B175" s="24" t="s">
        <v>111</v>
      </c>
      <c r="C175" s="24"/>
      <c r="D175" s="24" t="s">
        <v>103</v>
      </c>
      <c r="E175" s="250">
        <v>5.5</v>
      </c>
      <c r="F175" s="250">
        <v>18.2</v>
      </c>
      <c r="G175" s="250">
        <v>48.9</v>
      </c>
      <c r="H175" s="250">
        <v>27.3</v>
      </c>
      <c r="I175" s="250">
        <v>100</v>
      </c>
      <c r="J175" s="249">
        <v>1</v>
      </c>
      <c r="M175" s="24"/>
      <c r="N175" s="65"/>
      <c r="O175" s="148"/>
      <c r="P175" s="64"/>
      <c r="Q175" s="486"/>
    </row>
    <row r="176" spans="1:18">
      <c r="A176" s="24" t="s">
        <v>98</v>
      </c>
      <c r="B176" s="24" t="s">
        <v>111</v>
      </c>
      <c r="C176" s="24"/>
      <c r="D176" s="24" t="s">
        <v>53</v>
      </c>
      <c r="E176" s="235">
        <v>575</v>
      </c>
      <c r="F176" s="235">
        <v>1819</v>
      </c>
      <c r="G176" s="235">
        <v>4795</v>
      </c>
      <c r="H176" s="235">
        <v>1205</v>
      </c>
      <c r="I176" s="235">
        <v>8394</v>
      </c>
      <c r="J176" s="484">
        <v>15.7</v>
      </c>
      <c r="M176" s="24"/>
      <c r="N176" s="65"/>
      <c r="O176" s="148"/>
      <c r="P176" s="64"/>
      <c r="Q176" s="486"/>
    </row>
    <row r="177" spans="1:17">
      <c r="A177" s="24" t="s">
        <v>98</v>
      </c>
      <c r="B177" s="24" t="s">
        <v>111</v>
      </c>
      <c r="C177" s="24"/>
      <c r="D177" s="24" t="s">
        <v>54</v>
      </c>
      <c r="E177" s="235">
        <v>12</v>
      </c>
      <c r="F177" s="235">
        <v>37</v>
      </c>
      <c r="G177" s="235">
        <v>152</v>
      </c>
      <c r="H177" s="235">
        <v>57</v>
      </c>
      <c r="I177" s="235">
        <v>258</v>
      </c>
      <c r="J177" s="484">
        <v>0.5</v>
      </c>
      <c r="M177" s="24"/>
      <c r="N177" s="65"/>
      <c r="O177" s="148"/>
      <c r="P177" s="64"/>
      <c r="Q177" s="486"/>
    </row>
    <row r="178" spans="1:17">
      <c r="A178" s="24" t="s">
        <v>98</v>
      </c>
      <c r="B178" s="24" t="s">
        <v>111</v>
      </c>
      <c r="C178" s="24"/>
      <c r="D178" s="24" t="s">
        <v>55</v>
      </c>
      <c r="E178" s="235">
        <v>325</v>
      </c>
      <c r="F178" s="235">
        <v>1133</v>
      </c>
      <c r="G178" s="235">
        <v>2975</v>
      </c>
      <c r="H178" s="235">
        <v>1465</v>
      </c>
      <c r="I178" s="235">
        <v>5898</v>
      </c>
      <c r="J178" s="484">
        <v>11</v>
      </c>
      <c r="M178" s="24"/>
      <c r="N178" s="65"/>
      <c r="O178" s="148"/>
      <c r="P178" s="64"/>
      <c r="Q178" s="486"/>
    </row>
    <row r="179" spans="1:17">
      <c r="A179" s="24" t="s">
        <v>98</v>
      </c>
      <c r="B179" s="24" t="s">
        <v>111</v>
      </c>
      <c r="C179" s="24"/>
      <c r="D179" s="24" t="s">
        <v>720</v>
      </c>
      <c r="E179" s="235">
        <v>14</v>
      </c>
      <c r="F179" s="235">
        <v>49</v>
      </c>
      <c r="G179" s="235">
        <v>735</v>
      </c>
      <c r="H179" s="235">
        <v>664</v>
      </c>
      <c r="I179" s="235">
        <v>1462</v>
      </c>
      <c r="J179" s="484">
        <v>2.7</v>
      </c>
      <c r="M179" s="24"/>
      <c r="N179" s="65"/>
      <c r="O179" s="148"/>
      <c r="P179" s="64"/>
      <c r="Q179" s="486"/>
    </row>
    <row r="180" spans="1:17">
      <c r="A180" s="24" t="s">
        <v>98</v>
      </c>
      <c r="B180" s="24" t="s">
        <v>111</v>
      </c>
      <c r="C180" s="24"/>
      <c r="D180" s="24" t="s">
        <v>56</v>
      </c>
      <c r="E180" s="235">
        <v>9</v>
      </c>
      <c r="F180" s="235">
        <v>22</v>
      </c>
      <c r="G180" s="235">
        <v>36</v>
      </c>
      <c r="H180" s="235">
        <v>4</v>
      </c>
      <c r="I180" s="235">
        <v>71</v>
      </c>
      <c r="J180" s="484">
        <v>0.1</v>
      </c>
      <c r="M180" s="24"/>
      <c r="N180" s="65"/>
      <c r="O180" s="148"/>
      <c r="P180" s="64"/>
      <c r="Q180" s="486"/>
    </row>
    <row r="181" spans="1:17">
      <c r="A181" s="24" t="s">
        <v>98</v>
      </c>
      <c r="B181" s="24" t="s">
        <v>111</v>
      </c>
      <c r="C181" s="24"/>
      <c r="D181" s="24" t="s">
        <v>57</v>
      </c>
      <c r="E181" s="235">
        <v>215</v>
      </c>
      <c r="F181" s="235">
        <v>517</v>
      </c>
      <c r="G181" s="235">
        <v>1324</v>
      </c>
      <c r="H181" s="235">
        <v>405</v>
      </c>
      <c r="I181" s="235">
        <v>2461</v>
      </c>
      <c r="J181" s="484">
        <v>4.5999999999999996</v>
      </c>
      <c r="M181" s="24"/>
      <c r="N181" s="65"/>
      <c r="O181" s="148"/>
      <c r="P181" s="64"/>
      <c r="Q181" s="486"/>
    </row>
    <row r="182" spans="1:17">
      <c r="A182" s="24" t="s">
        <v>98</v>
      </c>
      <c r="B182" s="24" t="s">
        <v>111</v>
      </c>
      <c r="C182" s="24"/>
      <c r="D182" s="24" t="s">
        <v>58</v>
      </c>
      <c r="E182" s="235">
        <v>27</v>
      </c>
      <c r="F182" s="235">
        <v>147</v>
      </c>
      <c r="G182" s="235">
        <v>675</v>
      </c>
      <c r="H182" s="235">
        <v>337</v>
      </c>
      <c r="I182" s="235">
        <v>1186</v>
      </c>
      <c r="J182" s="484">
        <v>2.2000000000000002</v>
      </c>
      <c r="M182" s="24"/>
      <c r="N182" s="65"/>
      <c r="O182" s="148"/>
      <c r="P182" s="64"/>
      <c r="Q182" s="486"/>
    </row>
    <row r="183" spans="1:17">
      <c r="A183" s="24" t="s">
        <v>98</v>
      </c>
      <c r="B183" s="24" t="s">
        <v>111</v>
      </c>
      <c r="C183" s="24"/>
      <c r="D183" s="24" t="s">
        <v>59</v>
      </c>
      <c r="E183" s="235">
        <v>9</v>
      </c>
      <c r="F183" s="235">
        <v>82</v>
      </c>
      <c r="G183" s="235">
        <v>188</v>
      </c>
      <c r="H183" s="235">
        <v>98</v>
      </c>
      <c r="I183" s="235">
        <v>377</v>
      </c>
      <c r="J183" s="484">
        <v>0.7</v>
      </c>
      <c r="M183" s="24"/>
      <c r="N183" s="65"/>
      <c r="O183" s="148"/>
      <c r="P183" s="64"/>
      <c r="Q183" s="486"/>
    </row>
    <row r="184" spans="1:17">
      <c r="A184" s="24" t="s">
        <v>98</v>
      </c>
      <c r="B184" s="24" t="s">
        <v>111</v>
      </c>
      <c r="C184" s="24"/>
      <c r="D184" s="24" t="s">
        <v>60</v>
      </c>
      <c r="E184" s="235">
        <v>1065</v>
      </c>
      <c r="F184" s="235">
        <v>3328</v>
      </c>
      <c r="G184" s="235">
        <v>7431</v>
      </c>
      <c r="H184" s="235">
        <v>4369</v>
      </c>
      <c r="I184" s="235">
        <v>16193</v>
      </c>
      <c r="J184" s="484">
        <v>30.2</v>
      </c>
      <c r="M184" s="24"/>
      <c r="N184" s="65"/>
      <c r="O184" s="148"/>
      <c r="P184" s="64"/>
      <c r="Q184" s="486"/>
    </row>
    <row r="185" spans="1:17">
      <c r="A185" s="24" t="s">
        <v>98</v>
      </c>
      <c r="B185" s="24" t="s">
        <v>111</v>
      </c>
      <c r="C185" s="24"/>
      <c r="D185" s="24" t="s">
        <v>61</v>
      </c>
      <c r="E185" s="235">
        <v>155</v>
      </c>
      <c r="F185" s="235">
        <v>461</v>
      </c>
      <c r="G185" s="235">
        <v>1169</v>
      </c>
      <c r="H185" s="235">
        <v>1096</v>
      </c>
      <c r="I185" s="235">
        <v>2881</v>
      </c>
      <c r="J185" s="484">
        <v>5.4</v>
      </c>
      <c r="M185" s="24"/>
      <c r="N185" s="65"/>
      <c r="O185" s="148"/>
      <c r="P185" s="64"/>
      <c r="Q185" s="486"/>
    </row>
    <row r="186" spans="1:17">
      <c r="A186" s="24" t="s">
        <v>98</v>
      </c>
      <c r="B186" s="24" t="s">
        <v>111</v>
      </c>
      <c r="C186" s="24"/>
      <c r="D186" s="24" t="s">
        <v>62</v>
      </c>
      <c r="E186" s="235">
        <v>352</v>
      </c>
      <c r="F186" s="235">
        <v>1513</v>
      </c>
      <c r="G186" s="235">
        <v>4222</v>
      </c>
      <c r="H186" s="235">
        <v>2904</v>
      </c>
      <c r="I186" s="235">
        <v>8991</v>
      </c>
      <c r="J186" s="484">
        <v>16.8</v>
      </c>
      <c r="M186" s="24"/>
      <c r="N186" s="65"/>
      <c r="O186" s="148"/>
      <c r="P186" s="64"/>
      <c r="Q186" s="486"/>
    </row>
    <row r="187" spans="1:17">
      <c r="A187" s="24" t="s">
        <v>98</v>
      </c>
      <c r="B187" s="24" t="s">
        <v>111</v>
      </c>
      <c r="C187" s="24"/>
      <c r="D187" s="24" t="s">
        <v>63</v>
      </c>
      <c r="E187" s="235">
        <v>94</v>
      </c>
      <c r="F187" s="235">
        <v>312</v>
      </c>
      <c r="G187" s="235">
        <v>834</v>
      </c>
      <c r="H187" s="235">
        <v>788</v>
      </c>
      <c r="I187" s="235">
        <v>2028</v>
      </c>
      <c r="J187" s="484">
        <v>3.8</v>
      </c>
      <c r="M187" s="24"/>
      <c r="N187" s="65"/>
      <c r="O187" s="148"/>
      <c r="P187" s="64"/>
      <c r="Q187" s="486"/>
    </row>
    <row r="188" spans="1:17">
      <c r="A188" s="24" t="s">
        <v>98</v>
      </c>
      <c r="B188" s="24" t="s">
        <v>111</v>
      </c>
      <c r="C188" s="24"/>
      <c r="D188" s="24" t="s">
        <v>64</v>
      </c>
      <c r="E188" s="235">
        <v>37</v>
      </c>
      <c r="F188" s="235">
        <v>122</v>
      </c>
      <c r="G188" s="235">
        <v>570</v>
      </c>
      <c r="H188" s="235">
        <v>608</v>
      </c>
      <c r="I188" s="235">
        <v>1337</v>
      </c>
      <c r="J188" s="484">
        <v>2.5</v>
      </c>
      <c r="M188" s="24"/>
      <c r="N188" s="65"/>
      <c r="O188" s="148"/>
      <c r="P188" s="64"/>
      <c r="Q188" s="486"/>
    </row>
    <row r="189" spans="1:17">
      <c r="A189" s="24" t="s">
        <v>98</v>
      </c>
      <c r="B189" s="24" t="s">
        <v>111</v>
      </c>
      <c r="C189" s="24"/>
      <c r="D189" s="24" t="s">
        <v>65</v>
      </c>
      <c r="E189" s="235">
        <v>25</v>
      </c>
      <c r="F189" s="235">
        <v>92</v>
      </c>
      <c r="G189" s="235">
        <v>472</v>
      </c>
      <c r="H189" s="235">
        <v>225</v>
      </c>
      <c r="I189" s="235">
        <v>814</v>
      </c>
      <c r="J189" s="484">
        <v>1.5</v>
      </c>
      <c r="M189" s="24"/>
      <c r="N189" s="65"/>
      <c r="O189" s="148"/>
      <c r="P189" s="64"/>
      <c r="Q189" s="486"/>
    </row>
    <row r="190" spans="1:17">
      <c r="A190" s="24" t="s">
        <v>98</v>
      </c>
      <c r="B190" s="24" t="s">
        <v>111</v>
      </c>
      <c r="C190" s="24"/>
      <c r="D190" s="24" t="s">
        <v>66</v>
      </c>
      <c r="E190" s="235">
        <v>17</v>
      </c>
      <c r="F190" s="235">
        <v>37</v>
      </c>
      <c r="G190" s="235">
        <v>196</v>
      </c>
      <c r="H190" s="235">
        <v>136</v>
      </c>
      <c r="I190" s="235">
        <v>386</v>
      </c>
      <c r="J190" s="484">
        <v>0.7</v>
      </c>
      <c r="M190" s="116"/>
      <c r="N190" s="64"/>
      <c r="O190" s="149"/>
      <c r="P190" s="116"/>
      <c r="Q190" s="116"/>
    </row>
    <row r="191" spans="1:17">
      <c r="A191" s="24" t="s">
        <v>98</v>
      </c>
      <c r="B191" s="24" t="s">
        <v>111</v>
      </c>
      <c r="C191" s="24"/>
      <c r="D191" s="24" t="s">
        <v>67</v>
      </c>
      <c r="E191" s="235">
        <v>24</v>
      </c>
      <c r="F191" s="235">
        <v>64</v>
      </c>
      <c r="G191" s="235">
        <v>324</v>
      </c>
      <c r="H191" s="235">
        <v>157</v>
      </c>
      <c r="I191" s="235">
        <v>569</v>
      </c>
      <c r="J191" s="484">
        <v>1.1000000000000001</v>
      </c>
      <c r="M191" s="116"/>
      <c r="N191" s="64"/>
      <c r="O191" s="149"/>
      <c r="P191" s="116"/>
    </row>
    <row r="192" spans="1:17">
      <c r="A192" s="24" t="s">
        <v>98</v>
      </c>
      <c r="B192" s="24" t="s">
        <v>111</v>
      </c>
      <c r="C192" s="24"/>
      <c r="D192" s="24" t="s">
        <v>68</v>
      </c>
      <c r="E192" s="208">
        <v>9</v>
      </c>
      <c r="F192" s="208">
        <v>24</v>
      </c>
      <c r="G192" s="208">
        <v>110</v>
      </c>
      <c r="H192" s="208">
        <v>97</v>
      </c>
      <c r="I192" s="208">
        <v>240</v>
      </c>
      <c r="J192" s="484">
        <v>0.4</v>
      </c>
      <c r="M192" s="116"/>
      <c r="N192" s="116"/>
      <c r="O192" s="116"/>
      <c r="P192" s="116"/>
    </row>
    <row r="193" spans="1:3">
      <c r="A193" s="24" t="s">
        <v>98</v>
      </c>
    </row>
    <row r="194" spans="1:3">
      <c r="A194" s="24" t="s">
        <v>98</v>
      </c>
      <c r="B194" s="24" t="s">
        <v>112</v>
      </c>
      <c r="C194" s="24"/>
    </row>
    <row r="195" spans="1:3">
      <c r="A195" s="24" t="s">
        <v>98</v>
      </c>
      <c r="B195" s="24" t="s">
        <v>112</v>
      </c>
      <c r="C195" s="24"/>
    </row>
    <row r="196" spans="1:3">
      <c r="A196" s="24" t="s">
        <v>98</v>
      </c>
      <c r="B196" s="24" t="s">
        <v>112</v>
      </c>
      <c r="C196" s="24"/>
    </row>
    <row r="197" spans="1:3">
      <c r="A197" s="24" t="s">
        <v>98</v>
      </c>
      <c r="B197" s="24" t="s">
        <v>112</v>
      </c>
      <c r="C197" s="24"/>
    </row>
    <row r="198" spans="1:3">
      <c r="A198" s="24" t="s">
        <v>98</v>
      </c>
      <c r="B198" s="24" t="s">
        <v>112</v>
      </c>
      <c r="C198" s="24"/>
    </row>
    <row r="199" spans="1:3">
      <c r="A199" s="24" t="s">
        <v>98</v>
      </c>
      <c r="B199" s="24" t="s">
        <v>112</v>
      </c>
      <c r="C199" s="24"/>
    </row>
    <row r="200" spans="1:3">
      <c r="A200" s="24" t="s">
        <v>98</v>
      </c>
      <c r="B200" s="24" t="s">
        <v>112</v>
      </c>
      <c r="C200" s="24"/>
    </row>
    <row r="201" spans="1:3">
      <c r="A201" s="24" t="s">
        <v>98</v>
      </c>
      <c r="B201" s="24" t="s">
        <v>112</v>
      </c>
      <c r="C201" s="24"/>
    </row>
    <row r="202" spans="1:3">
      <c r="A202" s="24" t="s">
        <v>98</v>
      </c>
      <c r="B202" s="24" t="s">
        <v>112</v>
      </c>
      <c r="C202" s="24"/>
    </row>
    <row r="203" spans="1:3">
      <c r="A203" s="24" t="s">
        <v>98</v>
      </c>
      <c r="B203" s="24" t="s">
        <v>112</v>
      </c>
      <c r="C203" s="24"/>
    </row>
    <row r="204" spans="1:3">
      <c r="A204" s="24" t="s">
        <v>98</v>
      </c>
      <c r="B204" s="24" t="s">
        <v>112</v>
      </c>
      <c r="C204" s="24"/>
    </row>
    <row r="205" spans="1:3">
      <c r="A205" s="24" t="s">
        <v>98</v>
      </c>
      <c r="B205" s="24" t="s">
        <v>112</v>
      </c>
      <c r="C205" s="24"/>
    </row>
    <row r="206" spans="1:3">
      <c r="A206" s="24" t="s">
        <v>98</v>
      </c>
      <c r="B206" s="24" t="s">
        <v>112</v>
      </c>
      <c r="C206" s="24"/>
    </row>
    <row r="207" spans="1:3">
      <c r="A207" s="24" t="s">
        <v>98</v>
      </c>
      <c r="B207" s="24" t="s">
        <v>112</v>
      </c>
      <c r="C207" s="24"/>
    </row>
    <row r="208" spans="1:3">
      <c r="A208" s="24" t="s">
        <v>98</v>
      </c>
      <c r="B208" s="24" t="s">
        <v>112</v>
      </c>
      <c r="C208" s="24"/>
    </row>
    <row r="209" spans="1:19">
      <c r="A209" s="24" t="s">
        <v>98</v>
      </c>
    </row>
    <row r="210" spans="1:19">
      <c r="A210" s="24" t="s">
        <v>98</v>
      </c>
      <c r="B210" s="24" t="s">
        <v>124</v>
      </c>
      <c r="C210" s="24"/>
      <c r="D210" s="208" t="s">
        <v>1176</v>
      </c>
    </row>
    <row r="211" spans="1:19" s="24" customFormat="1">
      <c r="A211" s="24" t="s">
        <v>98</v>
      </c>
    </row>
    <row r="212" spans="1:19">
      <c r="A212" s="69" t="s">
        <v>100</v>
      </c>
      <c r="B212" s="69" t="s">
        <v>120</v>
      </c>
      <c r="C212" s="69"/>
      <c r="D212" s="212" t="s">
        <v>1194</v>
      </c>
      <c r="E212" s="69"/>
      <c r="F212" s="69"/>
      <c r="G212" s="69"/>
      <c r="H212" s="69"/>
      <c r="I212" s="69"/>
      <c r="J212" s="69"/>
      <c r="K212" s="69"/>
      <c r="L212" s="69"/>
      <c r="M212" s="69"/>
      <c r="N212" s="69"/>
      <c r="O212" s="69"/>
      <c r="P212" s="69"/>
      <c r="Q212" s="69"/>
      <c r="R212" s="69"/>
    </row>
    <row r="213" spans="1:19">
      <c r="A213" s="24" t="s">
        <v>100</v>
      </c>
      <c r="B213" s="24" t="s">
        <v>122</v>
      </c>
      <c r="C213" s="24"/>
      <c r="D213" s="208" t="s">
        <v>1195</v>
      </c>
    </row>
    <row r="214" spans="1:19">
      <c r="A214" s="24" t="s">
        <v>100</v>
      </c>
      <c r="J214" s="108"/>
      <c r="K214" s="108"/>
      <c r="L214" s="108"/>
      <c r="M214" s="108"/>
      <c r="N214" s="108"/>
      <c r="O214" s="108"/>
      <c r="P214" s="108"/>
      <c r="Q214" s="108"/>
      <c r="R214" s="108"/>
      <c r="S214" s="108"/>
    </row>
    <row r="215" spans="1:19">
      <c r="A215" s="24" t="s">
        <v>100</v>
      </c>
      <c r="B215" s="24" t="s">
        <v>111</v>
      </c>
      <c r="C215" s="24"/>
      <c r="D215" s="24" t="s">
        <v>19</v>
      </c>
      <c r="E215" s="24" t="s">
        <v>622</v>
      </c>
      <c r="F215" s="24" t="s">
        <v>623</v>
      </c>
      <c r="G215" s="24" t="s">
        <v>52</v>
      </c>
      <c r="J215" s="108"/>
      <c r="K215" s="152"/>
      <c r="L215" s="153"/>
      <c r="M215" s="153"/>
      <c r="N215" s="154"/>
      <c r="O215" s="108"/>
      <c r="P215" s="155"/>
      <c r="Q215" s="108"/>
      <c r="R215" s="108"/>
      <c r="S215" s="155"/>
    </row>
    <row r="216" spans="1:19">
      <c r="A216" s="24" t="s">
        <v>100</v>
      </c>
      <c r="B216" s="24" t="s">
        <v>111</v>
      </c>
      <c r="C216" s="24"/>
      <c r="D216" s="150" t="s">
        <v>721</v>
      </c>
      <c r="E216" s="440">
        <v>150122</v>
      </c>
      <c r="F216" s="254">
        <f>표82[[#This Row],[현원(명)]]/E228</f>
        <v>0.13660854601923159</v>
      </c>
      <c r="I216" s="106"/>
      <c r="J216" s="108"/>
      <c r="K216" s="152"/>
      <c r="L216" s="153"/>
      <c r="M216" s="153"/>
      <c r="N216" s="154"/>
      <c r="O216" s="108"/>
      <c r="P216" s="155"/>
      <c r="Q216" s="108"/>
      <c r="R216" s="108"/>
      <c r="S216" s="155"/>
    </row>
    <row r="217" spans="1:19">
      <c r="A217" s="24" t="s">
        <v>100</v>
      </c>
      <c r="B217" s="24" t="s">
        <v>111</v>
      </c>
      <c r="C217" s="24"/>
      <c r="D217" s="150" t="s">
        <v>722</v>
      </c>
      <c r="E217" s="440">
        <v>48795</v>
      </c>
      <c r="F217" s="487">
        <f>표82[[#This Row],[현원(명)]]/E228</f>
        <v>4.4402645868083332E-2</v>
      </c>
      <c r="G217" s="251"/>
      <c r="J217" s="108"/>
      <c r="K217" s="152"/>
      <c r="L217" s="153"/>
      <c r="M217" s="153"/>
      <c r="N217" s="154"/>
      <c r="O217" s="108"/>
      <c r="P217" s="155"/>
      <c r="Q217" s="108"/>
      <c r="R217" s="108"/>
      <c r="S217" s="155"/>
    </row>
    <row r="218" spans="1:19">
      <c r="A218" s="24" t="s">
        <v>100</v>
      </c>
      <c r="B218" s="24" t="s">
        <v>111</v>
      </c>
      <c r="C218" s="24"/>
      <c r="D218" s="150" t="s">
        <v>723</v>
      </c>
      <c r="E218" s="440">
        <v>99285</v>
      </c>
      <c r="F218" s="255">
        <f>표82[[#This Row],[현원(명)]]/E228</f>
        <v>9.0347713802903032E-2</v>
      </c>
      <c r="G218" s="252"/>
      <c r="J218" s="108"/>
      <c r="K218" s="152"/>
      <c r="L218" s="153"/>
      <c r="M218" s="153"/>
      <c r="N218" s="154"/>
      <c r="O218" s="108"/>
      <c r="P218" s="155"/>
      <c r="Q218" s="108"/>
      <c r="R218" s="108"/>
      <c r="S218" s="155"/>
    </row>
    <row r="219" spans="1:19">
      <c r="A219" s="24" t="s">
        <v>100</v>
      </c>
      <c r="B219" s="24" t="s">
        <v>111</v>
      </c>
      <c r="C219" s="24"/>
      <c r="D219" s="150" t="s">
        <v>724</v>
      </c>
      <c r="E219" s="440">
        <v>34140</v>
      </c>
      <c r="F219" s="255">
        <f>표82[[#This Row],[현원(명)]]/E228</f>
        <v>3.1066837379575055E-2</v>
      </c>
      <c r="G219" s="251"/>
      <c r="I219" s="26"/>
      <c r="J219" s="108"/>
      <c r="K219" s="152"/>
      <c r="L219" s="153"/>
      <c r="M219" s="153"/>
      <c r="N219" s="154"/>
      <c r="O219" s="108"/>
      <c r="P219" s="155"/>
      <c r="Q219" s="108"/>
      <c r="R219" s="108"/>
      <c r="S219" s="155"/>
    </row>
    <row r="220" spans="1:19">
      <c r="A220" s="24" t="s">
        <v>100</v>
      </c>
      <c r="B220" s="24" t="s">
        <v>111</v>
      </c>
      <c r="C220" s="24"/>
      <c r="D220" s="150" t="s">
        <v>725</v>
      </c>
      <c r="E220" s="440">
        <v>34000</v>
      </c>
      <c r="F220" s="255">
        <f>표82[[#This Row],[현원(명)]]/E228</f>
        <v>3.0939439686747273E-2</v>
      </c>
      <c r="G220" s="252"/>
      <c r="J220" s="108"/>
      <c r="K220" s="152"/>
      <c r="L220" s="153"/>
      <c r="M220" s="153"/>
      <c r="N220" s="154"/>
      <c r="O220" s="108"/>
      <c r="P220" s="155"/>
      <c r="Q220" s="108"/>
      <c r="R220" s="108"/>
      <c r="S220" s="155"/>
    </row>
    <row r="221" spans="1:19">
      <c r="A221" s="24" t="s">
        <v>100</v>
      </c>
      <c r="B221" s="24" t="s">
        <v>111</v>
      </c>
      <c r="C221" s="24"/>
      <c r="D221" s="150" t="s">
        <v>726</v>
      </c>
      <c r="E221" s="440">
        <v>116498</v>
      </c>
      <c r="F221" s="255">
        <f>표82[[#This Row],[현원(명)]]/E228</f>
        <v>0.10601126013607894</v>
      </c>
      <c r="G221" s="251"/>
      <c r="J221" s="108"/>
      <c r="K221" s="152"/>
      <c r="L221" s="153"/>
      <c r="M221" s="153"/>
      <c r="N221" s="154"/>
      <c r="O221" s="108"/>
      <c r="P221" s="155"/>
      <c r="Q221" s="108"/>
      <c r="R221" s="108"/>
      <c r="S221" s="155"/>
    </row>
    <row r="222" spans="1:19">
      <c r="A222" s="24" t="s">
        <v>100</v>
      </c>
      <c r="B222" s="24" t="s">
        <v>111</v>
      </c>
      <c r="C222" s="24"/>
      <c r="D222" s="150" t="s">
        <v>727</v>
      </c>
      <c r="E222" s="440">
        <v>202889</v>
      </c>
      <c r="F222" s="255">
        <f>표82[[#This Row],[현원(명)]]/E228</f>
        <v>0.18462564642954316</v>
      </c>
      <c r="G222" s="252"/>
      <c r="J222" s="108"/>
      <c r="K222" s="152"/>
      <c r="L222" s="153"/>
      <c r="M222" s="153"/>
      <c r="N222" s="154"/>
      <c r="O222" s="108"/>
      <c r="P222" s="155"/>
      <c r="Q222" s="108"/>
      <c r="R222" s="108"/>
      <c r="S222" s="155"/>
    </row>
    <row r="223" spans="1:19">
      <c r="A223" s="24" t="s">
        <v>100</v>
      </c>
      <c r="B223" s="24" t="s">
        <v>111</v>
      </c>
      <c r="C223" s="24"/>
      <c r="D223" s="150" t="s">
        <v>728</v>
      </c>
      <c r="E223" s="440">
        <v>58622</v>
      </c>
      <c r="F223" s="255">
        <f>표82[[#This Row],[현원(명)]]/E228</f>
        <v>5.3345053921073492E-2</v>
      </c>
      <c r="G223" s="251"/>
      <c r="J223" s="108"/>
      <c r="K223" s="152"/>
      <c r="L223" s="153"/>
      <c r="M223" s="153"/>
      <c r="N223" s="154"/>
      <c r="O223" s="108"/>
      <c r="P223" s="155"/>
      <c r="Q223" s="108"/>
      <c r="R223" s="108"/>
      <c r="S223" s="155"/>
    </row>
    <row r="224" spans="1:19">
      <c r="A224" s="24" t="s">
        <v>100</v>
      </c>
      <c r="B224" s="24" t="s">
        <v>111</v>
      </c>
      <c r="C224" s="24"/>
      <c r="D224" s="150" t="s">
        <v>729</v>
      </c>
      <c r="E224" s="440">
        <v>63531</v>
      </c>
      <c r="F224" s="255">
        <f>표82[[#This Row],[현원(명)]]/E228</f>
        <v>5.7812163021727675E-2</v>
      </c>
      <c r="G224" s="252"/>
      <c r="J224" s="108"/>
      <c r="K224" s="152"/>
      <c r="L224" s="153"/>
      <c r="M224" s="153"/>
      <c r="N224" s="154"/>
      <c r="O224" s="108"/>
      <c r="P224" s="155"/>
      <c r="Q224" s="108"/>
      <c r="R224" s="108"/>
      <c r="S224" s="155"/>
    </row>
    <row r="225" spans="1:19">
      <c r="A225" s="24" t="s">
        <v>100</v>
      </c>
      <c r="B225" s="24" t="s">
        <v>111</v>
      </c>
      <c r="C225" s="24"/>
      <c r="D225" s="150" t="s">
        <v>730</v>
      </c>
      <c r="E225" s="440">
        <v>120533</v>
      </c>
      <c r="F225" s="255">
        <f>표82[[#This Row],[현원(명)]]/E228</f>
        <v>0.10968304364007968</v>
      </c>
      <c r="G225" s="251"/>
      <c r="J225" s="108"/>
      <c r="K225" s="152"/>
      <c r="L225" s="153"/>
      <c r="M225" s="153"/>
      <c r="N225" s="154"/>
      <c r="O225" s="108"/>
      <c r="P225" s="155"/>
      <c r="Q225" s="108"/>
      <c r="R225" s="108"/>
      <c r="S225" s="155"/>
    </row>
    <row r="226" spans="1:19">
      <c r="A226" s="24" t="s">
        <v>100</v>
      </c>
      <c r="B226" s="24" t="s">
        <v>111</v>
      </c>
      <c r="C226" s="24"/>
      <c r="D226" s="150" t="s">
        <v>731</v>
      </c>
      <c r="E226" s="440">
        <v>146714</v>
      </c>
      <c r="F226" s="255">
        <f>표82[[#This Row],[현원(명)]]/E228</f>
        <v>0.13350732218239528</v>
      </c>
      <c r="G226" s="252"/>
      <c r="J226" s="108"/>
      <c r="K226" s="152"/>
      <c r="L226" s="153"/>
      <c r="M226" s="153"/>
      <c r="N226" s="154"/>
      <c r="O226" s="108"/>
      <c r="P226" s="155"/>
      <c r="Q226" s="108"/>
      <c r="R226" s="108"/>
      <c r="S226" s="155"/>
    </row>
    <row r="227" spans="1:19">
      <c r="A227" s="24" t="s">
        <v>100</v>
      </c>
      <c r="B227" s="24"/>
      <c r="C227" s="24"/>
      <c r="D227" s="150" t="s">
        <v>732</v>
      </c>
      <c r="E227" s="440">
        <v>23793</v>
      </c>
      <c r="F227" s="255">
        <f>표82[[#This Row],[현원(명)]]/E228</f>
        <v>2.1651237896081702E-2</v>
      </c>
      <c r="G227" s="251"/>
      <c r="J227" s="108"/>
      <c r="K227" s="108"/>
      <c r="L227" s="108"/>
      <c r="M227" s="108"/>
      <c r="N227" s="154"/>
      <c r="O227" s="108"/>
      <c r="P227" s="155"/>
      <c r="Q227" s="108"/>
      <c r="R227" s="108"/>
      <c r="S227" s="155"/>
    </row>
    <row r="228" spans="1:19">
      <c r="A228" s="24" t="s">
        <v>100</v>
      </c>
      <c r="B228" s="24" t="s">
        <v>112</v>
      </c>
      <c r="C228" s="24"/>
      <c r="D228" s="151" t="s">
        <v>5</v>
      </c>
      <c r="E228" s="239">
        <v>1098921</v>
      </c>
      <c r="F228" s="255">
        <v>1</v>
      </c>
      <c r="G228" s="253"/>
      <c r="J228" s="108"/>
      <c r="K228" s="108"/>
      <c r="L228" s="108"/>
      <c r="M228" s="108"/>
      <c r="N228" s="108"/>
      <c r="O228" s="108"/>
      <c r="P228" s="108"/>
      <c r="Q228" s="108"/>
      <c r="R228" s="108"/>
      <c r="S228" s="108"/>
    </row>
    <row r="229" spans="1:19">
      <c r="A229" s="24" t="s">
        <v>100</v>
      </c>
      <c r="B229" s="24" t="s">
        <v>112</v>
      </c>
      <c r="C229" s="24"/>
    </row>
    <row r="230" spans="1:19">
      <c r="A230" s="24" t="s">
        <v>100</v>
      </c>
      <c r="B230" s="24" t="s">
        <v>112</v>
      </c>
      <c r="C230" s="24"/>
    </row>
    <row r="231" spans="1:19">
      <c r="A231" s="24" t="s">
        <v>100</v>
      </c>
      <c r="B231" s="24" t="s">
        <v>112</v>
      </c>
      <c r="C231" s="24"/>
    </row>
    <row r="232" spans="1:19">
      <c r="A232" s="24" t="s">
        <v>100</v>
      </c>
      <c r="B232" s="24" t="s">
        <v>112</v>
      </c>
      <c r="C232" s="24"/>
    </row>
    <row r="233" spans="1:19">
      <c r="A233" s="24" t="s">
        <v>100</v>
      </c>
      <c r="B233" s="24" t="s">
        <v>112</v>
      </c>
      <c r="C233" s="24"/>
    </row>
    <row r="234" spans="1:19">
      <c r="A234" s="24" t="s">
        <v>100</v>
      </c>
      <c r="B234" s="24" t="s">
        <v>112</v>
      </c>
      <c r="C234" s="24"/>
    </row>
    <row r="235" spans="1:19">
      <c r="A235" s="24" t="s">
        <v>100</v>
      </c>
      <c r="B235" s="24" t="s">
        <v>112</v>
      </c>
      <c r="C235" s="24"/>
    </row>
    <row r="236" spans="1:19">
      <c r="A236" s="24" t="s">
        <v>100</v>
      </c>
      <c r="B236" s="24" t="s">
        <v>112</v>
      </c>
      <c r="C236" s="24"/>
    </row>
    <row r="237" spans="1:19">
      <c r="A237" s="24" t="s">
        <v>100</v>
      </c>
      <c r="B237" s="24" t="s">
        <v>112</v>
      </c>
      <c r="C237" s="24"/>
    </row>
    <row r="238" spans="1:19">
      <c r="A238" s="24" t="s">
        <v>100</v>
      </c>
      <c r="B238" s="24" t="s">
        <v>112</v>
      </c>
      <c r="C238" s="24"/>
    </row>
    <row r="239" spans="1:19">
      <c r="A239" s="24" t="s">
        <v>100</v>
      </c>
      <c r="B239" s="24" t="s">
        <v>112</v>
      </c>
      <c r="C239" s="24"/>
    </row>
    <row r="240" spans="1:19">
      <c r="A240" s="24" t="s">
        <v>100</v>
      </c>
      <c r="B240" s="24" t="s">
        <v>112</v>
      </c>
      <c r="C240" s="24"/>
    </row>
    <row r="241" spans="1:18">
      <c r="A241" s="24" t="s">
        <v>100</v>
      </c>
      <c r="B241" s="24" t="s">
        <v>112</v>
      </c>
      <c r="C241" s="24"/>
    </row>
    <row r="242" spans="1:18">
      <c r="A242" s="24" t="s">
        <v>100</v>
      </c>
      <c r="B242" s="24" t="s">
        <v>112</v>
      </c>
      <c r="C242" s="24"/>
    </row>
    <row r="243" spans="1:18">
      <c r="A243" s="24" t="s">
        <v>100</v>
      </c>
    </row>
    <row r="244" spans="1:18">
      <c r="A244" s="24" t="s">
        <v>100</v>
      </c>
      <c r="B244" s="24" t="s">
        <v>124</v>
      </c>
      <c r="C244" s="24"/>
      <c r="D244" s="208" t="s">
        <v>1193</v>
      </c>
    </row>
    <row r="245" spans="1:18" s="24" customFormat="1">
      <c r="A245" s="24" t="s">
        <v>100</v>
      </c>
    </row>
    <row r="246" spans="1:18">
      <c r="A246" s="69" t="s">
        <v>101</v>
      </c>
      <c r="B246" s="69" t="s">
        <v>120</v>
      </c>
      <c r="C246" s="69"/>
      <c r="D246" s="212" t="s">
        <v>1196</v>
      </c>
      <c r="E246" s="69"/>
      <c r="F246" s="69"/>
      <c r="G246" s="69"/>
      <c r="H246" s="69"/>
      <c r="I246" s="69"/>
      <c r="J246" s="69"/>
      <c r="K246" s="69"/>
      <c r="L246" s="69"/>
      <c r="M246" s="69"/>
      <c r="N246" s="69"/>
      <c r="O246" s="69"/>
      <c r="P246" s="69"/>
      <c r="Q246" s="69"/>
      <c r="R246" s="69"/>
    </row>
    <row r="247" spans="1:18">
      <c r="A247" s="24" t="s">
        <v>101</v>
      </c>
      <c r="B247" s="24" t="s">
        <v>122</v>
      </c>
      <c r="C247" s="24"/>
      <c r="D247" s="208" t="s">
        <v>1199</v>
      </c>
    </row>
    <row r="248" spans="1:18">
      <c r="A248" s="24" t="s">
        <v>101</v>
      </c>
      <c r="B248" s="24" t="s">
        <v>122</v>
      </c>
      <c r="C248" s="24"/>
    </row>
    <row r="249" spans="1:18">
      <c r="A249" s="24" t="s">
        <v>101</v>
      </c>
      <c r="D249" s="24" t="s">
        <v>19</v>
      </c>
      <c r="E249" s="24" t="s">
        <v>81</v>
      </c>
      <c r="F249" s="24" t="s">
        <v>79</v>
      </c>
      <c r="G249" s="24" t="s">
        <v>77</v>
      </c>
      <c r="H249" s="24" t="s">
        <v>75</v>
      </c>
      <c r="I249" s="24" t="s">
        <v>5</v>
      </c>
      <c r="J249" s="24" t="s">
        <v>109</v>
      </c>
      <c r="L249" s="24" t="s">
        <v>19</v>
      </c>
      <c r="M249" s="24" t="s">
        <v>81</v>
      </c>
      <c r="N249" s="24" t="s">
        <v>79</v>
      </c>
      <c r="O249" s="24" t="s">
        <v>77</v>
      </c>
      <c r="P249" s="24" t="s">
        <v>75</v>
      </c>
      <c r="Q249" s="24" t="s">
        <v>5</v>
      </c>
    </row>
    <row r="250" spans="1:18">
      <c r="A250" s="24" t="s">
        <v>101</v>
      </c>
      <c r="B250" s="24" t="s">
        <v>111</v>
      </c>
      <c r="C250" s="24"/>
      <c r="D250" s="24" t="s">
        <v>73</v>
      </c>
      <c r="E250" s="440">
        <v>89776</v>
      </c>
      <c r="F250" s="440">
        <v>26214</v>
      </c>
      <c r="G250" s="440">
        <v>29299</v>
      </c>
      <c r="H250" s="440">
        <v>4832</v>
      </c>
      <c r="I250" s="488">
        <v>150122</v>
      </c>
      <c r="L250" s="24" t="s">
        <v>73</v>
      </c>
      <c r="M250" s="291">
        <f>표83[[#This Row],[고졸]]/표83[[#This Row],[합계]]</f>
        <v>0.59802027684150227</v>
      </c>
      <c r="N250" s="291">
        <f>표83[[#This Row],[전문대졸]]/표83[[#This Row],[합계]]</f>
        <v>0.1746179773783989</v>
      </c>
      <c r="O250" s="291">
        <f>표83[[#This Row],[대졸]]/표83[[#This Row],[합계]]</f>
        <v>0.19516793008353206</v>
      </c>
      <c r="P250" s="291">
        <f>표83[[#This Row],[대학원졸]]/표83[[#This Row],[합계]]</f>
        <v>3.218715444771586E-2</v>
      </c>
      <c r="Q250" s="490">
        <f>표83[[#This Row],[합계]]/표83[[#This Row],[합계]]</f>
        <v>1</v>
      </c>
    </row>
    <row r="251" spans="1:18">
      <c r="A251" s="24" t="s">
        <v>101</v>
      </c>
      <c r="B251" s="24" t="s">
        <v>111</v>
      </c>
      <c r="C251" s="24"/>
      <c r="D251" s="24" t="s">
        <v>69</v>
      </c>
      <c r="E251" s="440">
        <v>30754</v>
      </c>
      <c r="F251" s="440">
        <v>6407</v>
      </c>
      <c r="G251" s="440">
        <v>9056</v>
      </c>
      <c r="H251" s="440">
        <v>2578</v>
      </c>
      <c r="I251" s="489">
        <v>48795</v>
      </c>
      <c r="L251" s="24" t="s">
        <v>69</v>
      </c>
      <c r="M251" s="290">
        <f>표83[[#This Row],[고졸]]/표83[[#This Row],[합계]]</f>
        <v>0.63026949482528949</v>
      </c>
      <c r="N251" s="290">
        <f>표83[[#This Row],[전문대졸]]/표83[[#This Row],[합계]]</f>
        <v>0.13130443693001331</v>
      </c>
      <c r="O251" s="290">
        <f>표83[[#This Row],[대졸]]/표83[[#This Row],[합계]]</f>
        <v>0.18559278614612154</v>
      </c>
      <c r="P251" s="290">
        <f>표83[[#This Row],[대학원졸]]/표83[[#This Row],[합계]]</f>
        <v>5.2833282098575671E-2</v>
      </c>
      <c r="Q251" s="491">
        <v>1</v>
      </c>
    </row>
    <row r="252" spans="1:18">
      <c r="A252" s="24" t="s">
        <v>101</v>
      </c>
      <c r="B252" s="24" t="s">
        <v>111</v>
      </c>
      <c r="C252" s="24"/>
      <c r="D252" s="24" t="s">
        <v>82</v>
      </c>
      <c r="E252" s="440">
        <v>53697</v>
      </c>
      <c r="F252" s="440">
        <v>16972</v>
      </c>
      <c r="G252" s="440">
        <v>20001</v>
      </c>
      <c r="H252" s="440">
        <v>8615</v>
      </c>
      <c r="I252" s="440">
        <v>99285</v>
      </c>
      <c r="L252" s="24" t="s">
        <v>82</v>
      </c>
      <c r="M252" s="291">
        <f>표83[[#This Row],[고졸]]/표83[[#This Row],[합계]]</f>
        <v>0.54083698443873696</v>
      </c>
      <c r="N252" s="291">
        <f>표83[[#This Row],[전문대졸]]/표83[[#This Row],[합계]]</f>
        <v>0.17094223699451075</v>
      </c>
      <c r="O252" s="291">
        <f>표83[[#This Row],[대졸]]/표83[[#This Row],[합계]]</f>
        <v>0.20145037014654782</v>
      </c>
      <c r="P252" s="291">
        <f>표83[[#This Row],[대학원졸]]/표83[[#This Row],[합계]]</f>
        <v>8.6770408420204462E-2</v>
      </c>
      <c r="Q252" s="491">
        <v>1</v>
      </c>
    </row>
    <row r="253" spans="1:18">
      <c r="A253" s="24" t="s">
        <v>101</v>
      </c>
      <c r="B253" s="24" t="s">
        <v>111</v>
      </c>
      <c r="C253" s="24"/>
      <c r="D253" s="24" t="s">
        <v>83</v>
      </c>
      <c r="E253" s="440">
        <v>16310</v>
      </c>
      <c r="F253" s="440">
        <v>5390</v>
      </c>
      <c r="G253" s="440">
        <v>9893</v>
      </c>
      <c r="H253" s="440">
        <v>2547</v>
      </c>
      <c r="I253" s="440">
        <v>34140</v>
      </c>
      <c r="L253" s="24" t="s">
        <v>83</v>
      </c>
      <c r="M253" s="291">
        <f>표83[[#This Row],[고졸]]/표83[[#This Row],[합계]]</f>
        <v>0.47773872290568248</v>
      </c>
      <c r="N253" s="291">
        <f>표83[[#This Row],[전문대졸]]/표83[[#This Row],[합계]]</f>
        <v>0.15787932044522554</v>
      </c>
      <c r="O253" s="291">
        <f>표83[[#This Row],[대졸]]/표83[[#This Row],[합계]]</f>
        <v>0.28977738722905683</v>
      </c>
      <c r="P253" s="291">
        <f>표83[[#This Row],[대학원졸]]/표83[[#This Row],[합계]]</f>
        <v>7.4604569420035155E-2</v>
      </c>
      <c r="Q253" s="491">
        <v>1</v>
      </c>
    </row>
    <row r="254" spans="1:18">
      <c r="A254" s="24" t="s">
        <v>101</v>
      </c>
      <c r="B254" s="24" t="s">
        <v>111</v>
      </c>
      <c r="C254" s="24"/>
      <c r="D254" s="24" t="s">
        <v>84</v>
      </c>
      <c r="E254" s="440">
        <v>21484</v>
      </c>
      <c r="F254" s="440">
        <v>6139</v>
      </c>
      <c r="G254" s="440">
        <v>5982</v>
      </c>
      <c r="H254" s="277">
        <v>395</v>
      </c>
      <c r="I254" s="440">
        <v>34000</v>
      </c>
      <c r="L254" s="24" t="s">
        <v>84</v>
      </c>
      <c r="M254" s="291">
        <f>표83[[#This Row],[고졸]]/표83[[#This Row],[합계]]</f>
        <v>0.63188235294117645</v>
      </c>
      <c r="N254" s="291">
        <f>표83[[#This Row],[전문대졸]]/표83[[#This Row],[합계]]</f>
        <v>0.18055882352941177</v>
      </c>
      <c r="O254" s="291">
        <f>표83[[#This Row],[대졸]]/표83[[#This Row],[합계]]</f>
        <v>0.17594117647058824</v>
      </c>
      <c r="P254" s="291">
        <f>표83[[#This Row],[대학원졸]]/표83[[#This Row],[합계]]</f>
        <v>1.1617647058823529E-2</v>
      </c>
      <c r="Q254" s="491">
        <v>1</v>
      </c>
    </row>
    <row r="255" spans="1:18">
      <c r="A255" s="24" t="s">
        <v>101</v>
      </c>
      <c r="B255" s="24" t="s">
        <v>111</v>
      </c>
      <c r="C255" s="24"/>
      <c r="D255" s="24" t="s">
        <v>71</v>
      </c>
      <c r="E255" s="440">
        <v>77368</v>
      </c>
      <c r="F255" s="440">
        <v>17649</v>
      </c>
      <c r="G255" s="440">
        <v>18356</v>
      </c>
      <c r="H255" s="440">
        <v>3126</v>
      </c>
      <c r="I255" s="440">
        <v>116498</v>
      </c>
      <c r="L255" s="24" t="s">
        <v>71</v>
      </c>
      <c r="M255" s="291">
        <f>표83[[#This Row],[고졸]]/표83[[#This Row],[합계]]</f>
        <v>0.66411440539751754</v>
      </c>
      <c r="N255" s="291">
        <f>표83[[#This Row],[전문대졸]]/표83[[#This Row],[합계]]</f>
        <v>0.15149616302425792</v>
      </c>
      <c r="O255" s="291">
        <f>표83[[#This Row],[대졸]]/표83[[#This Row],[합계]]</f>
        <v>0.15756493673711136</v>
      </c>
      <c r="P255" s="291">
        <f>표83[[#This Row],[대학원졸]]/표83[[#This Row],[합계]]</f>
        <v>2.6833078679462309E-2</v>
      </c>
      <c r="Q255" s="491">
        <v>1</v>
      </c>
    </row>
    <row r="256" spans="1:18">
      <c r="A256" s="24" t="s">
        <v>101</v>
      </c>
      <c r="B256" s="24" t="s">
        <v>111</v>
      </c>
      <c r="C256" s="24"/>
      <c r="D256" s="24" t="s">
        <v>70</v>
      </c>
      <c r="E256" s="440">
        <v>112171</v>
      </c>
      <c r="F256" s="440">
        <v>34627</v>
      </c>
      <c r="G256" s="440">
        <v>47244</v>
      </c>
      <c r="H256" s="440">
        <v>8847</v>
      </c>
      <c r="I256" s="440">
        <v>202889</v>
      </c>
      <c r="L256" s="24" t="s">
        <v>70</v>
      </c>
      <c r="M256" s="492">
        <f>표83[[#This Row],[고졸]]/표83[[#This Row],[합계]]</f>
        <v>0.5528688100389868</v>
      </c>
      <c r="N256" s="492">
        <f>표83[[#This Row],[전문대졸]]/표83[[#This Row],[합계]]</f>
        <v>0.1706696765226306</v>
      </c>
      <c r="O256" s="492">
        <f>표83[[#This Row],[대졸]]/표83[[#This Row],[합계]]</f>
        <v>0.23285638945433218</v>
      </c>
      <c r="P256" s="492">
        <f>표83[[#This Row],[대학원졸]]/표83[[#This Row],[합계]]</f>
        <v>4.3605123984050392E-2</v>
      </c>
      <c r="Q256" s="491">
        <v>1</v>
      </c>
    </row>
    <row r="257" spans="1:17">
      <c r="A257" s="24" t="s">
        <v>101</v>
      </c>
      <c r="B257" s="24" t="s">
        <v>111</v>
      </c>
      <c r="C257" s="24"/>
      <c r="D257" s="24" t="s">
        <v>85</v>
      </c>
      <c r="E257" s="440">
        <v>43198</v>
      </c>
      <c r="F257" s="440">
        <v>7084</v>
      </c>
      <c r="G257" s="440">
        <v>7571</v>
      </c>
      <c r="H257" s="277">
        <v>768</v>
      </c>
      <c r="I257" s="440">
        <v>58622</v>
      </c>
      <c r="L257" s="24" t="s">
        <v>85</v>
      </c>
      <c r="M257" s="291">
        <f>표83[[#This Row],[고졸]]/표83[[#This Row],[합계]]</f>
        <v>0.73689058715158129</v>
      </c>
      <c r="N257" s="291">
        <f>표83[[#This Row],[전문대졸]]/표83[[#This Row],[합계]]</f>
        <v>0.12084200470813006</v>
      </c>
      <c r="O257" s="291">
        <f>표83[[#This Row],[대졸]]/표83[[#This Row],[합계]]</f>
        <v>0.12914946607075842</v>
      </c>
      <c r="P257" s="291">
        <f>표83[[#This Row],[대학원졸]]/표83[[#This Row],[합계]]</f>
        <v>1.3100883627307155E-2</v>
      </c>
      <c r="Q257" s="491">
        <v>1</v>
      </c>
    </row>
    <row r="258" spans="1:17">
      <c r="A258" s="24" t="s">
        <v>101</v>
      </c>
      <c r="B258" s="24" t="s">
        <v>111</v>
      </c>
      <c r="C258" s="24"/>
      <c r="D258" s="24" t="s">
        <v>86</v>
      </c>
      <c r="E258" s="440">
        <v>39757</v>
      </c>
      <c r="F258" s="440">
        <v>13930</v>
      </c>
      <c r="G258" s="440">
        <v>9124</v>
      </c>
      <c r="H258" s="277">
        <v>720</v>
      </c>
      <c r="I258" s="440">
        <v>63531</v>
      </c>
      <c r="L258" s="24" t="s">
        <v>86</v>
      </c>
      <c r="M258" s="291">
        <f>표83[[#This Row],[고졸]]/표83[[#This Row],[합계]]</f>
        <v>0.62578898490500701</v>
      </c>
      <c r="N258" s="291">
        <f>표83[[#This Row],[전문대졸]]/표83[[#This Row],[합계]]</f>
        <v>0.21926303694259494</v>
      </c>
      <c r="O258" s="291">
        <f>표83[[#This Row],[대졸]]/표83[[#This Row],[합계]]</f>
        <v>0.14361492814531487</v>
      </c>
      <c r="P258" s="291">
        <f>표83[[#This Row],[대학원졸]]/표83[[#This Row],[합계]]</f>
        <v>1.1333050007083156E-2</v>
      </c>
      <c r="Q258" s="491">
        <v>1</v>
      </c>
    </row>
    <row r="259" spans="1:17">
      <c r="A259" s="24" t="s">
        <v>101</v>
      </c>
      <c r="B259" s="24" t="s">
        <v>111</v>
      </c>
      <c r="C259" s="24"/>
      <c r="D259" s="24" t="s">
        <v>87</v>
      </c>
      <c r="E259" s="440">
        <v>76602</v>
      </c>
      <c r="F259" s="440">
        <v>18548</v>
      </c>
      <c r="G259" s="440">
        <v>22651</v>
      </c>
      <c r="H259" s="440">
        <v>2732</v>
      </c>
      <c r="I259" s="440">
        <v>120533</v>
      </c>
      <c r="L259" s="24" t="s">
        <v>87</v>
      </c>
      <c r="M259" s="291">
        <f>표83[[#This Row],[고졸]]/표83[[#This Row],[합계]]</f>
        <v>0.63552720001991159</v>
      </c>
      <c r="N259" s="291">
        <f>표83[[#This Row],[전문대졸]]/표83[[#This Row],[합계]]</f>
        <v>0.15388316892469281</v>
      </c>
      <c r="O259" s="291">
        <f>표83[[#This Row],[대졸]]/표83[[#This Row],[합계]]</f>
        <v>0.18792363916935612</v>
      </c>
      <c r="P259" s="291">
        <f>표83[[#This Row],[대학원졸]]/표83[[#This Row],[합계]]</f>
        <v>2.2665991886039509E-2</v>
      </c>
      <c r="Q259" s="491">
        <v>1</v>
      </c>
    </row>
    <row r="260" spans="1:17">
      <c r="A260" s="24" t="s">
        <v>101</v>
      </c>
      <c r="B260" s="24" t="s">
        <v>111</v>
      </c>
      <c r="C260" s="24"/>
      <c r="D260" s="150" t="s">
        <v>731</v>
      </c>
      <c r="E260" s="440">
        <v>2971</v>
      </c>
      <c r="F260" s="440">
        <v>25402</v>
      </c>
      <c r="G260" s="440">
        <v>103338</v>
      </c>
      <c r="H260" s="440">
        <v>15003</v>
      </c>
      <c r="I260" s="440">
        <v>146714</v>
      </c>
      <c r="L260" s="150" t="s">
        <v>731</v>
      </c>
      <c r="M260" s="291">
        <f>표83[[#This Row],[고졸]]/표83[[#This Row],[합계]]</f>
        <v>2.0250282863257765E-2</v>
      </c>
      <c r="N260" s="291">
        <f>표83[[#This Row],[전문대졸]]/표83[[#This Row],[합계]]</f>
        <v>0.17313957768174817</v>
      </c>
      <c r="O260" s="291">
        <f>표83[[#This Row],[대졸]]/표83[[#This Row],[합계]]</f>
        <v>0.70434995978570547</v>
      </c>
      <c r="P260" s="291">
        <f>표83[[#This Row],[대학원졸]]/표83[[#This Row],[합계]]</f>
        <v>0.10226017966928855</v>
      </c>
      <c r="Q260" s="491">
        <v>1</v>
      </c>
    </row>
    <row r="261" spans="1:17">
      <c r="A261" s="24" t="s">
        <v>101</v>
      </c>
      <c r="B261" s="24"/>
      <c r="C261" s="24"/>
      <c r="D261" s="150" t="s">
        <v>732</v>
      </c>
      <c r="E261" s="277">
        <v>967</v>
      </c>
      <c r="F261" s="440">
        <v>6572</v>
      </c>
      <c r="G261" s="440">
        <v>14126</v>
      </c>
      <c r="H261" s="440">
        <v>2127</v>
      </c>
      <c r="I261" s="440">
        <v>23793</v>
      </c>
      <c r="L261" s="150" t="s">
        <v>732</v>
      </c>
      <c r="M261" s="291">
        <f>표83[[#This Row],[고졸]]/표83[[#This Row],[합계]]</f>
        <v>4.0642205690749382E-2</v>
      </c>
      <c r="N261" s="291">
        <f>표83[[#This Row],[전문대졸]]/표83[[#This Row],[합계]]</f>
        <v>0.27621569369142185</v>
      </c>
      <c r="O261" s="291">
        <f>표83[[#This Row],[대졸]]/표83[[#This Row],[합계]]</f>
        <v>0.59370403059723453</v>
      </c>
      <c r="P261" s="291">
        <f>표83[[#This Row],[대학원졸]]/표83[[#This Row],[합계]]</f>
        <v>8.9396040852351533E-2</v>
      </c>
      <c r="Q261" s="491">
        <v>1</v>
      </c>
    </row>
    <row r="262" spans="1:17">
      <c r="A262" s="24" t="s">
        <v>101</v>
      </c>
      <c r="B262" s="22" t="s">
        <v>112</v>
      </c>
      <c r="E262" s="24"/>
    </row>
    <row r="263" spans="1:17">
      <c r="A263" s="24" t="s">
        <v>101</v>
      </c>
      <c r="B263" s="22" t="s">
        <v>112</v>
      </c>
    </row>
    <row r="264" spans="1:17">
      <c r="A264" s="24" t="s">
        <v>101</v>
      </c>
      <c r="B264" s="22" t="s">
        <v>112</v>
      </c>
      <c r="E264" s="24"/>
    </row>
    <row r="265" spans="1:17">
      <c r="A265" s="24" t="s">
        <v>101</v>
      </c>
      <c r="B265" s="22" t="s">
        <v>112</v>
      </c>
    </row>
    <row r="266" spans="1:17">
      <c r="A266" s="24" t="s">
        <v>101</v>
      </c>
      <c r="B266" s="22" t="s">
        <v>112</v>
      </c>
    </row>
    <row r="267" spans="1:17">
      <c r="A267" s="24" t="s">
        <v>101</v>
      </c>
      <c r="B267" s="22" t="s">
        <v>112</v>
      </c>
    </row>
    <row r="268" spans="1:17">
      <c r="A268" s="24" t="s">
        <v>101</v>
      </c>
      <c r="B268" s="22" t="s">
        <v>112</v>
      </c>
    </row>
    <row r="269" spans="1:17">
      <c r="A269" s="24" t="s">
        <v>101</v>
      </c>
      <c r="B269" s="22" t="s">
        <v>112</v>
      </c>
    </row>
    <row r="270" spans="1:17">
      <c r="A270" s="24" t="s">
        <v>101</v>
      </c>
      <c r="B270" s="22" t="s">
        <v>112</v>
      </c>
    </row>
    <row r="271" spans="1:17">
      <c r="A271" s="24" t="s">
        <v>101</v>
      </c>
      <c r="B271" s="22" t="s">
        <v>112</v>
      </c>
    </row>
    <row r="272" spans="1:17">
      <c r="A272" s="24" t="s">
        <v>101</v>
      </c>
      <c r="B272" s="22" t="s">
        <v>112</v>
      </c>
    </row>
    <row r="273" spans="1:20">
      <c r="A273" s="24" t="s">
        <v>101</v>
      </c>
      <c r="B273" s="22" t="s">
        <v>112</v>
      </c>
    </row>
    <row r="274" spans="1:20">
      <c r="A274" s="24" t="s">
        <v>101</v>
      </c>
      <c r="B274" s="22" t="s">
        <v>112</v>
      </c>
    </row>
    <row r="275" spans="1:20">
      <c r="A275" s="24" t="s">
        <v>101</v>
      </c>
      <c r="B275" s="22" t="s">
        <v>112</v>
      </c>
    </row>
    <row r="276" spans="1:20">
      <c r="A276" s="24" t="s">
        <v>101</v>
      </c>
      <c r="B276" s="22" t="s">
        <v>112</v>
      </c>
    </row>
    <row r="277" spans="1:20">
      <c r="A277" s="24" t="s">
        <v>101</v>
      </c>
    </row>
    <row r="278" spans="1:20">
      <c r="A278" s="24" t="s">
        <v>101</v>
      </c>
      <c r="B278" s="24" t="s">
        <v>124</v>
      </c>
      <c r="C278" s="24"/>
      <c r="D278" s="208" t="s">
        <v>1193</v>
      </c>
    </row>
    <row r="279" spans="1:20" s="24" customFormat="1">
      <c r="A279" s="24" t="s">
        <v>101</v>
      </c>
    </row>
    <row r="280" spans="1:20">
      <c r="A280" s="69" t="s">
        <v>104</v>
      </c>
      <c r="B280" s="69" t="s">
        <v>120</v>
      </c>
      <c r="C280" s="69"/>
      <c r="D280" s="212" t="s">
        <v>1200</v>
      </c>
      <c r="E280" s="69"/>
      <c r="F280" s="69"/>
      <c r="G280" s="69"/>
      <c r="H280" s="69"/>
      <c r="I280" s="69"/>
      <c r="J280" s="69"/>
      <c r="K280" s="69"/>
      <c r="L280" s="69"/>
      <c r="M280" s="69"/>
      <c r="N280" s="69"/>
      <c r="O280" s="69"/>
      <c r="P280" s="69"/>
      <c r="Q280" s="69"/>
      <c r="R280" s="69"/>
    </row>
    <row r="281" spans="1:20">
      <c r="A281" s="24" t="s">
        <v>104</v>
      </c>
      <c r="B281" s="24" t="s">
        <v>122</v>
      </c>
      <c r="C281" s="24"/>
      <c r="D281" s="208" t="s">
        <v>1202</v>
      </c>
    </row>
    <row r="282" spans="1:20">
      <c r="A282" s="24" t="s">
        <v>104</v>
      </c>
      <c r="B282" s="24" t="s">
        <v>122</v>
      </c>
      <c r="C282" s="24"/>
      <c r="D282" s="208" t="s">
        <v>1203</v>
      </c>
    </row>
    <row r="283" spans="1:20">
      <c r="A283" s="24" t="s">
        <v>104</v>
      </c>
      <c r="B283" s="24" t="s">
        <v>122</v>
      </c>
      <c r="C283" s="24"/>
      <c r="D283" s="22" t="s">
        <v>1794</v>
      </c>
    </row>
    <row r="284" spans="1:20">
      <c r="A284" s="24" t="s">
        <v>104</v>
      </c>
      <c r="N284" s="157"/>
      <c r="O284" s="157"/>
      <c r="P284" s="157"/>
      <c r="Q284" s="157"/>
      <c r="R284" s="156"/>
    </row>
    <row r="285" spans="1:20">
      <c r="A285" s="24" t="s">
        <v>104</v>
      </c>
      <c r="B285" s="24" t="s">
        <v>111</v>
      </c>
      <c r="C285" s="24"/>
      <c r="D285" s="24" t="s">
        <v>19</v>
      </c>
      <c r="E285" s="24" t="s">
        <v>80</v>
      </c>
      <c r="F285" s="24" t="s">
        <v>78</v>
      </c>
      <c r="G285" s="24" t="s">
        <v>76</v>
      </c>
      <c r="H285" s="24" t="s">
        <v>74</v>
      </c>
      <c r="I285" s="24" t="s">
        <v>42</v>
      </c>
      <c r="J285" s="24" t="s">
        <v>23</v>
      </c>
      <c r="N285" s="45"/>
      <c r="O285" s="45"/>
      <c r="P285" s="45"/>
      <c r="Q285" s="45"/>
      <c r="R285" s="51"/>
    </row>
    <row r="286" spans="1:20">
      <c r="A286" s="24" t="s">
        <v>104</v>
      </c>
      <c r="B286" s="24" t="s">
        <v>111</v>
      </c>
      <c r="C286" s="24"/>
      <c r="D286" s="24" t="s">
        <v>72</v>
      </c>
      <c r="E286" s="440">
        <v>16310</v>
      </c>
      <c r="F286" s="440">
        <v>5390</v>
      </c>
      <c r="G286" s="440">
        <v>9893</v>
      </c>
      <c r="H286" s="440">
        <v>2547</v>
      </c>
      <c r="I286" s="440">
        <v>34140</v>
      </c>
      <c r="M286" s="257"/>
      <c r="N286" s="204"/>
      <c r="O286" s="204"/>
      <c r="P286" s="257"/>
      <c r="Q286" s="493"/>
      <c r="R286" s="45"/>
      <c r="S286" s="45"/>
      <c r="T286" s="45"/>
    </row>
    <row r="287" spans="1:20">
      <c r="A287" s="24" t="s">
        <v>104</v>
      </c>
      <c r="B287" s="24" t="s">
        <v>111</v>
      </c>
      <c r="C287" s="24"/>
      <c r="D287" s="24" t="s">
        <v>88</v>
      </c>
      <c r="E287">
        <v>540</v>
      </c>
      <c r="F287">
        <v>225</v>
      </c>
      <c r="G287">
        <v>329</v>
      </c>
      <c r="H287">
        <v>37</v>
      </c>
      <c r="I287" s="256">
        <v>1131</v>
      </c>
      <c r="L287" s="45"/>
      <c r="M287" s="45"/>
      <c r="N287" s="45"/>
      <c r="O287" s="45"/>
      <c r="P287" s="45"/>
    </row>
    <row r="288" spans="1:20">
      <c r="A288" s="24" t="s">
        <v>104</v>
      </c>
      <c r="B288" s="24" t="s">
        <v>111</v>
      </c>
      <c r="C288" s="24"/>
      <c r="D288" s="24" t="s">
        <v>89</v>
      </c>
      <c r="E288" s="258">
        <f>SUM(E286:E287)</f>
        <v>16850</v>
      </c>
      <c r="F288" s="258">
        <f>SUM(F286:F287)</f>
        <v>5615</v>
      </c>
      <c r="G288" s="258">
        <f>SUM(G286:G287)</f>
        <v>10222</v>
      </c>
      <c r="H288" s="258">
        <f>SUM(H286:H287)</f>
        <v>2584</v>
      </c>
      <c r="I288" s="258">
        <f>SUM(I286:I287)</f>
        <v>35271</v>
      </c>
      <c r="L288" s="45"/>
      <c r="M288" s="45"/>
      <c r="P288" s="52"/>
      <c r="Q288" s="45"/>
    </row>
    <row r="289" spans="1:9">
      <c r="A289" s="24" t="s">
        <v>104</v>
      </c>
      <c r="B289" s="24" t="s">
        <v>111</v>
      </c>
      <c r="C289" s="24"/>
      <c r="D289" s="24" t="s">
        <v>657</v>
      </c>
      <c r="E289" s="259">
        <f>E287/E288</f>
        <v>3.2047477744807124E-2</v>
      </c>
      <c r="F289" s="259">
        <f>F287/F288</f>
        <v>4.0071237756010687E-2</v>
      </c>
      <c r="G289" s="259">
        <f>G287/G288</f>
        <v>3.2185482293093329E-2</v>
      </c>
      <c r="H289" s="260">
        <v>1.9E-2</v>
      </c>
      <c r="I289" s="261">
        <v>3.2000000000000001E-2</v>
      </c>
    </row>
    <row r="290" spans="1:9">
      <c r="A290" s="24" t="s">
        <v>104</v>
      </c>
      <c r="B290" s="24"/>
      <c r="C290" s="24"/>
      <c r="E290" s="28"/>
      <c r="F290" s="28"/>
      <c r="G290" s="28"/>
      <c r="H290" s="28"/>
      <c r="I290" s="28"/>
    </row>
    <row r="291" spans="1:9">
      <c r="A291" s="24" t="s">
        <v>104</v>
      </c>
      <c r="B291" s="22" t="s">
        <v>112</v>
      </c>
      <c r="E291" s="24"/>
    </row>
    <row r="292" spans="1:9">
      <c r="A292" s="24" t="s">
        <v>104</v>
      </c>
      <c r="B292" s="22" t="s">
        <v>112</v>
      </c>
    </row>
    <row r="293" spans="1:9">
      <c r="A293" s="24" t="s">
        <v>104</v>
      </c>
      <c r="B293" s="22" t="s">
        <v>112</v>
      </c>
    </row>
    <row r="294" spans="1:9">
      <c r="A294" s="24" t="s">
        <v>104</v>
      </c>
      <c r="B294" s="22" t="s">
        <v>112</v>
      </c>
    </row>
    <row r="295" spans="1:9">
      <c r="A295" s="24" t="s">
        <v>104</v>
      </c>
      <c r="B295" s="22" t="s">
        <v>112</v>
      </c>
    </row>
    <row r="296" spans="1:9">
      <c r="A296" s="24" t="s">
        <v>104</v>
      </c>
      <c r="B296" s="22" t="s">
        <v>112</v>
      </c>
    </row>
    <row r="297" spans="1:9">
      <c r="A297" s="24" t="s">
        <v>104</v>
      </c>
      <c r="B297" s="22" t="s">
        <v>112</v>
      </c>
    </row>
    <row r="298" spans="1:9">
      <c r="A298" s="24" t="s">
        <v>104</v>
      </c>
      <c r="B298" s="22" t="s">
        <v>112</v>
      </c>
    </row>
    <row r="299" spans="1:9">
      <c r="A299" s="24" t="s">
        <v>18</v>
      </c>
      <c r="B299" s="22" t="s">
        <v>112</v>
      </c>
    </row>
    <row r="300" spans="1:9">
      <c r="A300" s="24" t="s">
        <v>18</v>
      </c>
      <c r="B300" s="22" t="s">
        <v>112</v>
      </c>
    </row>
    <row r="301" spans="1:9">
      <c r="A301" s="24" t="s">
        <v>18</v>
      </c>
      <c r="B301" s="22" t="s">
        <v>112</v>
      </c>
    </row>
    <row r="302" spans="1:9">
      <c r="A302" s="24" t="s">
        <v>18</v>
      </c>
      <c r="B302" s="22" t="s">
        <v>112</v>
      </c>
    </row>
    <row r="303" spans="1:9">
      <c r="A303" s="24" t="s">
        <v>18</v>
      </c>
      <c r="B303" s="22" t="s">
        <v>112</v>
      </c>
    </row>
    <row r="304" spans="1:9">
      <c r="A304" s="24" t="s">
        <v>18</v>
      </c>
      <c r="B304" s="22" t="s">
        <v>112</v>
      </c>
    </row>
    <row r="305" spans="1:18">
      <c r="A305" s="24" t="s">
        <v>18</v>
      </c>
    </row>
    <row r="306" spans="1:18">
      <c r="A306" s="24" t="s">
        <v>18</v>
      </c>
      <c r="B306" s="24" t="s">
        <v>124</v>
      </c>
      <c r="C306" s="24"/>
      <c r="D306" s="208" t="s">
        <v>1193</v>
      </c>
    </row>
    <row r="307" spans="1:18" s="24" customFormat="1">
      <c r="A307" s="24" t="s">
        <v>18</v>
      </c>
    </row>
    <row r="308" spans="1:18">
      <c r="A308" s="69" t="s">
        <v>125</v>
      </c>
      <c r="B308" s="69" t="s">
        <v>120</v>
      </c>
      <c r="C308" s="69"/>
      <c r="D308" s="212" t="s">
        <v>2239</v>
      </c>
      <c r="E308" s="69"/>
      <c r="F308" s="69"/>
      <c r="G308" s="69"/>
      <c r="H308" s="69"/>
      <c r="I308" s="69"/>
      <c r="J308" s="69"/>
      <c r="K308" s="69"/>
      <c r="L308" s="69"/>
      <c r="M308" s="69"/>
      <c r="N308" s="69"/>
      <c r="O308" s="69"/>
      <c r="P308" s="69"/>
      <c r="Q308" s="69"/>
      <c r="R308" s="69"/>
    </row>
    <row r="309" spans="1:18">
      <c r="A309" s="24" t="s">
        <v>125</v>
      </c>
      <c r="B309" s="24" t="s">
        <v>122</v>
      </c>
      <c r="C309" s="24"/>
      <c r="D309" s="208" t="s">
        <v>2242</v>
      </c>
    </row>
    <row r="310" spans="1:18">
      <c r="A310" s="24" t="s">
        <v>125</v>
      </c>
      <c r="B310" s="24"/>
      <c r="C310" s="24"/>
      <c r="D310" s="22" t="s">
        <v>10</v>
      </c>
    </row>
    <row r="311" spans="1:18">
      <c r="A311" s="24" t="s">
        <v>125</v>
      </c>
      <c r="B311" s="24" t="s">
        <v>111</v>
      </c>
      <c r="C311" s="24"/>
      <c r="D311" s="24" t="s">
        <v>19</v>
      </c>
      <c r="E311" s="24" t="s">
        <v>91</v>
      </c>
      <c r="F311" s="24" t="s">
        <v>92</v>
      </c>
      <c r="G311" s="24" t="s">
        <v>23</v>
      </c>
    </row>
    <row r="312" spans="1:18">
      <c r="A312" s="24" t="s">
        <v>125</v>
      </c>
      <c r="B312" s="24" t="s">
        <v>111</v>
      </c>
      <c r="C312" s="24"/>
      <c r="D312" s="235" t="s">
        <v>2240</v>
      </c>
      <c r="E312" s="325">
        <v>65387</v>
      </c>
      <c r="F312" s="701">
        <v>29.6</v>
      </c>
      <c r="G312" s="24"/>
      <c r="H312" s="24"/>
      <c r="M312" s="26"/>
    </row>
    <row r="313" spans="1:18">
      <c r="A313" s="24" t="s">
        <v>125</v>
      </c>
      <c r="B313" s="24" t="s">
        <v>111</v>
      </c>
      <c r="C313" s="24"/>
      <c r="D313" s="19" t="s">
        <v>675</v>
      </c>
      <c r="E313" s="19">
        <v>65387</v>
      </c>
      <c r="F313" s="699">
        <v>29.6</v>
      </c>
      <c r="G313" s="24"/>
      <c r="H313" s="24"/>
    </row>
    <row r="314" spans="1:18">
      <c r="A314" s="24" t="s">
        <v>125</v>
      </c>
      <c r="B314" s="24" t="s">
        <v>111</v>
      </c>
      <c r="D314" s="24" t="s">
        <v>166</v>
      </c>
      <c r="E314" s="24">
        <v>53186</v>
      </c>
      <c r="F314" s="57">
        <v>29.7</v>
      </c>
      <c r="G314" s="24"/>
      <c r="M314" s="45"/>
    </row>
    <row r="315" spans="1:18">
      <c r="A315" s="24"/>
      <c r="B315" s="24"/>
      <c r="D315" s="24"/>
      <c r="E315" s="24"/>
      <c r="F315" s="57"/>
      <c r="G315" s="24"/>
    </row>
    <row r="316" spans="1:18">
      <c r="A316" s="24" t="s">
        <v>125</v>
      </c>
      <c r="B316" s="24" t="s">
        <v>922</v>
      </c>
      <c r="C316" s="24"/>
      <c r="D316" s="22" t="s">
        <v>706</v>
      </c>
    </row>
    <row r="317" spans="1:18">
      <c r="A317" s="24" t="s">
        <v>125</v>
      </c>
      <c r="B317" s="24" t="s">
        <v>124</v>
      </c>
      <c r="C317" s="24"/>
      <c r="D317" s="403" t="s">
        <v>1051</v>
      </c>
      <c r="E317" s="24"/>
    </row>
    <row r="318" spans="1:18" s="24" customFormat="1">
      <c r="A318" s="24" t="s">
        <v>125</v>
      </c>
      <c r="B318" s="24" t="s">
        <v>124</v>
      </c>
      <c r="D318" s="208" t="s">
        <v>2243</v>
      </c>
    </row>
    <row r="319" spans="1:18">
      <c r="A319" s="69" t="s">
        <v>126</v>
      </c>
      <c r="B319" s="69" t="s">
        <v>120</v>
      </c>
      <c r="C319" s="69"/>
      <c r="D319" s="212" t="s">
        <v>2244</v>
      </c>
      <c r="E319" s="69"/>
      <c r="F319" s="69"/>
      <c r="G319" s="69"/>
      <c r="H319" s="69"/>
      <c r="I319" s="69"/>
      <c r="J319" s="262"/>
      <c r="K319" s="69"/>
      <c r="L319" s="69"/>
      <c r="M319" s="69"/>
      <c r="N319" s="69"/>
      <c r="O319" s="69"/>
      <c r="P319" s="69"/>
      <c r="Q319" s="69"/>
      <c r="R319" s="69"/>
    </row>
    <row r="320" spans="1:18">
      <c r="A320" s="24" t="s">
        <v>126</v>
      </c>
      <c r="B320" s="24" t="s">
        <v>122</v>
      </c>
      <c r="C320" s="24"/>
      <c r="D320" s="208" t="s">
        <v>2246</v>
      </c>
    </row>
    <row r="321" spans="1:15">
      <c r="A321" s="24" t="s">
        <v>126</v>
      </c>
      <c r="B321" s="24"/>
      <c r="C321" s="24"/>
    </row>
    <row r="322" spans="1:15">
      <c r="A322" s="24" t="s">
        <v>126</v>
      </c>
      <c r="B322" s="24" t="s">
        <v>111</v>
      </c>
      <c r="C322" s="24"/>
      <c r="D322" s="22" t="s">
        <v>19</v>
      </c>
      <c r="E322" s="22" t="s">
        <v>166</v>
      </c>
      <c r="F322" s="22" t="s">
        <v>675</v>
      </c>
      <c r="G322" s="22" t="s">
        <v>2245</v>
      </c>
      <c r="H322" s="116" t="s">
        <v>23</v>
      </c>
    </row>
    <row r="323" spans="1:15">
      <c r="A323" s="24" t="s">
        <v>126</v>
      </c>
      <c r="B323" s="24" t="s">
        <v>111</v>
      </c>
      <c r="C323" s="24"/>
      <c r="D323" s="22" t="s">
        <v>637</v>
      </c>
      <c r="E323" s="52">
        <v>43</v>
      </c>
      <c r="F323" s="700">
        <v>39</v>
      </c>
      <c r="G323" s="702">
        <v>39</v>
      </c>
      <c r="H323" s="57"/>
      <c r="K323" s="52"/>
      <c r="L323" s="52"/>
    </row>
    <row r="324" spans="1:15">
      <c r="A324" s="24" t="s">
        <v>126</v>
      </c>
      <c r="B324" s="24" t="s">
        <v>111</v>
      </c>
      <c r="C324" s="24"/>
      <c r="D324" s="22" t="s">
        <v>638</v>
      </c>
      <c r="E324" s="52">
        <v>32.9</v>
      </c>
      <c r="F324" s="700">
        <v>31.4</v>
      </c>
      <c r="G324" s="702">
        <v>31.4</v>
      </c>
      <c r="H324" s="158"/>
      <c r="I324" s="52"/>
      <c r="J324" s="52"/>
      <c r="K324" s="52"/>
      <c r="L324" s="52"/>
      <c r="M324" s="52"/>
    </row>
    <row r="325" spans="1:15">
      <c r="A325" s="24" t="s">
        <v>126</v>
      </c>
      <c r="B325" s="24" t="s">
        <v>111</v>
      </c>
      <c r="C325" s="24"/>
      <c r="D325" s="22" t="s">
        <v>639</v>
      </c>
      <c r="E325" s="52">
        <v>14.6</v>
      </c>
      <c r="F325" s="700">
        <v>15.4</v>
      </c>
      <c r="G325" s="702">
        <v>15.4</v>
      </c>
      <c r="H325" s="52"/>
      <c r="I325" s="52"/>
      <c r="J325" s="52"/>
      <c r="K325" s="52"/>
      <c r="L325" s="52"/>
      <c r="O325" s="52"/>
    </row>
    <row r="326" spans="1:15">
      <c r="A326" s="24" t="s">
        <v>126</v>
      </c>
      <c r="B326" s="24" t="s">
        <v>111</v>
      </c>
      <c r="C326" s="24"/>
      <c r="D326" s="22" t="s">
        <v>640</v>
      </c>
      <c r="E326" s="52">
        <v>26.6</v>
      </c>
      <c r="F326" s="700">
        <v>27</v>
      </c>
      <c r="G326" s="702">
        <v>27</v>
      </c>
      <c r="H326" s="52"/>
      <c r="I326" s="52"/>
      <c r="J326" s="52"/>
      <c r="K326" s="52"/>
      <c r="L326" s="52"/>
      <c r="O326" s="52"/>
    </row>
    <row r="327" spans="1:15">
      <c r="A327" s="24" t="s">
        <v>126</v>
      </c>
      <c r="B327" s="24" t="s">
        <v>111</v>
      </c>
      <c r="C327" s="24"/>
      <c r="D327" s="22" t="s">
        <v>641</v>
      </c>
      <c r="E327" s="52">
        <v>26.2</v>
      </c>
      <c r="F327" s="700">
        <v>25.2</v>
      </c>
      <c r="G327" s="702">
        <v>25.2</v>
      </c>
      <c r="H327" s="52"/>
      <c r="I327" s="52"/>
      <c r="K327" s="52"/>
    </row>
    <row r="328" spans="1:15">
      <c r="A328" s="24" t="s">
        <v>126</v>
      </c>
      <c r="B328" s="24" t="s">
        <v>111</v>
      </c>
      <c r="C328" s="24"/>
      <c r="D328" s="22" t="s">
        <v>642</v>
      </c>
      <c r="E328" s="52">
        <v>22.6</v>
      </c>
      <c r="F328" s="700">
        <v>21.9</v>
      </c>
      <c r="G328" s="702">
        <v>21.9</v>
      </c>
      <c r="H328" s="52"/>
      <c r="I328" s="52"/>
      <c r="K328" s="52"/>
      <c r="L328" s="52"/>
      <c r="O328" s="52"/>
    </row>
    <row r="329" spans="1:15">
      <c r="A329" s="24" t="s">
        <v>126</v>
      </c>
      <c r="B329" s="24" t="s">
        <v>111</v>
      </c>
      <c r="C329" s="24"/>
      <c r="D329" s="22" t="s">
        <v>643</v>
      </c>
      <c r="E329" s="52">
        <v>27.1</v>
      </c>
      <c r="F329" s="700">
        <v>23.7</v>
      </c>
      <c r="G329" s="702">
        <v>23.7</v>
      </c>
      <c r="H329" s="52"/>
      <c r="I329" s="52"/>
      <c r="K329" s="52"/>
    </row>
    <row r="330" spans="1:15">
      <c r="A330" s="24" t="s">
        <v>126</v>
      </c>
      <c r="B330" s="24" t="s">
        <v>111</v>
      </c>
      <c r="C330" s="24"/>
      <c r="D330" s="22" t="s">
        <v>644</v>
      </c>
      <c r="E330" s="52">
        <v>29.1</v>
      </c>
      <c r="F330" s="700">
        <v>34.299999999999997</v>
      </c>
      <c r="G330" s="702">
        <v>34.299999999999997</v>
      </c>
      <c r="H330" s="52"/>
      <c r="I330" s="52"/>
      <c r="K330" s="52"/>
    </row>
    <row r="331" spans="1:15">
      <c r="A331" s="24" t="s">
        <v>126</v>
      </c>
      <c r="B331" s="24" t="s">
        <v>111</v>
      </c>
      <c r="C331" s="24"/>
      <c r="D331" s="22" t="s">
        <v>734</v>
      </c>
      <c r="E331" s="52">
        <v>32.1</v>
      </c>
      <c r="F331" s="700">
        <v>32.299999999999997</v>
      </c>
      <c r="G331" s="702">
        <v>32.299999999999997</v>
      </c>
      <c r="H331" s="52"/>
      <c r="I331" s="52"/>
      <c r="K331" s="52"/>
    </row>
    <row r="332" spans="1:15">
      <c r="A332" s="24" t="s">
        <v>126</v>
      </c>
      <c r="B332" s="24"/>
      <c r="C332" s="24"/>
      <c r="G332" s="52"/>
    </row>
    <row r="333" spans="1:15">
      <c r="A333" s="24" t="s">
        <v>126</v>
      </c>
      <c r="B333" s="24" t="s">
        <v>112</v>
      </c>
      <c r="C333" s="24"/>
    </row>
    <row r="334" spans="1:15">
      <c r="A334" s="24" t="s">
        <v>126</v>
      </c>
      <c r="B334" s="24" t="s">
        <v>112</v>
      </c>
      <c r="C334" s="24"/>
    </row>
    <row r="335" spans="1:15">
      <c r="A335" s="24" t="s">
        <v>126</v>
      </c>
      <c r="B335" s="24" t="s">
        <v>112</v>
      </c>
      <c r="C335" s="24"/>
    </row>
    <row r="336" spans="1:15">
      <c r="A336" s="24" t="s">
        <v>126</v>
      </c>
      <c r="B336" s="24" t="s">
        <v>112</v>
      </c>
      <c r="C336" s="24"/>
    </row>
    <row r="337" spans="1:18">
      <c r="A337" s="24" t="s">
        <v>126</v>
      </c>
      <c r="B337" s="24" t="s">
        <v>112</v>
      </c>
      <c r="C337" s="24"/>
    </row>
    <row r="338" spans="1:18">
      <c r="A338" s="24" t="s">
        <v>126</v>
      </c>
      <c r="B338" s="24" t="s">
        <v>112</v>
      </c>
      <c r="C338" s="24"/>
    </row>
    <row r="339" spans="1:18">
      <c r="A339" s="24" t="s">
        <v>126</v>
      </c>
      <c r="B339" s="24" t="s">
        <v>112</v>
      </c>
      <c r="C339" s="24"/>
    </row>
    <row r="340" spans="1:18">
      <c r="A340" s="24" t="s">
        <v>126</v>
      </c>
      <c r="B340" s="24" t="s">
        <v>112</v>
      </c>
      <c r="C340" s="24"/>
    </row>
    <row r="341" spans="1:18">
      <c r="A341" s="24" t="s">
        <v>126</v>
      </c>
      <c r="B341" s="24" t="s">
        <v>112</v>
      </c>
      <c r="C341" s="24"/>
    </row>
    <row r="342" spans="1:18">
      <c r="A342" s="24" t="s">
        <v>126</v>
      </c>
      <c r="B342" s="24" t="s">
        <v>112</v>
      </c>
      <c r="C342" s="24"/>
    </row>
    <row r="343" spans="1:18">
      <c r="A343" s="24" t="s">
        <v>126</v>
      </c>
      <c r="B343" s="24" t="s">
        <v>112</v>
      </c>
      <c r="C343" s="24"/>
    </row>
    <row r="344" spans="1:18">
      <c r="A344" s="24" t="s">
        <v>126</v>
      </c>
      <c r="B344" s="24" t="s">
        <v>112</v>
      </c>
      <c r="C344" s="24"/>
    </row>
    <row r="345" spans="1:18">
      <c r="A345" s="24" t="s">
        <v>126</v>
      </c>
      <c r="B345" s="24" t="s">
        <v>112</v>
      </c>
      <c r="C345" s="24"/>
    </row>
    <row r="346" spans="1:18">
      <c r="A346" s="24" t="s">
        <v>126</v>
      </c>
      <c r="B346" s="24" t="s">
        <v>112</v>
      </c>
      <c r="C346" s="24"/>
    </row>
    <row r="347" spans="1:18">
      <c r="A347" s="24" t="s">
        <v>126</v>
      </c>
      <c r="B347" s="24" t="s">
        <v>112</v>
      </c>
      <c r="C347" s="24"/>
    </row>
    <row r="348" spans="1:18">
      <c r="A348" s="24" t="s">
        <v>126</v>
      </c>
      <c r="B348" s="24" t="s">
        <v>124</v>
      </c>
      <c r="D348" s="22" t="s">
        <v>706</v>
      </c>
    </row>
    <row r="349" spans="1:18">
      <c r="A349" s="24" t="s">
        <v>126</v>
      </c>
      <c r="B349" s="24" t="s">
        <v>124</v>
      </c>
      <c r="C349" s="24"/>
      <c r="D349" s="403" t="s">
        <v>1051</v>
      </c>
    </row>
    <row r="350" spans="1:18">
      <c r="A350" s="24" t="s">
        <v>126</v>
      </c>
      <c r="B350" s="24" t="s">
        <v>124</v>
      </c>
      <c r="C350" s="24"/>
      <c r="D350" s="208" t="s">
        <v>2243</v>
      </c>
      <c r="E350" s="24"/>
      <c r="F350" s="24"/>
    </row>
    <row r="351" spans="1:18" s="24" customFormat="1">
      <c r="A351" s="24" t="s">
        <v>126</v>
      </c>
    </row>
    <row r="352" spans="1:18">
      <c r="A352" s="69" t="s">
        <v>127</v>
      </c>
      <c r="B352" s="69" t="s">
        <v>120</v>
      </c>
      <c r="C352" s="69"/>
      <c r="D352" s="212" t="s">
        <v>2247</v>
      </c>
      <c r="E352" s="69"/>
      <c r="F352" s="69"/>
      <c r="G352" s="212"/>
      <c r="H352" s="69"/>
      <c r="I352" s="69"/>
      <c r="J352" s="69"/>
      <c r="K352" s="69"/>
      <c r="L352" s="69"/>
      <c r="M352" s="69"/>
      <c r="N352" s="69"/>
      <c r="O352" s="69"/>
      <c r="P352" s="69"/>
      <c r="Q352" s="69"/>
      <c r="R352" s="69"/>
    </row>
    <row r="353" spans="1:18">
      <c r="A353" s="24" t="s">
        <v>127</v>
      </c>
      <c r="B353" s="24" t="s">
        <v>122</v>
      </c>
      <c r="C353" s="24"/>
      <c r="D353" s="208" t="s">
        <v>2255</v>
      </c>
    </row>
    <row r="354" spans="1:18">
      <c r="A354" s="24" t="s">
        <v>127</v>
      </c>
      <c r="B354" s="24" t="s">
        <v>122</v>
      </c>
      <c r="C354" s="24"/>
      <c r="D354" s="208" t="s">
        <v>2256</v>
      </c>
    </row>
    <row r="355" spans="1:18">
      <c r="A355" s="24" t="s">
        <v>127</v>
      </c>
      <c r="B355" s="24"/>
      <c r="C355" s="24"/>
    </row>
    <row r="356" spans="1:18">
      <c r="A356" s="24" t="s">
        <v>127</v>
      </c>
      <c r="B356" s="24" t="s">
        <v>111</v>
      </c>
      <c r="C356" s="24"/>
      <c r="D356" s="64" t="s">
        <v>93</v>
      </c>
      <c r="E356" s="64" t="s">
        <v>736</v>
      </c>
      <c r="F356" s="64" t="s">
        <v>923</v>
      </c>
      <c r="G356" s="64" t="s">
        <v>2251</v>
      </c>
      <c r="H356" s="64" t="s">
        <v>735</v>
      </c>
      <c r="I356" s="64" t="s">
        <v>924</v>
      </c>
      <c r="J356" s="64" t="s">
        <v>2252</v>
      </c>
      <c r="K356" s="116" t="s">
        <v>23</v>
      </c>
      <c r="O356" s="45"/>
    </row>
    <row r="357" spans="1:18">
      <c r="A357" s="24" t="s">
        <v>127</v>
      </c>
      <c r="B357" s="24" t="s">
        <v>111</v>
      </c>
      <c r="C357" s="24"/>
      <c r="D357" s="65" t="s">
        <v>90</v>
      </c>
      <c r="E357" s="65">
        <v>714971</v>
      </c>
      <c r="F357" s="576">
        <v>810643</v>
      </c>
      <c r="G357" s="263">
        <v>817297</v>
      </c>
      <c r="H357" s="24">
        <v>42269</v>
      </c>
      <c r="I357" s="19">
        <v>52334</v>
      </c>
      <c r="J357" s="325">
        <v>52334</v>
      </c>
      <c r="K357" s="24"/>
      <c r="M357" s="112"/>
    </row>
    <row r="358" spans="1:18">
      <c r="A358" s="24" t="s">
        <v>127</v>
      </c>
      <c r="B358" s="24" t="s">
        <v>111</v>
      </c>
      <c r="C358" s="24"/>
      <c r="D358" s="64" t="s">
        <v>94</v>
      </c>
      <c r="E358" s="66">
        <v>19.8</v>
      </c>
      <c r="F358" s="362">
        <v>22.2</v>
      </c>
      <c r="G358" s="264">
        <v>20.9</v>
      </c>
      <c r="H358" s="57">
        <v>30.4</v>
      </c>
      <c r="I358" s="699">
        <v>29.9</v>
      </c>
      <c r="J358" s="701">
        <v>29.9</v>
      </c>
      <c r="K358" s="24"/>
      <c r="N358" s="45"/>
    </row>
    <row r="359" spans="1:18">
      <c r="A359" s="24" t="s">
        <v>127</v>
      </c>
      <c r="B359" s="24"/>
      <c r="C359" s="24"/>
      <c r="D359" s="64"/>
      <c r="E359" s="66"/>
      <c r="F359" s="66"/>
      <c r="G359" s="66"/>
      <c r="H359" s="66"/>
      <c r="I359" s="64"/>
    </row>
    <row r="360" spans="1:18">
      <c r="A360" s="24" t="s">
        <v>127</v>
      </c>
      <c r="B360" s="24"/>
      <c r="C360" s="24"/>
      <c r="O360" s="105"/>
    </row>
    <row r="361" spans="1:18">
      <c r="A361" s="24" t="s">
        <v>127</v>
      </c>
      <c r="B361" s="24" t="s">
        <v>124</v>
      </c>
      <c r="C361" s="24"/>
      <c r="D361" s="22" t="s">
        <v>706</v>
      </c>
      <c r="E361" s="66"/>
      <c r="F361" s="66"/>
      <c r="G361" s="66"/>
      <c r="H361" s="66"/>
    </row>
    <row r="362" spans="1:18">
      <c r="A362" s="24" t="s">
        <v>127</v>
      </c>
      <c r="B362" s="24" t="s">
        <v>124</v>
      </c>
      <c r="C362" s="24"/>
      <c r="D362" s="403" t="s">
        <v>1051</v>
      </c>
      <c r="E362" s="66"/>
      <c r="F362" s="66"/>
      <c r="G362" s="66"/>
      <c r="I362" s="208" t="s">
        <v>2253</v>
      </c>
    </row>
    <row r="363" spans="1:18">
      <c r="A363" s="24" t="s">
        <v>127</v>
      </c>
      <c r="B363" s="24" t="s">
        <v>124</v>
      </c>
      <c r="C363" s="24"/>
      <c r="D363" s="208" t="s">
        <v>2243</v>
      </c>
      <c r="I363" s="208" t="s">
        <v>2254</v>
      </c>
      <c r="M363" s="115"/>
    </row>
    <row r="364" spans="1:18" s="24" customFormat="1">
      <c r="A364" s="24" t="s">
        <v>127</v>
      </c>
    </row>
    <row r="365" spans="1:18">
      <c r="A365" s="69" t="s">
        <v>128</v>
      </c>
      <c r="B365" s="69" t="s">
        <v>120</v>
      </c>
      <c r="C365" s="69"/>
      <c r="D365" s="212" t="s">
        <v>2257</v>
      </c>
      <c r="E365" s="69"/>
      <c r="F365" s="69"/>
      <c r="G365" s="69"/>
      <c r="H365" s="69"/>
      <c r="I365" s="69"/>
      <c r="J365" s="69"/>
      <c r="K365" s="69"/>
      <c r="L365" s="69"/>
      <c r="M365" s="69"/>
      <c r="N365" s="69"/>
      <c r="O365" s="69"/>
      <c r="P365" s="69"/>
      <c r="Q365" s="69"/>
      <c r="R365" s="69"/>
    </row>
    <row r="366" spans="1:18">
      <c r="A366" s="24" t="s">
        <v>128</v>
      </c>
      <c r="B366" s="24" t="s">
        <v>122</v>
      </c>
      <c r="C366" s="24"/>
      <c r="D366" s="208" t="s">
        <v>2258</v>
      </c>
    </row>
    <row r="367" spans="1:18">
      <c r="A367" s="24" t="s">
        <v>128</v>
      </c>
    </row>
    <row r="368" spans="1:18">
      <c r="A368" s="24" t="s">
        <v>128</v>
      </c>
      <c r="B368" s="24" t="s">
        <v>111</v>
      </c>
      <c r="C368" s="24"/>
      <c r="D368" s="22" t="s">
        <v>19</v>
      </c>
      <c r="E368" s="22" t="s">
        <v>166</v>
      </c>
      <c r="F368" s="403" t="s">
        <v>675</v>
      </c>
      <c r="G368" s="115" t="s">
        <v>2259</v>
      </c>
      <c r="H368" s="22" t="s">
        <v>23</v>
      </c>
      <c r="I368" s="24"/>
      <c r="J368" s="24"/>
      <c r="K368" s="24"/>
      <c r="L368" s="116"/>
      <c r="M368" s="116"/>
      <c r="N368" s="116"/>
    </row>
    <row r="369" spans="1:27">
      <c r="A369" s="24" t="s">
        <v>128</v>
      </c>
      <c r="B369" s="24" t="s">
        <v>111</v>
      </c>
      <c r="C369" s="24"/>
      <c r="D369" s="22" t="s">
        <v>637</v>
      </c>
      <c r="E369" s="52">
        <v>43.3</v>
      </c>
      <c r="F369" s="700">
        <v>38.200000000000003</v>
      </c>
      <c r="G369" s="702">
        <v>38.200000000000003</v>
      </c>
      <c r="H369" s="52"/>
      <c r="I369" s="24"/>
      <c r="J369" s="24"/>
      <c r="K369" s="24"/>
      <c r="L369" s="116"/>
      <c r="M369" s="265"/>
      <c r="N369" s="116"/>
    </row>
    <row r="370" spans="1:27">
      <c r="A370" s="24" t="s">
        <v>128</v>
      </c>
      <c r="B370" s="24" t="s">
        <v>111</v>
      </c>
      <c r="C370" s="24"/>
      <c r="D370" s="22" t="s">
        <v>638</v>
      </c>
      <c r="E370" s="52">
        <v>35.9</v>
      </c>
      <c r="F370" s="700">
        <v>33.4</v>
      </c>
      <c r="G370" s="702">
        <v>33.4</v>
      </c>
      <c r="H370" s="52"/>
      <c r="I370" s="57"/>
      <c r="J370" s="110"/>
      <c r="K370" s="110"/>
      <c r="L370" s="266"/>
      <c r="M370" s="265"/>
      <c r="N370" s="158"/>
    </row>
    <row r="371" spans="1:27">
      <c r="A371" s="24" t="s">
        <v>128</v>
      </c>
      <c r="B371" s="24" t="s">
        <v>111</v>
      </c>
      <c r="C371" s="24"/>
      <c r="D371" s="22" t="s">
        <v>639</v>
      </c>
      <c r="E371" s="52">
        <v>13.7</v>
      </c>
      <c r="F371" s="700">
        <v>14.6</v>
      </c>
      <c r="G371" s="702">
        <v>14.6</v>
      </c>
      <c r="H371" s="52"/>
      <c r="I371" s="24"/>
      <c r="J371" s="110"/>
      <c r="K371" s="110"/>
      <c r="L371" s="266"/>
      <c r="M371" s="265"/>
      <c r="N371" s="116"/>
    </row>
    <row r="372" spans="1:27">
      <c r="A372" s="24" t="s">
        <v>128</v>
      </c>
      <c r="B372" s="24" t="s">
        <v>111</v>
      </c>
      <c r="C372" s="24"/>
      <c r="D372" s="22" t="s">
        <v>640</v>
      </c>
      <c r="E372" s="52">
        <v>26.1</v>
      </c>
      <c r="F372" s="700">
        <v>26.1</v>
      </c>
      <c r="G372" s="702">
        <v>26.1</v>
      </c>
      <c r="H372" s="52"/>
      <c r="I372" s="24"/>
      <c r="J372" s="110"/>
      <c r="K372" s="110"/>
      <c r="L372" s="266"/>
      <c r="M372" s="265"/>
      <c r="N372" s="116"/>
    </row>
    <row r="373" spans="1:27">
      <c r="A373" s="24" t="s">
        <v>128</v>
      </c>
      <c r="B373" s="24" t="s">
        <v>111</v>
      </c>
      <c r="C373" s="24"/>
      <c r="D373" s="22" t="s">
        <v>641</v>
      </c>
      <c r="E373" s="52">
        <v>26.3</v>
      </c>
      <c r="F373" s="700">
        <v>25.1</v>
      </c>
      <c r="G373" s="702">
        <v>25.1</v>
      </c>
      <c r="H373" s="52"/>
      <c r="I373" s="57"/>
      <c r="J373" s="110"/>
      <c r="K373" s="110"/>
      <c r="L373" s="266"/>
      <c r="M373" s="265"/>
      <c r="N373" s="158"/>
    </row>
    <row r="374" spans="1:27">
      <c r="A374" s="24" t="s">
        <v>128</v>
      </c>
      <c r="B374" s="24" t="s">
        <v>111</v>
      </c>
      <c r="C374" s="24"/>
      <c r="D374" s="22" t="s">
        <v>642</v>
      </c>
      <c r="E374" s="52">
        <v>22.2</v>
      </c>
      <c r="F374" s="700">
        <v>22.5</v>
      </c>
      <c r="G374" s="702">
        <v>22.5</v>
      </c>
      <c r="H374" s="52"/>
      <c r="J374" s="112"/>
      <c r="K374" s="112"/>
      <c r="L374" s="267"/>
      <c r="M374" s="265"/>
      <c r="N374" s="108"/>
    </row>
    <row r="375" spans="1:27">
      <c r="A375" s="24" t="s">
        <v>128</v>
      </c>
      <c r="B375" s="24" t="s">
        <v>111</v>
      </c>
      <c r="C375" s="24"/>
      <c r="D375" s="22" t="s">
        <v>643</v>
      </c>
      <c r="E375" s="52">
        <v>37.4</v>
      </c>
      <c r="F375" s="700">
        <v>32.4</v>
      </c>
      <c r="G375" s="702">
        <v>32.4</v>
      </c>
      <c r="H375" s="52"/>
      <c r="J375" s="112"/>
      <c r="K375" s="112"/>
      <c r="L375" s="267"/>
      <c r="M375" s="265"/>
      <c r="N375" s="268"/>
    </row>
    <row r="376" spans="1:27">
      <c r="A376" s="24" t="s">
        <v>128</v>
      </c>
      <c r="B376" s="24" t="s">
        <v>111</v>
      </c>
      <c r="C376" s="24"/>
      <c r="D376" s="22" t="s">
        <v>644</v>
      </c>
      <c r="E376" s="52">
        <v>30.2</v>
      </c>
      <c r="F376" s="700">
        <v>33.299999999999997</v>
      </c>
      <c r="G376" s="702">
        <v>33.299999999999997</v>
      </c>
      <c r="H376" s="52"/>
      <c r="J376" s="112"/>
      <c r="K376" s="112"/>
      <c r="L376" s="267"/>
      <c r="M376" s="265"/>
      <c r="N376" s="108"/>
    </row>
    <row r="377" spans="1:27">
      <c r="A377" s="24" t="s">
        <v>128</v>
      </c>
      <c r="B377" s="24" t="s">
        <v>111</v>
      </c>
      <c r="C377" s="24"/>
      <c r="D377" s="22" t="s">
        <v>734</v>
      </c>
      <c r="E377" s="57">
        <v>33.9</v>
      </c>
      <c r="F377" s="699">
        <v>35.299999999999997</v>
      </c>
      <c r="G377" s="701">
        <v>35.299999999999997</v>
      </c>
      <c r="H377" s="57"/>
      <c r="J377" s="112"/>
      <c r="K377" s="112"/>
      <c r="L377" s="267"/>
      <c r="M377" s="265"/>
      <c r="N377" s="268"/>
    </row>
    <row r="378" spans="1:27">
      <c r="A378" s="24" t="s">
        <v>128</v>
      </c>
      <c r="F378" s="403"/>
      <c r="L378" s="108"/>
      <c r="M378" s="265"/>
      <c r="N378" s="108"/>
    </row>
    <row r="379" spans="1:27">
      <c r="A379" s="24" t="s">
        <v>128</v>
      </c>
      <c r="B379" s="24" t="s">
        <v>112</v>
      </c>
      <c r="C379" s="24"/>
      <c r="D379" s="24"/>
    </row>
    <row r="380" spans="1:27">
      <c r="A380" s="24" t="s">
        <v>128</v>
      </c>
      <c r="B380" s="24" t="s">
        <v>112</v>
      </c>
      <c r="C380" s="24"/>
    </row>
    <row r="381" spans="1:27">
      <c r="A381" s="24" t="s">
        <v>128</v>
      </c>
      <c r="B381" s="24" t="s">
        <v>112</v>
      </c>
      <c r="C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  <c r="AA381" s="24"/>
    </row>
    <row r="382" spans="1:27">
      <c r="A382" s="24" t="s">
        <v>128</v>
      </c>
      <c r="B382" s="24" t="s">
        <v>112</v>
      </c>
      <c r="C382" s="24"/>
      <c r="J382" s="57"/>
      <c r="K382" s="57"/>
      <c r="L382" s="57"/>
      <c r="M382" s="57"/>
      <c r="N382" s="57"/>
      <c r="O382" s="57"/>
      <c r="P382" s="57"/>
      <c r="Q382" s="57"/>
      <c r="R382" s="57"/>
      <c r="S382" s="57"/>
      <c r="T382" s="57"/>
      <c r="U382" s="57"/>
      <c r="V382" s="57"/>
      <c r="W382" s="57"/>
      <c r="X382" s="57"/>
      <c r="Y382" s="57"/>
      <c r="Z382" s="57"/>
      <c r="AA382" s="57"/>
    </row>
    <row r="383" spans="1:27">
      <c r="A383" s="24" t="s">
        <v>128</v>
      </c>
      <c r="B383" s="24" t="s">
        <v>112</v>
      </c>
      <c r="C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</row>
    <row r="384" spans="1:27">
      <c r="A384" s="24" t="s">
        <v>128</v>
      </c>
      <c r="B384" s="24" t="s">
        <v>112</v>
      </c>
      <c r="C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</row>
    <row r="385" spans="1:19">
      <c r="A385" s="24" t="s">
        <v>128</v>
      </c>
      <c r="B385" s="24" t="s">
        <v>112</v>
      </c>
      <c r="C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</row>
    <row r="386" spans="1:19">
      <c r="A386" s="24" t="s">
        <v>128</v>
      </c>
      <c r="B386" s="24" t="s">
        <v>112</v>
      </c>
      <c r="C386" s="24"/>
    </row>
    <row r="387" spans="1:19">
      <c r="A387" s="24" t="s">
        <v>128</v>
      </c>
      <c r="B387" s="24" t="s">
        <v>112</v>
      </c>
      <c r="C387" s="24"/>
    </row>
    <row r="388" spans="1:19">
      <c r="A388" s="24" t="s">
        <v>128</v>
      </c>
      <c r="B388" s="24" t="s">
        <v>112</v>
      </c>
      <c r="C388" s="24"/>
    </row>
    <row r="389" spans="1:19">
      <c r="A389" s="24" t="s">
        <v>128</v>
      </c>
      <c r="B389" s="24" t="s">
        <v>112</v>
      </c>
      <c r="C389" s="24"/>
    </row>
    <row r="390" spans="1:19">
      <c r="A390" s="24" t="s">
        <v>128</v>
      </c>
      <c r="B390" s="24" t="s">
        <v>112</v>
      </c>
      <c r="C390" s="24"/>
    </row>
    <row r="391" spans="1:19">
      <c r="A391" s="24" t="s">
        <v>128</v>
      </c>
      <c r="B391" s="24" t="s">
        <v>112</v>
      </c>
      <c r="C391" s="24"/>
    </row>
    <row r="392" spans="1:19">
      <c r="A392" s="24" t="s">
        <v>128</v>
      </c>
      <c r="B392" s="24" t="s">
        <v>112</v>
      </c>
      <c r="C392" s="24"/>
    </row>
    <row r="393" spans="1:19">
      <c r="A393" s="24" t="s">
        <v>128</v>
      </c>
      <c r="B393" s="24" t="s">
        <v>112</v>
      </c>
      <c r="C393" s="24"/>
    </row>
    <row r="394" spans="1:19" s="24" customFormat="1">
      <c r="A394" s="24" t="s">
        <v>128</v>
      </c>
    </row>
    <row r="395" spans="1:19">
      <c r="A395" s="24" t="s">
        <v>128</v>
      </c>
      <c r="B395" s="24" t="s">
        <v>124</v>
      </c>
      <c r="C395" s="24"/>
      <c r="D395" s="22" t="s">
        <v>706</v>
      </c>
    </row>
    <row r="396" spans="1:19">
      <c r="A396" s="24" t="s">
        <v>128</v>
      </c>
      <c r="B396" s="24" t="s">
        <v>124</v>
      </c>
      <c r="C396" s="24"/>
      <c r="D396" s="208" t="s">
        <v>1051</v>
      </c>
    </row>
    <row r="397" spans="1:19">
      <c r="A397" s="24" t="s">
        <v>128</v>
      </c>
      <c r="B397" s="24" t="s">
        <v>124</v>
      </c>
      <c r="D397" s="208" t="s">
        <v>2243</v>
      </c>
    </row>
  </sheetData>
  <sortState ref="P173:Q190">
    <sortCondition descending="1" ref="Q173:Q190"/>
  </sortState>
  <phoneticPr fontId="13" type="noConversion"/>
  <pageMargins left="0.7" right="0.7" top="0.75" bottom="0.75" header="0.3" footer="0.3"/>
  <pageSetup paperSize="9" orientation="portrait" r:id="rId1"/>
  <ignoredErrors>
    <ignoredError sqref="I289" calculatedColumn="1"/>
  </ignoredErrors>
  <drawing r:id="rId2"/>
  <tableParts count="15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B216"/>
  <sheetViews>
    <sheetView topLeftCell="A176" zoomScale="85" zoomScaleNormal="85" workbookViewId="0">
      <selection activeCell="D205" sqref="D205"/>
    </sheetView>
  </sheetViews>
  <sheetFormatPr defaultColWidth="10.625" defaultRowHeight="16.5"/>
  <cols>
    <col min="1" max="2" width="15.625" style="32" customWidth="1"/>
    <col min="3" max="3" width="1.625" style="32" customWidth="1"/>
    <col min="4" max="4" width="31.875" style="31" customWidth="1"/>
    <col min="5" max="6" width="10.625" style="31" customWidth="1"/>
    <col min="7" max="7" width="16.5" style="31" customWidth="1"/>
    <col min="8" max="9" width="10.625" style="31" customWidth="1"/>
    <col min="10" max="10" width="14.75" style="31" customWidth="1"/>
    <col min="11" max="11" width="10.625" style="31" customWidth="1"/>
    <col min="12" max="15" width="10.625" style="31"/>
    <col min="16" max="16" width="10.625" style="31" customWidth="1"/>
    <col min="17" max="16384" width="10.625" style="31"/>
  </cols>
  <sheetData>
    <row r="1" spans="1:18">
      <c r="A1" s="20" t="s">
        <v>149</v>
      </c>
      <c r="B1" s="21" t="s">
        <v>340</v>
      </c>
      <c r="C1" s="21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30"/>
      <c r="R1" s="30"/>
    </row>
    <row r="2" spans="1:18">
      <c r="A2" s="70" t="s">
        <v>113</v>
      </c>
      <c r="B2" s="70" t="s">
        <v>119</v>
      </c>
      <c r="C2" s="70"/>
      <c r="D2" s="205" t="s">
        <v>114</v>
      </c>
      <c r="E2" s="104"/>
      <c r="F2" s="104"/>
      <c r="G2" s="104"/>
      <c r="H2" s="104"/>
      <c r="I2" s="104"/>
      <c r="J2" s="104"/>
      <c r="K2" s="70"/>
      <c r="L2" s="70"/>
      <c r="M2" s="70"/>
      <c r="N2" s="70"/>
      <c r="O2" s="70"/>
      <c r="P2" s="70"/>
      <c r="Q2" s="70"/>
      <c r="R2" s="70"/>
    </row>
    <row r="3" spans="1:18">
      <c r="A3" s="32" t="s">
        <v>141</v>
      </c>
      <c r="B3" s="32" t="s">
        <v>122</v>
      </c>
      <c r="D3" s="269" t="s">
        <v>1221</v>
      </c>
    </row>
    <row r="4" spans="1:18">
      <c r="A4" s="32" t="s">
        <v>141</v>
      </c>
      <c r="B4" s="32" t="s">
        <v>122</v>
      </c>
      <c r="D4" s="31" t="s">
        <v>737</v>
      </c>
    </row>
    <row r="5" spans="1:18">
      <c r="A5" s="32" t="s">
        <v>141</v>
      </c>
      <c r="B5" s="32" t="s">
        <v>122</v>
      </c>
      <c r="D5" s="31" t="s">
        <v>115</v>
      </c>
    </row>
    <row r="6" spans="1:18">
      <c r="A6" s="32" t="s">
        <v>141</v>
      </c>
      <c r="B6" s="32" t="s">
        <v>122</v>
      </c>
      <c r="D6" s="31" t="s">
        <v>116</v>
      </c>
    </row>
    <row r="7" spans="1:18">
      <c r="A7" s="32" t="s">
        <v>141</v>
      </c>
    </row>
    <row r="8" spans="1:18">
      <c r="A8" s="32" t="s">
        <v>141</v>
      </c>
      <c r="B8" s="32" t="s">
        <v>110</v>
      </c>
      <c r="D8" s="31" t="s">
        <v>12</v>
      </c>
      <c r="E8" s="31" t="s">
        <v>134</v>
      </c>
      <c r="F8" s="31" t="s">
        <v>135</v>
      </c>
      <c r="G8" s="31" t="s">
        <v>0</v>
      </c>
      <c r="H8" s="31" t="s">
        <v>1</v>
      </c>
      <c r="I8" s="31" t="s">
        <v>2</v>
      </c>
      <c r="J8" s="31" t="s">
        <v>3</v>
      </c>
      <c r="K8" s="31" t="s">
        <v>7</v>
      </c>
      <c r="L8" s="31" t="s">
        <v>675</v>
      </c>
      <c r="M8" s="31" t="s">
        <v>925</v>
      </c>
      <c r="N8" s="269" t="s">
        <v>1220</v>
      </c>
      <c r="O8" s="31" t="s">
        <v>5</v>
      </c>
      <c r="P8" s="31" t="s">
        <v>658</v>
      </c>
    </row>
    <row r="9" spans="1:18">
      <c r="A9" s="32" t="s">
        <v>141</v>
      </c>
      <c r="B9" s="32" t="s">
        <v>110</v>
      </c>
      <c r="D9" s="31" t="s">
        <v>616</v>
      </c>
      <c r="E9" s="53">
        <v>8082</v>
      </c>
      <c r="F9" s="53">
        <v>8849</v>
      </c>
      <c r="G9" s="53">
        <v>9354</v>
      </c>
      <c r="H9" s="53">
        <v>9697</v>
      </c>
      <c r="I9" s="53">
        <v>9629</v>
      </c>
      <c r="J9" s="53">
        <v>9850</v>
      </c>
      <c r="K9" s="53">
        <v>9655</v>
      </c>
      <c r="L9" s="53">
        <v>10360</v>
      </c>
      <c r="M9" s="523">
        <v>11465</v>
      </c>
      <c r="N9" s="270">
        <v>11739</v>
      </c>
      <c r="O9" s="53"/>
    </row>
    <row r="10" spans="1:18">
      <c r="A10" s="32" t="s">
        <v>141</v>
      </c>
      <c r="B10" s="32" t="s">
        <v>110</v>
      </c>
      <c r="D10" s="31" t="s">
        <v>672</v>
      </c>
      <c r="E10" s="53">
        <v>10</v>
      </c>
      <c r="F10" s="53">
        <v>10</v>
      </c>
      <c r="G10" s="53">
        <v>12</v>
      </c>
      <c r="H10" s="53">
        <v>11</v>
      </c>
      <c r="I10" s="53">
        <v>13</v>
      </c>
      <c r="J10" s="53">
        <v>10</v>
      </c>
      <c r="K10" s="53">
        <v>12</v>
      </c>
      <c r="L10" s="53">
        <v>13</v>
      </c>
      <c r="M10" s="523">
        <v>13</v>
      </c>
      <c r="N10" s="270">
        <v>13</v>
      </c>
      <c r="Q10" s="163">
        <f>N9-M9</f>
        <v>274</v>
      </c>
    </row>
    <row r="11" spans="1:18">
      <c r="A11" s="32" t="s">
        <v>141</v>
      </c>
      <c r="N11" s="269"/>
    </row>
    <row r="12" spans="1:18">
      <c r="A12" s="32" t="s">
        <v>141</v>
      </c>
      <c r="B12" s="32" t="s">
        <v>112</v>
      </c>
    </row>
    <row r="13" spans="1:18">
      <c r="A13" s="32" t="s">
        <v>141</v>
      </c>
      <c r="B13" s="32" t="s">
        <v>112</v>
      </c>
    </row>
    <row r="14" spans="1:18">
      <c r="A14" s="32" t="s">
        <v>141</v>
      </c>
      <c r="B14" s="32" t="s">
        <v>112</v>
      </c>
    </row>
    <row r="15" spans="1:18">
      <c r="A15" s="32" t="s">
        <v>141</v>
      </c>
      <c r="B15" s="32" t="s">
        <v>112</v>
      </c>
    </row>
    <row r="16" spans="1:18">
      <c r="A16" s="32" t="s">
        <v>141</v>
      </c>
      <c r="B16" s="32" t="s">
        <v>112</v>
      </c>
    </row>
    <row r="17" spans="1:22" s="76" customFormat="1">
      <c r="A17" s="32" t="s">
        <v>141</v>
      </c>
      <c r="B17" s="32" t="s">
        <v>112</v>
      </c>
      <c r="C17" s="32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</row>
    <row r="18" spans="1:22">
      <c r="A18" s="32" t="s">
        <v>141</v>
      </c>
      <c r="B18" s="32" t="s">
        <v>112</v>
      </c>
    </row>
    <row r="19" spans="1:22">
      <c r="A19" s="32" t="s">
        <v>141</v>
      </c>
      <c r="B19" s="32" t="s">
        <v>112</v>
      </c>
    </row>
    <row r="20" spans="1:22">
      <c r="A20" s="32" t="s">
        <v>141</v>
      </c>
      <c r="B20" s="32" t="s">
        <v>112</v>
      </c>
    </row>
    <row r="21" spans="1:22">
      <c r="A21" s="32" t="s">
        <v>141</v>
      </c>
      <c r="B21" s="32" t="s">
        <v>112</v>
      </c>
    </row>
    <row r="22" spans="1:22">
      <c r="A22" s="32" t="s">
        <v>141</v>
      </c>
      <c r="B22" s="32" t="s">
        <v>112</v>
      </c>
    </row>
    <row r="23" spans="1:22">
      <c r="A23" s="32" t="s">
        <v>141</v>
      </c>
      <c r="B23" s="32" t="s">
        <v>112</v>
      </c>
    </row>
    <row r="24" spans="1:22">
      <c r="A24" s="32" t="s">
        <v>141</v>
      </c>
      <c r="B24" s="32" t="s">
        <v>112</v>
      </c>
    </row>
    <row r="25" spans="1:22">
      <c r="A25" s="32" t="s">
        <v>141</v>
      </c>
      <c r="B25" s="32" t="s">
        <v>112</v>
      </c>
    </row>
    <row r="26" spans="1:22">
      <c r="A26" s="32" t="s">
        <v>141</v>
      </c>
      <c r="B26" s="32" t="s">
        <v>112</v>
      </c>
    </row>
    <row r="27" spans="1:22">
      <c r="A27" s="32" t="s">
        <v>141</v>
      </c>
    </row>
    <row r="28" spans="1:22">
      <c r="A28" s="32" t="s">
        <v>141</v>
      </c>
      <c r="B28" s="32" t="s">
        <v>124</v>
      </c>
      <c r="D28" s="269" t="s">
        <v>1222</v>
      </c>
    </row>
    <row r="29" spans="1:22">
      <c r="A29" s="58" t="s">
        <v>141</v>
      </c>
      <c r="B29" s="58"/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76"/>
      <c r="R29" s="76"/>
      <c r="S29" s="76"/>
      <c r="T29" s="76"/>
      <c r="U29" s="76"/>
      <c r="V29" s="76"/>
    </row>
    <row r="30" spans="1:22" ht="30" customHeight="1">
      <c r="A30" s="70" t="s">
        <v>132</v>
      </c>
      <c r="B30" s="70" t="s">
        <v>119</v>
      </c>
      <c r="C30" s="70"/>
      <c r="D30" s="205" t="s">
        <v>1207</v>
      </c>
      <c r="E30" s="70"/>
      <c r="F30" s="70"/>
      <c r="G30" s="70"/>
      <c r="H30" s="70"/>
      <c r="I30" s="70"/>
      <c r="J30" s="70"/>
      <c r="K30" s="70"/>
      <c r="L30" s="70"/>
      <c r="M30" s="70"/>
      <c r="N30" s="70"/>
      <c r="O30" s="70"/>
      <c r="P30" s="70"/>
      <c r="Q30" s="70"/>
      <c r="R30" s="70"/>
    </row>
    <row r="31" spans="1:22" s="76" customFormat="1">
      <c r="A31" s="32" t="s">
        <v>142</v>
      </c>
      <c r="B31" s="32" t="s">
        <v>121</v>
      </c>
      <c r="C31" s="32"/>
      <c r="D31" s="269" t="s">
        <v>1632</v>
      </c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</row>
    <row r="32" spans="1:22">
      <c r="A32" s="32" t="s">
        <v>142</v>
      </c>
      <c r="B32" s="32" t="s">
        <v>121</v>
      </c>
      <c r="D32" s="31" t="s">
        <v>1633</v>
      </c>
    </row>
    <row r="33" spans="1:16">
      <c r="A33" s="32" t="s">
        <v>142</v>
      </c>
    </row>
    <row r="34" spans="1:16">
      <c r="A34" s="32" t="s">
        <v>142</v>
      </c>
      <c r="B34" s="32" t="s">
        <v>110</v>
      </c>
      <c r="D34" s="31" t="s">
        <v>19</v>
      </c>
      <c r="E34" s="31" t="s">
        <v>134</v>
      </c>
      <c r="F34" s="31" t="s">
        <v>135</v>
      </c>
      <c r="G34" s="31" t="s">
        <v>0</v>
      </c>
      <c r="H34" s="31" t="s">
        <v>1</v>
      </c>
      <c r="I34" s="31" t="s">
        <v>2</v>
      </c>
      <c r="J34" s="31" t="s">
        <v>3</v>
      </c>
      <c r="K34" s="31" t="s">
        <v>7</v>
      </c>
      <c r="L34" s="31" t="s">
        <v>675</v>
      </c>
      <c r="M34" s="3" t="s">
        <v>707</v>
      </c>
      <c r="N34" s="269" t="s">
        <v>1208</v>
      </c>
      <c r="O34" s="31" t="s">
        <v>5</v>
      </c>
      <c r="P34" s="31" t="s">
        <v>197</v>
      </c>
    </row>
    <row r="35" spans="1:16">
      <c r="A35" s="32" t="s">
        <v>142</v>
      </c>
      <c r="B35" s="32" t="s">
        <v>110</v>
      </c>
      <c r="D35" s="31" t="s">
        <v>652</v>
      </c>
      <c r="E35" s="53">
        <v>11</v>
      </c>
      <c r="F35" s="53">
        <v>12</v>
      </c>
      <c r="G35" s="53">
        <v>17</v>
      </c>
      <c r="H35" s="53">
        <v>10</v>
      </c>
      <c r="I35" s="53">
        <v>15</v>
      </c>
      <c r="J35" s="53">
        <v>18</v>
      </c>
      <c r="K35" s="53">
        <v>13</v>
      </c>
      <c r="L35" s="53">
        <v>14</v>
      </c>
      <c r="M35" s="38">
        <v>22</v>
      </c>
      <c r="N35" s="201">
        <v>27</v>
      </c>
      <c r="O35" s="53"/>
    </row>
    <row r="36" spans="1:16">
      <c r="A36" s="32" t="s">
        <v>142</v>
      </c>
      <c r="B36" s="32" t="s">
        <v>110</v>
      </c>
      <c r="D36" s="31" t="s">
        <v>653</v>
      </c>
      <c r="E36" s="53">
        <v>3</v>
      </c>
      <c r="F36" s="53">
        <v>11</v>
      </c>
      <c r="G36" s="53">
        <v>11</v>
      </c>
      <c r="H36" s="53">
        <v>10</v>
      </c>
      <c r="I36" s="53">
        <v>12</v>
      </c>
      <c r="J36" s="53">
        <v>11</v>
      </c>
      <c r="K36" s="53">
        <v>13</v>
      </c>
      <c r="L36" s="53">
        <v>8</v>
      </c>
      <c r="M36" s="38">
        <v>10</v>
      </c>
      <c r="N36" s="201">
        <v>10</v>
      </c>
      <c r="O36" s="53"/>
    </row>
    <row r="37" spans="1:16">
      <c r="A37" s="32" t="s">
        <v>142</v>
      </c>
      <c r="B37" s="32" t="s">
        <v>110</v>
      </c>
      <c r="D37" s="31" t="s">
        <v>654</v>
      </c>
      <c r="E37" s="53">
        <v>8</v>
      </c>
      <c r="F37" s="53">
        <v>12</v>
      </c>
      <c r="G37" s="53">
        <v>12</v>
      </c>
      <c r="H37" s="53">
        <v>8</v>
      </c>
      <c r="I37" s="53">
        <v>4</v>
      </c>
      <c r="J37" s="53">
        <v>2</v>
      </c>
      <c r="K37" s="53">
        <v>12</v>
      </c>
      <c r="L37" s="53">
        <v>10</v>
      </c>
      <c r="M37" s="38">
        <v>13</v>
      </c>
      <c r="N37" s="201">
        <v>8</v>
      </c>
      <c r="O37" s="53"/>
    </row>
    <row r="38" spans="1:16">
      <c r="A38" s="32" t="s">
        <v>142</v>
      </c>
      <c r="B38" s="32" t="s">
        <v>110</v>
      </c>
      <c r="D38" s="31" t="s">
        <v>136</v>
      </c>
      <c r="E38" s="53">
        <v>45</v>
      </c>
      <c r="F38" s="53">
        <v>62</v>
      </c>
      <c r="G38" s="53">
        <v>59</v>
      </c>
      <c r="H38" s="53">
        <v>60</v>
      </c>
      <c r="I38" s="53">
        <v>47</v>
      </c>
      <c r="J38" s="53">
        <v>62</v>
      </c>
      <c r="K38" s="53">
        <v>82</v>
      </c>
      <c r="L38" s="53">
        <v>69</v>
      </c>
      <c r="M38" s="38">
        <v>101</v>
      </c>
      <c r="N38" s="201">
        <v>83</v>
      </c>
      <c r="O38" s="53"/>
    </row>
    <row r="39" spans="1:16">
      <c r="A39" s="32" t="s">
        <v>142</v>
      </c>
      <c r="B39" s="32" t="s">
        <v>110</v>
      </c>
      <c r="D39" s="31" t="s">
        <v>137</v>
      </c>
      <c r="E39" s="53">
        <v>22</v>
      </c>
      <c r="F39" s="53">
        <v>35</v>
      </c>
      <c r="G39" s="53">
        <v>40</v>
      </c>
      <c r="H39" s="53">
        <v>28</v>
      </c>
      <c r="I39" s="53">
        <v>31</v>
      </c>
      <c r="J39" s="53">
        <v>31</v>
      </c>
      <c r="K39" s="53">
        <v>38</v>
      </c>
      <c r="L39" s="53">
        <v>32</v>
      </c>
      <c r="M39" s="38">
        <v>45</v>
      </c>
      <c r="N39" s="201">
        <v>45</v>
      </c>
      <c r="O39" s="53"/>
    </row>
    <row r="40" spans="1:16">
      <c r="A40" s="32" t="s">
        <v>142</v>
      </c>
      <c r="B40" s="32" t="s">
        <v>110</v>
      </c>
      <c r="D40" s="31" t="s">
        <v>138</v>
      </c>
      <c r="E40" s="54">
        <v>0.48899999999999999</v>
      </c>
      <c r="F40" s="54">
        <v>0.56499999999999995</v>
      </c>
      <c r="G40" s="54">
        <v>0.67799999999999994</v>
      </c>
      <c r="H40" s="54">
        <v>0.46700000000000003</v>
      </c>
      <c r="I40" s="54">
        <v>0.66</v>
      </c>
      <c r="J40" s="54">
        <v>0.5</v>
      </c>
      <c r="K40" s="54">
        <v>0.46299999999999997</v>
      </c>
      <c r="L40" s="54">
        <f>L39/L38</f>
        <v>0.46376811594202899</v>
      </c>
      <c r="M40" s="173">
        <f>M39/M38</f>
        <v>0.44554455445544555</v>
      </c>
      <c r="N40" s="202">
        <f>N39/N38</f>
        <v>0.54216867469879515</v>
      </c>
      <c r="O40" s="54"/>
    </row>
    <row r="41" spans="1:16">
      <c r="A41" s="32" t="s">
        <v>142</v>
      </c>
      <c r="B41" s="32" t="s">
        <v>110</v>
      </c>
      <c r="D41" s="31" t="s">
        <v>5</v>
      </c>
      <c r="E41" s="53">
        <v>22</v>
      </c>
      <c r="F41" s="53">
        <v>35</v>
      </c>
      <c r="G41" s="53">
        <v>40</v>
      </c>
      <c r="H41" s="53">
        <v>28</v>
      </c>
      <c r="I41" s="53">
        <v>31</v>
      </c>
      <c r="J41" s="53">
        <v>31</v>
      </c>
      <c r="K41" s="53">
        <v>38</v>
      </c>
      <c r="L41" s="53">
        <v>32</v>
      </c>
      <c r="M41" s="38">
        <v>45</v>
      </c>
      <c r="N41" s="201">
        <v>45</v>
      </c>
      <c r="O41" s="53"/>
    </row>
    <row r="42" spans="1:16">
      <c r="A42" s="32" t="s">
        <v>142</v>
      </c>
    </row>
    <row r="43" spans="1:16">
      <c r="A43" s="32" t="s">
        <v>142</v>
      </c>
      <c r="B43" s="32" t="s">
        <v>112</v>
      </c>
    </row>
    <row r="44" spans="1:16">
      <c r="A44" s="32" t="s">
        <v>142</v>
      </c>
      <c r="B44" s="32" t="s">
        <v>112</v>
      </c>
    </row>
    <row r="45" spans="1:16">
      <c r="A45" s="32" t="s">
        <v>142</v>
      </c>
      <c r="B45" s="32" t="s">
        <v>112</v>
      </c>
    </row>
    <row r="46" spans="1:16">
      <c r="A46" s="32" t="s">
        <v>142</v>
      </c>
      <c r="B46" s="32" t="s">
        <v>112</v>
      </c>
    </row>
    <row r="47" spans="1:16">
      <c r="A47" s="32" t="s">
        <v>142</v>
      </c>
      <c r="B47" s="32" t="s">
        <v>112</v>
      </c>
    </row>
    <row r="48" spans="1:16">
      <c r="A48" s="32" t="s">
        <v>142</v>
      </c>
      <c r="B48" s="32" t="s">
        <v>112</v>
      </c>
    </row>
    <row r="49" spans="1:22">
      <c r="A49" s="32" t="s">
        <v>142</v>
      </c>
      <c r="B49" s="32" t="s">
        <v>112</v>
      </c>
    </row>
    <row r="50" spans="1:22">
      <c r="A50" s="32" t="s">
        <v>142</v>
      </c>
      <c r="B50" s="32" t="s">
        <v>112</v>
      </c>
    </row>
    <row r="51" spans="1:22">
      <c r="A51" s="32" t="s">
        <v>142</v>
      </c>
      <c r="B51" s="32" t="s">
        <v>112</v>
      </c>
    </row>
    <row r="52" spans="1:22">
      <c r="A52" s="32" t="s">
        <v>142</v>
      </c>
      <c r="B52" s="32" t="s">
        <v>112</v>
      </c>
    </row>
    <row r="53" spans="1:22">
      <c r="A53" s="32" t="s">
        <v>142</v>
      </c>
      <c r="B53" s="32" t="s">
        <v>112</v>
      </c>
    </row>
    <row r="54" spans="1:22">
      <c r="A54" s="32" t="s">
        <v>142</v>
      </c>
      <c r="B54" s="32" t="s">
        <v>112</v>
      </c>
    </row>
    <row r="55" spans="1:22">
      <c r="A55" s="32" t="s">
        <v>142</v>
      </c>
      <c r="B55" s="32" t="s">
        <v>112</v>
      </c>
    </row>
    <row r="56" spans="1:22">
      <c r="A56" s="32" t="s">
        <v>142</v>
      </c>
      <c r="B56" s="32" t="s">
        <v>112</v>
      </c>
    </row>
    <row r="57" spans="1:22">
      <c r="A57" s="32" t="s">
        <v>142</v>
      </c>
      <c r="B57" s="32" t="s">
        <v>112</v>
      </c>
    </row>
    <row r="58" spans="1:22">
      <c r="A58" s="32" t="s">
        <v>142</v>
      </c>
    </row>
    <row r="59" spans="1:22" s="76" customFormat="1">
      <c r="A59" s="32" t="s">
        <v>142</v>
      </c>
      <c r="B59" s="32" t="s">
        <v>123</v>
      </c>
      <c r="C59" s="32"/>
      <c r="D59" s="31" t="s">
        <v>699</v>
      </c>
      <c r="E59" s="31"/>
      <c r="F59" s="31"/>
      <c r="G59" s="31"/>
      <c r="H59" s="31"/>
      <c r="I59" s="31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</row>
    <row r="60" spans="1:22">
      <c r="A60" s="58" t="s">
        <v>142</v>
      </c>
      <c r="B60" s="58"/>
      <c r="C60" s="58"/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76"/>
      <c r="R60" s="76"/>
      <c r="S60" s="76"/>
      <c r="T60" s="76"/>
      <c r="U60" s="76"/>
      <c r="V60" s="76"/>
    </row>
    <row r="61" spans="1:22">
      <c r="A61" s="70" t="s">
        <v>141</v>
      </c>
      <c r="B61" s="70" t="s">
        <v>119</v>
      </c>
      <c r="C61" s="70"/>
      <c r="D61" s="205" t="s">
        <v>2191</v>
      </c>
      <c r="E61" s="70"/>
      <c r="F61" s="70"/>
      <c r="G61" s="70"/>
      <c r="H61" s="70"/>
      <c r="I61" s="70"/>
      <c r="J61" s="70"/>
      <c r="K61" s="70"/>
      <c r="L61" s="70"/>
      <c r="M61" s="70"/>
      <c r="N61" s="70"/>
      <c r="O61" s="70"/>
      <c r="P61" s="70"/>
      <c r="Q61" s="70"/>
      <c r="R61" s="70"/>
    </row>
    <row r="62" spans="1:22">
      <c r="A62" s="32" t="s">
        <v>143</v>
      </c>
      <c r="B62" s="32" t="s">
        <v>121</v>
      </c>
      <c r="D62" s="269" t="s">
        <v>2193</v>
      </c>
    </row>
    <row r="63" spans="1:22">
      <c r="A63" s="32" t="s">
        <v>143</v>
      </c>
    </row>
    <row r="64" spans="1:22">
      <c r="A64" s="32" t="s">
        <v>143</v>
      </c>
      <c r="B64" s="32" t="s">
        <v>111</v>
      </c>
      <c r="D64" s="31" t="s">
        <v>12</v>
      </c>
      <c r="E64" s="31" t="s">
        <v>738</v>
      </c>
      <c r="F64" s="32" t="s">
        <v>739</v>
      </c>
      <c r="G64" s="32" t="s">
        <v>740</v>
      </c>
      <c r="H64" s="32" t="s">
        <v>741</v>
      </c>
      <c r="I64" s="32" t="s">
        <v>742</v>
      </c>
      <c r="J64" s="32" t="s">
        <v>743</v>
      </c>
      <c r="K64" s="32" t="s">
        <v>744</v>
      </c>
      <c r="L64" s="32" t="s">
        <v>745</v>
      </c>
      <c r="M64" s="32" t="s">
        <v>746</v>
      </c>
      <c r="N64" s="32" t="s">
        <v>1008</v>
      </c>
      <c r="O64" s="32" t="s">
        <v>2192</v>
      </c>
    </row>
    <row r="65" spans="1:15">
      <c r="A65" s="32" t="s">
        <v>143</v>
      </c>
      <c r="B65" s="32" t="s">
        <v>111</v>
      </c>
      <c r="D65" s="31" t="s">
        <v>655</v>
      </c>
      <c r="E65" s="306">
        <v>2897</v>
      </c>
      <c r="F65" s="306">
        <v>3199</v>
      </c>
      <c r="G65" s="306">
        <v>3278</v>
      </c>
      <c r="H65" s="306">
        <v>3353</v>
      </c>
      <c r="I65" s="306">
        <v>3294</v>
      </c>
      <c r="J65" s="306">
        <v>3536</v>
      </c>
      <c r="K65" s="306">
        <v>3777</v>
      </c>
      <c r="L65" s="306">
        <v>3674</v>
      </c>
      <c r="M65" s="306">
        <v>3841</v>
      </c>
      <c r="N65" s="201">
        <v>4243</v>
      </c>
      <c r="O65" s="200">
        <v>1459</v>
      </c>
    </row>
    <row r="66" spans="1:15">
      <c r="A66" s="32" t="s">
        <v>143</v>
      </c>
      <c r="B66" s="32" t="s">
        <v>111</v>
      </c>
      <c r="D66" s="31" t="s">
        <v>139</v>
      </c>
      <c r="E66" s="306">
        <v>1852</v>
      </c>
      <c r="F66" s="306">
        <v>1929</v>
      </c>
      <c r="G66" s="306">
        <v>1892</v>
      </c>
      <c r="H66" s="306">
        <v>2022</v>
      </c>
      <c r="I66" s="306">
        <v>1899</v>
      </c>
      <c r="J66" s="306">
        <v>2067</v>
      </c>
      <c r="K66" s="306">
        <v>2254</v>
      </c>
      <c r="L66" s="306">
        <v>2409</v>
      </c>
      <c r="M66" s="306">
        <v>2795</v>
      </c>
      <c r="N66" s="201">
        <v>2459</v>
      </c>
      <c r="O66" s="200">
        <v>29</v>
      </c>
    </row>
    <row r="67" spans="1:15">
      <c r="A67" s="32" t="s">
        <v>143</v>
      </c>
      <c r="B67" s="32" t="s">
        <v>111</v>
      </c>
      <c r="D67" s="31" t="s">
        <v>42</v>
      </c>
      <c r="E67" s="306">
        <f t="shared" ref="E67:O67" si="0">SUM(E65:E66)</f>
        <v>4749</v>
      </c>
      <c r="F67" s="306">
        <f t="shared" si="0"/>
        <v>5128</v>
      </c>
      <c r="G67" s="306">
        <f t="shared" si="0"/>
        <v>5170</v>
      </c>
      <c r="H67" s="306">
        <f t="shared" si="0"/>
        <v>5375</v>
      </c>
      <c r="I67" s="306">
        <f t="shared" si="0"/>
        <v>5193</v>
      </c>
      <c r="J67" s="306">
        <f t="shared" si="0"/>
        <v>5603</v>
      </c>
      <c r="K67" s="306">
        <f t="shared" si="0"/>
        <v>6031</v>
      </c>
      <c r="L67" s="306">
        <f t="shared" si="0"/>
        <v>6083</v>
      </c>
      <c r="M67" s="306">
        <f t="shared" si="0"/>
        <v>6636</v>
      </c>
      <c r="N67" s="201">
        <f t="shared" si="0"/>
        <v>6702</v>
      </c>
      <c r="O67" s="200">
        <f t="shared" si="0"/>
        <v>1488</v>
      </c>
    </row>
    <row r="68" spans="1:15">
      <c r="A68" s="32" t="s">
        <v>143</v>
      </c>
    </row>
    <row r="69" spans="1:15">
      <c r="A69" s="32" t="s">
        <v>143</v>
      </c>
      <c r="B69" s="32" t="s">
        <v>112</v>
      </c>
    </row>
    <row r="70" spans="1:15">
      <c r="A70" s="32" t="s">
        <v>143</v>
      </c>
      <c r="B70" s="32" t="s">
        <v>112</v>
      </c>
    </row>
    <row r="71" spans="1:15">
      <c r="A71" s="32" t="s">
        <v>143</v>
      </c>
      <c r="B71" s="32" t="s">
        <v>112</v>
      </c>
    </row>
    <row r="72" spans="1:15">
      <c r="A72" s="32" t="s">
        <v>143</v>
      </c>
      <c r="B72" s="32" t="s">
        <v>112</v>
      </c>
    </row>
    <row r="73" spans="1:15">
      <c r="A73" s="32" t="s">
        <v>143</v>
      </c>
      <c r="B73" s="32" t="s">
        <v>112</v>
      </c>
    </row>
    <row r="74" spans="1:15">
      <c r="A74" s="32" t="s">
        <v>143</v>
      </c>
      <c r="B74" s="32" t="s">
        <v>112</v>
      </c>
    </row>
    <row r="75" spans="1:15">
      <c r="A75" s="32" t="s">
        <v>143</v>
      </c>
      <c r="B75" s="32" t="s">
        <v>112</v>
      </c>
    </row>
    <row r="76" spans="1:15">
      <c r="A76" s="32" t="s">
        <v>143</v>
      </c>
      <c r="B76" s="32" t="s">
        <v>112</v>
      </c>
    </row>
    <row r="77" spans="1:15">
      <c r="A77" s="32" t="s">
        <v>143</v>
      </c>
      <c r="B77" s="32" t="s">
        <v>112</v>
      </c>
    </row>
    <row r="78" spans="1:15">
      <c r="A78" s="32" t="s">
        <v>143</v>
      </c>
      <c r="B78" s="32" t="s">
        <v>112</v>
      </c>
    </row>
    <row r="79" spans="1:15">
      <c r="A79" s="32" t="s">
        <v>143</v>
      </c>
      <c r="B79" s="32" t="s">
        <v>112</v>
      </c>
    </row>
    <row r="80" spans="1:15">
      <c r="A80" s="32" t="s">
        <v>143</v>
      </c>
      <c r="B80" s="32" t="s">
        <v>112</v>
      </c>
    </row>
    <row r="81" spans="1:28">
      <c r="A81" s="32" t="s">
        <v>143</v>
      </c>
      <c r="B81" s="32" t="s">
        <v>112</v>
      </c>
    </row>
    <row r="82" spans="1:28">
      <c r="A82" s="32" t="s">
        <v>143</v>
      </c>
      <c r="B82" s="32" t="s">
        <v>112</v>
      </c>
    </row>
    <row r="83" spans="1:28">
      <c r="A83" s="32" t="s">
        <v>143</v>
      </c>
      <c r="B83" s="32" t="s">
        <v>112</v>
      </c>
      <c r="D83" s="712" t="s">
        <v>1009</v>
      </c>
      <c r="E83" s="713"/>
      <c r="F83" s="713"/>
      <c r="G83" s="713"/>
      <c r="H83" s="713"/>
      <c r="I83" s="713"/>
      <c r="J83" s="713"/>
      <c r="K83" s="713"/>
      <c r="L83" s="713"/>
      <c r="M83" s="713"/>
      <c r="N83" s="713"/>
      <c r="O83" s="713"/>
      <c r="P83" s="713"/>
      <c r="Q83" s="713"/>
      <c r="R83" s="713"/>
      <c r="S83" s="713"/>
      <c r="T83" s="713"/>
      <c r="U83" s="713"/>
      <c r="V83" s="713"/>
      <c r="W83" s="713"/>
      <c r="X83" s="713"/>
      <c r="Y83" s="713"/>
      <c r="Z83" s="713"/>
      <c r="AA83" s="713"/>
      <c r="AB83" s="713"/>
    </row>
    <row r="84" spans="1:28">
      <c r="A84" s="32" t="s">
        <v>143</v>
      </c>
    </row>
    <row r="85" spans="1:28">
      <c r="A85" s="32" t="s">
        <v>143</v>
      </c>
      <c r="B85" s="32" t="s">
        <v>123</v>
      </c>
      <c r="D85" s="269" t="s">
        <v>2189</v>
      </c>
    </row>
    <row r="86" spans="1:28">
      <c r="A86" s="58" t="s">
        <v>143</v>
      </c>
      <c r="B86" s="58"/>
      <c r="C86" s="58"/>
    </row>
    <row r="87" spans="1:28">
      <c r="A87" s="70" t="s">
        <v>140</v>
      </c>
      <c r="B87" s="70" t="s">
        <v>119</v>
      </c>
      <c r="C87" s="70"/>
      <c r="D87" s="205" t="s">
        <v>766</v>
      </c>
      <c r="E87" s="70"/>
      <c r="F87" s="70"/>
      <c r="G87" s="70"/>
      <c r="H87" s="70"/>
      <c r="I87" s="70"/>
      <c r="J87" s="70"/>
      <c r="K87" s="70"/>
      <c r="L87" s="70"/>
      <c r="M87" s="70"/>
      <c r="N87" s="70"/>
      <c r="O87" s="70"/>
      <c r="P87" s="70"/>
      <c r="Q87" s="70"/>
      <c r="R87" s="70"/>
    </row>
    <row r="88" spans="1:28">
      <c r="A88" s="32" t="s">
        <v>140</v>
      </c>
      <c r="B88" s="32" t="s">
        <v>121</v>
      </c>
      <c r="D88" s="269" t="s">
        <v>2186</v>
      </c>
    </row>
    <row r="89" spans="1:28">
      <c r="A89" s="32" t="s">
        <v>140</v>
      </c>
    </row>
    <row r="90" spans="1:28" s="76" customFormat="1">
      <c r="A90" s="32" t="s">
        <v>140</v>
      </c>
      <c r="B90" s="32" t="s">
        <v>111</v>
      </c>
      <c r="C90" s="32"/>
      <c r="E90" s="714" t="s">
        <v>2183</v>
      </c>
      <c r="F90" s="714"/>
      <c r="G90" s="714" t="s">
        <v>2184</v>
      </c>
      <c r="H90" s="714"/>
      <c r="I90" s="714" t="s">
        <v>2185</v>
      </c>
      <c r="J90" s="714"/>
      <c r="K90" s="31"/>
      <c r="R90" s="31"/>
      <c r="S90" s="31"/>
      <c r="T90" s="31"/>
      <c r="U90" s="31"/>
      <c r="V90" s="31"/>
    </row>
    <row r="91" spans="1:28">
      <c r="A91" s="32" t="s">
        <v>140</v>
      </c>
      <c r="B91" s="32" t="s">
        <v>111</v>
      </c>
      <c r="E91" s="321" t="s">
        <v>747</v>
      </c>
      <c r="F91" s="321" t="s">
        <v>748</v>
      </c>
      <c r="G91" s="321" t="s">
        <v>747</v>
      </c>
      <c r="H91" s="321" t="s">
        <v>748</v>
      </c>
      <c r="I91" s="321" t="s">
        <v>747</v>
      </c>
      <c r="J91" s="321" t="s">
        <v>748</v>
      </c>
    </row>
    <row r="92" spans="1:28">
      <c r="A92" s="32" t="s">
        <v>140</v>
      </c>
      <c r="B92" s="32" t="s">
        <v>111</v>
      </c>
      <c r="D92" s="163">
        <v>1</v>
      </c>
      <c r="E92" s="322" t="s">
        <v>749</v>
      </c>
      <c r="F92" s="323">
        <v>1906</v>
      </c>
      <c r="G92" s="323" t="s">
        <v>749</v>
      </c>
      <c r="H92" s="323">
        <v>1020</v>
      </c>
      <c r="I92" s="322" t="s">
        <v>749</v>
      </c>
      <c r="J92" s="322">
        <v>886</v>
      </c>
    </row>
    <row r="93" spans="1:28">
      <c r="A93" s="32" t="s">
        <v>140</v>
      </c>
      <c r="B93" s="32" t="s">
        <v>111</v>
      </c>
      <c r="D93" s="163">
        <v>2</v>
      </c>
      <c r="E93" s="322" t="s">
        <v>750</v>
      </c>
      <c r="F93" s="322">
        <v>1118</v>
      </c>
      <c r="G93" s="322" t="s">
        <v>750</v>
      </c>
      <c r="H93" s="322">
        <v>550</v>
      </c>
      <c r="I93" s="322" t="s">
        <v>750</v>
      </c>
      <c r="J93" s="322">
        <v>568</v>
      </c>
    </row>
    <row r="94" spans="1:28">
      <c r="A94" s="32" t="s">
        <v>140</v>
      </c>
      <c r="B94" s="32" t="s">
        <v>111</v>
      </c>
      <c r="D94" s="163">
        <v>3</v>
      </c>
      <c r="E94" s="322" t="s">
        <v>752</v>
      </c>
      <c r="F94" s="322">
        <v>877</v>
      </c>
      <c r="G94" s="322" t="s">
        <v>751</v>
      </c>
      <c r="H94" s="322">
        <v>522</v>
      </c>
      <c r="I94" s="322" t="s">
        <v>753</v>
      </c>
      <c r="J94" s="322">
        <v>502</v>
      </c>
    </row>
    <row r="95" spans="1:28">
      <c r="A95" s="32" t="s">
        <v>140</v>
      </c>
      <c r="B95" s="32" t="s">
        <v>111</v>
      </c>
      <c r="D95" s="163">
        <v>4</v>
      </c>
      <c r="E95" s="322" t="s">
        <v>753</v>
      </c>
      <c r="F95" s="322">
        <v>832</v>
      </c>
      <c r="G95" s="322" t="s">
        <v>752</v>
      </c>
      <c r="H95" s="322">
        <v>390</v>
      </c>
      <c r="I95" s="322" t="s">
        <v>752</v>
      </c>
      <c r="J95" s="322">
        <v>487</v>
      </c>
    </row>
    <row r="96" spans="1:28">
      <c r="A96" s="32" t="s">
        <v>140</v>
      </c>
      <c r="B96" s="32" t="s">
        <v>111</v>
      </c>
      <c r="D96" s="163">
        <v>5</v>
      </c>
      <c r="E96" s="322" t="s">
        <v>751</v>
      </c>
      <c r="F96" s="322">
        <v>829</v>
      </c>
      <c r="G96" s="322" t="s">
        <v>754</v>
      </c>
      <c r="H96" s="322">
        <v>341</v>
      </c>
      <c r="I96" s="322" t="s">
        <v>760</v>
      </c>
      <c r="J96" s="322">
        <v>338</v>
      </c>
    </row>
    <row r="97" spans="1:12">
      <c r="A97" s="32" t="s">
        <v>140</v>
      </c>
      <c r="B97" s="32" t="s">
        <v>111</v>
      </c>
      <c r="D97" s="163">
        <v>6</v>
      </c>
      <c r="E97" s="322" t="s">
        <v>754</v>
      </c>
      <c r="F97" s="322">
        <v>605</v>
      </c>
      <c r="G97" s="322" t="s">
        <v>753</v>
      </c>
      <c r="H97" s="322">
        <v>330</v>
      </c>
      <c r="I97" s="322" t="s">
        <v>764</v>
      </c>
      <c r="J97" s="322">
        <v>311</v>
      </c>
    </row>
    <row r="98" spans="1:12">
      <c r="A98" s="32" t="s">
        <v>140</v>
      </c>
      <c r="B98" s="32" t="s">
        <v>111</v>
      </c>
      <c r="D98" s="163">
        <v>7</v>
      </c>
      <c r="E98" s="322" t="s">
        <v>760</v>
      </c>
      <c r="F98" s="322">
        <v>578</v>
      </c>
      <c r="G98" s="322" t="s">
        <v>755</v>
      </c>
      <c r="H98" s="322">
        <v>312</v>
      </c>
      <c r="I98" s="322" t="s">
        <v>751</v>
      </c>
      <c r="J98" s="322">
        <v>307</v>
      </c>
    </row>
    <row r="99" spans="1:12">
      <c r="A99" s="32" t="s">
        <v>140</v>
      </c>
      <c r="B99" s="32" t="s">
        <v>111</v>
      </c>
      <c r="D99" s="163">
        <v>8</v>
      </c>
      <c r="E99" s="322" t="s">
        <v>757</v>
      </c>
      <c r="F99" s="322">
        <v>549</v>
      </c>
      <c r="G99" s="322" t="s">
        <v>757</v>
      </c>
      <c r="H99" s="322">
        <v>260</v>
      </c>
      <c r="I99" s="322" t="s">
        <v>757</v>
      </c>
      <c r="J99" s="322">
        <v>289</v>
      </c>
    </row>
    <row r="100" spans="1:12">
      <c r="A100" s="32" t="s">
        <v>140</v>
      </c>
      <c r="B100" s="32" t="s">
        <v>111</v>
      </c>
      <c r="D100" s="163">
        <v>9</v>
      </c>
      <c r="E100" s="322" t="s">
        <v>756</v>
      </c>
      <c r="F100" s="322">
        <v>509</v>
      </c>
      <c r="G100" s="322" t="s">
        <v>758</v>
      </c>
      <c r="H100" s="322">
        <v>255</v>
      </c>
      <c r="I100" s="322" t="s">
        <v>759</v>
      </c>
      <c r="J100" s="322">
        <v>289</v>
      </c>
    </row>
    <row r="101" spans="1:12">
      <c r="A101" s="32" t="s">
        <v>140</v>
      </c>
      <c r="B101" s="32" t="s">
        <v>111</v>
      </c>
      <c r="D101" s="163">
        <v>10</v>
      </c>
      <c r="E101" s="322" t="s">
        <v>759</v>
      </c>
      <c r="F101" s="322">
        <v>498</v>
      </c>
      <c r="G101" s="322" t="s">
        <v>761</v>
      </c>
      <c r="H101" s="322">
        <v>252</v>
      </c>
      <c r="I101" s="322" t="s">
        <v>754</v>
      </c>
      <c r="J101" s="322">
        <v>264</v>
      </c>
    </row>
    <row r="102" spans="1:12">
      <c r="A102" s="32" t="s">
        <v>140</v>
      </c>
      <c r="B102" s="32" t="s">
        <v>111</v>
      </c>
      <c r="D102" s="163">
        <v>11</v>
      </c>
      <c r="E102" s="322" t="s">
        <v>758</v>
      </c>
      <c r="F102" s="322">
        <v>489</v>
      </c>
      <c r="G102" s="322" t="s">
        <v>756</v>
      </c>
      <c r="H102" s="322">
        <v>247</v>
      </c>
      <c r="I102" s="322" t="s">
        <v>756</v>
      </c>
      <c r="J102" s="322">
        <v>262</v>
      </c>
    </row>
    <row r="103" spans="1:12">
      <c r="A103" s="32" t="s">
        <v>140</v>
      </c>
      <c r="B103" s="32" t="s">
        <v>111</v>
      </c>
      <c r="D103" s="163">
        <v>12</v>
      </c>
      <c r="E103" s="322" t="s">
        <v>764</v>
      </c>
      <c r="F103" s="322">
        <v>468</v>
      </c>
      <c r="G103" s="322" t="s">
        <v>760</v>
      </c>
      <c r="H103" s="322">
        <v>240</v>
      </c>
      <c r="I103" s="322" t="s">
        <v>2187</v>
      </c>
      <c r="J103" s="322">
        <v>260</v>
      </c>
    </row>
    <row r="104" spans="1:12">
      <c r="A104" s="32" t="s">
        <v>140</v>
      </c>
      <c r="B104" s="32" t="s">
        <v>111</v>
      </c>
      <c r="D104" s="163">
        <v>13</v>
      </c>
      <c r="E104" s="322" t="s">
        <v>763</v>
      </c>
      <c r="F104" s="322">
        <v>448</v>
      </c>
      <c r="G104" s="322" t="s">
        <v>762</v>
      </c>
      <c r="H104" s="322">
        <v>228</v>
      </c>
      <c r="I104" s="322" t="s">
        <v>763</v>
      </c>
      <c r="J104" s="322">
        <v>253</v>
      </c>
    </row>
    <row r="105" spans="1:12">
      <c r="A105" s="32" t="s">
        <v>140</v>
      </c>
      <c r="B105" s="32" t="s">
        <v>111</v>
      </c>
      <c r="D105" s="163">
        <v>14</v>
      </c>
      <c r="E105" s="322" t="s">
        <v>761</v>
      </c>
      <c r="F105" s="322">
        <v>443</v>
      </c>
      <c r="G105" s="322" t="s">
        <v>759</v>
      </c>
      <c r="H105" s="322">
        <v>209</v>
      </c>
      <c r="I105" s="322" t="s">
        <v>758</v>
      </c>
      <c r="J105" s="322">
        <v>234</v>
      </c>
    </row>
    <row r="106" spans="1:12">
      <c r="A106" s="32" t="s">
        <v>140</v>
      </c>
      <c r="B106" s="32" t="s">
        <v>111</v>
      </c>
      <c r="D106" s="163">
        <v>15</v>
      </c>
      <c r="E106" s="322" t="s">
        <v>2187</v>
      </c>
      <c r="F106" s="322">
        <v>439</v>
      </c>
      <c r="G106" s="322" t="s">
        <v>763</v>
      </c>
      <c r="H106" s="322">
        <v>195</v>
      </c>
      <c r="I106" s="322" t="s">
        <v>765</v>
      </c>
      <c r="J106" s="322">
        <v>228</v>
      </c>
    </row>
    <row r="107" spans="1:12">
      <c r="A107" s="32" t="s">
        <v>140</v>
      </c>
      <c r="D107" s="320"/>
      <c r="E107" s="83"/>
      <c r="F107" s="83"/>
      <c r="G107" s="83"/>
      <c r="H107" s="83"/>
      <c r="I107" s="83"/>
      <c r="J107" s="83"/>
      <c r="K107" s="169"/>
    </row>
    <row r="108" spans="1:12">
      <c r="A108" s="32" t="s">
        <v>140</v>
      </c>
      <c r="D108" s="320"/>
      <c r="E108" s="83"/>
      <c r="F108" s="83"/>
      <c r="G108" s="83"/>
      <c r="H108" s="83"/>
      <c r="I108" s="83"/>
      <c r="J108" s="83"/>
      <c r="K108" s="169"/>
    </row>
    <row r="109" spans="1:12">
      <c r="A109" s="32" t="s">
        <v>140</v>
      </c>
      <c r="B109" s="32" t="s">
        <v>123</v>
      </c>
      <c r="D109" s="320"/>
      <c r="E109" s="269" t="s">
        <v>2188</v>
      </c>
      <c r="F109" s="83"/>
      <c r="G109" s="83"/>
      <c r="H109" s="83"/>
      <c r="I109" s="83"/>
      <c r="J109" s="83"/>
      <c r="K109" s="169"/>
    </row>
    <row r="110" spans="1:12">
      <c r="A110" s="32" t="s">
        <v>140</v>
      </c>
      <c r="D110" s="320"/>
      <c r="E110" s="83"/>
      <c r="F110" s="83"/>
      <c r="G110" s="83"/>
      <c r="H110" s="83"/>
      <c r="I110" s="83"/>
      <c r="J110" s="83"/>
      <c r="K110" s="169"/>
    </row>
    <row r="111" spans="1:12">
      <c r="A111" s="32" t="s">
        <v>140</v>
      </c>
      <c r="D111" s="320"/>
      <c r="E111" s="83"/>
      <c r="F111" s="83"/>
      <c r="G111" s="83"/>
      <c r="H111" s="83"/>
      <c r="I111" s="83"/>
      <c r="J111" s="83"/>
      <c r="K111" s="169"/>
      <c r="L111" s="54"/>
    </row>
    <row r="112" spans="1:12">
      <c r="D112" s="163"/>
      <c r="E112" s="83"/>
      <c r="F112" s="83"/>
      <c r="G112" s="83"/>
      <c r="H112" s="83"/>
      <c r="I112" s="83"/>
      <c r="J112" s="83"/>
    </row>
    <row r="113" spans="1:22">
      <c r="A113" s="58" t="s">
        <v>140</v>
      </c>
      <c r="C113" s="58"/>
      <c r="F113" s="58"/>
      <c r="G113" s="58"/>
      <c r="H113" s="58"/>
      <c r="I113" s="58"/>
      <c r="J113" s="58"/>
      <c r="K113" s="58"/>
      <c r="L113" s="58"/>
      <c r="M113" s="58"/>
      <c r="N113" s="58"/>
      <c r="O113" s="58"/>
      <c r="P113" s="58"/>
      <c r="Q113" s="76"/>
      <c r="R113" s="76"/>
      <c r="S113" s="76"/>
      <c r="T113" s="76"/>
      <c r="U113" s="76"/>
      <c r="V113" s="76"/>
    </row>
    <row r="114" spans="1:22">
      <c r="A114" s="70" t="s">
        <v>144</v>
      </c>
      <c r="B114" s="70" t="s">
        <v>119</v>
      </c>
      <c r="C114" s="70"/>
      <c r="D114" s="205" t="s">
        <v>1999</v>
      </c>
      <c r="E114" s="70"/>
      <c r="F114" s="70"/>
      <c r="G114" s="70"/>
      <c r="H114" s="70"/>
      <c r="I114" s="70"/>
      <c r="J114" s="70"/>
      <c r="K114" s="70"/>
      <c r="L114" s="70"/>
      <c r="M114" s="70"/>
      <c r="N114" s="70"/>
      <c r="O114" s="70"/>
      <c r="P114" s="70"/>
      <c r="Q114" s="70"/>
      <c r="R114" s="70"/>
    </row>
    <row r="115" spans="1:22">
      <c r="A115" s="32" t="s">
        <v>144</v>
      </c>
      <c r="B115" s="32" t="s">
        <v>121</v>
      </c>
      <c r="D115" s="269" t="s">
        <v>2196</v>
      </c>
      <c r="L115" s="54"/>
    </row>
    <row r="116" spans="1:22">
      <c r="A116" s="32" t="s">
        <v>144</v>
      </c>
      <c r="B116" s="32" t="s">
        <v>121</v>
      </c>
      <c r="D116" s="269" t="s">
        <v>2197</v>
      </c>
    </row>
    <row r="117" spans="1:22" s="76" customFormat="1">
      <c r="A117" s="32" t="s">
        <v>144</v>
      </c>
      <c r="B117" s="32" t="s">
        <v>121</v>
      </c>
      <c r="C117" s="32"/>
      <c r="D117" s="31" t="s">
        <v>145</v>
      </c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</row>
    <row r="118" spans="1:22">
      <c r="A118" s="32" t="s">
        <v>144</v>
      </c>
      <c r="B118" s="32" t="s">
        <v>121</v>
      </c>
      <c r="D118" s="31" t="s">
        <v>146</v>
      </c>
    </row>
    <row r="119" spans="1:22">
      <c r="A119" s="32" t="s">
        <v>144</v>
      </c>
    </row>
    <row r="120" spans="1:22">
      <c r="A120" s="32" t="s">
        <v>144</v>
      </c>
      <c r="B120" s="32" t="s">
        <v>111</v>
      </c>
      <c r="D120" s="31" t="s">
        <v>19</v>
      </c>
      <c r="E120" s="31" t="s">
        <v>133</v>
      </c>
      <c r="F120" s="31" t="s">
        <v>134</v>
      </c>
      <c r="G120" s="31" t="s">
        <v>135</v>
      </c>
      <c r="H120" s="31" t="s">
        <v>0</v>
      </c>
      <c r="I120" s="31" t="s">
        <v>1</v>
      </c>
      <c r="J120" s="31" t="s">
        <v>2</v>
      </c>
      <c r="K120" s="31" t="s">
        <v>3</v>
      </c>
      <c r="L120" s="31" t="s">
        <v>7</v>
      </c>
      <c r="M120" s="31" t="s">
        <v>675</v>
      </c>
      <c r="N120" s="31" t="s">
        <v>707</v>
      </c>
      <c r="O120" s="31" t="s">
        <v>2195</v>
      </c>
      <c r="P120" s="32"/>
      <c r="Q120" s="32" t="s">
        <v>196</v>
      </c>
      <c r="R120" s="32"/>
    </row>
    <row r="121" spans="1:22">
      <c r="A121" s="32" t="s">
        <v>144</v>
      </c>
      <c r="B121" s="32" t="s">
        <v>111</v>
      </c>
      <c r="D121" s="31" t="s">
        <v>659</v>
      </c>
      <c r="E121" s="53">
        <v>157</v>
      </c>
      <c r="F121" s="53">
        <v>166</v>
      </c>
      <c r="G121" s="53">
        <v>218</v>
      </c>
      <c r="H121" s="53">
        <v>248</v>
      </c>
      <c r="I121" s="53">
        <v>255</v>
      </c>
      <c r="J121" s="53">
        <v>266</v>
      </c>
      <c r="K121" s="53">
        <v>301</v>
      </c>
      <c r="L121" s="53">
        <v>354</v>
      </c>
      <c r="M121" s="53">
        <v>377</v>
      </c>
      <c r="N121" s="695">
        <v>388</v>
      </c>
      <c r="O121" s="270">
        <v>324</v>
      </c>
      <c r="P121" s="35"/>
      <c r="Q121" s="35"/>
      <c r="R121" s="35"/>
    </row>
    <row r="122" spans="1:22">
      <c r="A122" s="32" t="s">
        <v>144</v>
      </c>
      <c r="B122" s="32" t="s">
        <v>111</v>
      </c>
      <c r="D122" s="31" t="s">
        <v>672</v>
      </c>
      <c r="E122" s="53">
        <v>10</v>
      </c>
      <c r="F122" s="53">
        <v>10</v>
      </c>
      <c r="G122" s="53">
        <v>8</v>
      </c>
      <c r="H122" s="53">
        <v>9</v>
      </c>
      <c r="I122" s="53">
        <v>8</v>
      </c>
      <c r="J122" s="53">
        <v>7</v>
      </c>
      <c r="K122" s="53">
        <v>7</v>
      </c>
      <c r="L122" s="53">
        <v>6</v>
      </c>
      <c r="M122" s="53">
        <v>5</v>
      </c>
      <c r="N122" s="695">
        <v>6</v>
      </c>
      <c r="O122" s="270">
        <v>6</v>
      </c>
      <c r="P122" s="35"/>
      <c r="Q122" s="35"/>
      <c r="R122" s="35"/>
    </row>
    <row r="123" spans="1:22">
      <c r="A123" s="32" t="s">
        <v>144</v>
      </c>
    </row>
    <row r="124" spans="1:22">
      <c r="A124" s="32" t="s">
        <v>144</v>
      </c>
      <c r="B124" s="32" t="s">
        <v>112</v>
      </c>
    </row>
    <row r="125" spans="1:22">
      <c r="A125" s="32" t="s">
        <v>144</v>
      </c>
      <c r="B125" s="32" t="s">
        <v>112</v>
      </c>
    </row>
    <row r="126" spans="1:22">
      <c r="A126" s="32" t="s">
        <v>144</v>
      </c>
      <c r="B126" s="32" t="s">
        <v>112</v>
      </c>
    </row>
    <row r="127" spans="1:22">
      <c r="A127" s="32" t="s">
        <v>144</v>
      </c>
      <c r="B127" s="32" t="s">
        <v>112</v>
      </c>
    </row>
    <row r="128" spans="1:22">
      <c r="A128" s="32" t="s">
        <v>144</v>
      </c>
      <c r="B128" s="32" t="s">
        <v>112</v>
      </c>
    </row>
    <row r="129" spans="1:22">
      <c r="A129" s="32" t="s">
        <v>144</v>
      </c>
      <c r="B129" s="32" t="s">
        <v>112</v>
      </c>
    </row>
    <row r="130" spans="1:22">
      <c r="A130" s="32" t="s">
        <v>144</v>
      </c>
      <c r="B130" s="32" t="s">
        <v>112</v>
      </c>
    </row>
    <row r="131" spans="1:22">
      <c r="A131" s="32" t="s">
        <v>144</v>
      </c>
      <c r="B131" s="32" t="s">
        <v>112</v>
      </c>
    </row>
    <row r="132" spans="1:22">
      <c r="A132" s="32" t="s">
        <v>144</v>
      </c>
      <c r="B132" s="32" t="s">
        <v>112</v>
      </c>
    </row>
    <row r="133" spans="1:22">
      <c r="A133" s="32" t="s">
        <v>144</v>
      </c>
      <c r="B133" s="32" t="s">
        <v>112</v>
      </c>
    </row>
    <row r="134" spans="1:22">
      <c r="A134" s="32" t="s">
        <v>144</v>
      </c>
      <c r="B134" s="32" t="s">
        <v>112</v>
      </c>
    </row>
    <row r="135" spans="1:22">
      <c r="A135" s="32" t="s">
        <v>144</v>
      </c>
      <c r="B135" s="32" t="s">
        <v>112</v>
      </c>
    </row>
    <row r="136" spans="1:22">
      <c r="A136" s="32" t="s">
        <v>144</v>
      </c>
      <c r="B136" s="32" t="s">
        <v>112</v>
      </c>
    </row>
    <row r="137" spans="1:22">
      <c r="A137" s="32" t="s">
        <v>144</v>
      </c>
      <c r="B137" s="32" t="s">
        <v>112</v>
      </c>
    </row>
    <row r="138" spans="1:22">
      <c r="A138" s="32" t="s">
        <v>144</v>
      </c>
      <c r="B138" s="32" t="s">
        <v>112</v>
      </c>
    </row>
    <row r="139" spans="1:22">
      <c r="A139" s="32" t="s">
        <v>673</v>
      </c>
    </row>
    <row r="140" spans="1:22">
      <c r="A140" s="32" t="s">
        <v>144</v>
      </c>
      <c r="B140" s="32" t="s">
        <v>123</v>
      </c>
      <c r="D140" s="269" t="s">
        <v>2194</v>
      </c>
    </row>
    <row r="141" spans="1:22">
      <c r="A141" s="58" t="s">
        <v>144</v>
      </c>
      <c r="B141" s="58"/>
      <c r="C141" s="58"/>
      <c r="D141" s="58"/>
      <c r="E141" s="58"/>
      <c r="F141" s="58"/>
      <c r="G141" s="58"/>
      <c r="H141" s="58"/>
      <c r="I141" s="58"/>
      <c r="J141" s="58"/>
      <c r="K141" s="58"/>
      <c r="L141" s="58"/>
      <c r="M141" s="58"/>
      <c r="N141" s="58"/>
      <c r="O141" s="58"/>
      <c r="P141" s="58"/>
      <c r="Q141" s="76"/>
      <c r="R141" s="76"/>
      <c r="S141" s="76"/>
      <c r="T141" s="76"/>
      <c r="U141" s="76"/>
      <c r="V141" s="76"/>
    </row>
    <row r="142" spans="1:22">
      <c r="A142" s="70" t="s">
        <v>147</v>
      </c>
      <c r="B142" s="70" t="s">
        <v>119</v>
      </c>
      <c r="C142" s="70"/>
      <c r="D142" s="495" t="s">
        <v>1213</v>
      </c>
      <c r="E142" s="70"/>
      <c r="F142" s="70"/>
      <c r="G142" s="70"/>
      <c r="H142" s="70"/>
      <c r="I142" s="70"/>
      <c r="J142" s="70"/>
      <c r="K142" s="70"/>
      <c r="L142" s="70"/>
      <c r="M142" s="70"/>
      <c r="N142" s="70"/>
      <c r="O142" s="70"/>
      <c r="P142" s="70"/>
      <c r="Q142" s="70"/>
      <c r="R142" s="70"/>
    </row>
    <row r="143" spans="1:22" s="76" customFormat="1">
      <c r="A143" s="32" t="s">
        <v>147</v>
      </c>
      <c r="B143" s="32" t="s">
        <v>121</v>
      </c>
      <c r="C143" s="32"/>
      <c r="D143" s="31" t="s">
        <v>1212</v>
      </c>
      <c r="E143" s="31"/>
      <c r="F143" s="31"/>
      <c r="G143" s="31"/>
      <c r="H143" s="31"/>
      <c r="I143" s="31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</row>
    <row r="144" spans="1:22">
      <c r="A144" s="32" t="s">
        <v>147</v>
      </c>
      <c r="B144" s="32" t="s">
        <v>121</v>
      </c>
      <c r="D144" s="496" t="s">
        <v>928</v>
      </c>
    </row>
    <row r="145" spans="1:14">
      <c r="A145" s="32" t="s">
        <v>147</v>
      </c>
      <c r="D145" s="31" t="s">
        <v>1210</v>
      </c>
    </row>
    <row r="146" spans="1:14">
      <c r="A146" s="32" t="s">
        <v>147</v>
      </c>
      <c r="D146" s="31" t="s">
        <v>1211</v>
      </c>
    </row>
    <row r="147" spans="1:14">
      <c r="A147" s="32" t="s">
        <v>147</v>
      </c>
    </row>
    <row r="148" spans="1:14" ht="17.25" thickBot="1">
      <c r="A148" s="32" t="s">
        <v>147</v>
      </c>
    </row>
    <row r="149" spans="1:14">
      <c r="A149" s="32" t="s">
        <v>147</v>
      </c>
      <c r="B149" s="32" t="s">
        <v>111</v>
      </c>
      <c r="D149" s="719" t="s">
        <v>1214</v>
      </c>
      <c r="E149" s="717" t="s">
        <v>929</v>
      </c>
      <c r="F149" s="718"/>
      <c r="G149" s="717" t="s">
        <v>930</v>
      </c>
      <c r="H149" s="718"/>
      <c r="I149" s="717" t="s">
        <v>931</v>
      </c>
      <c r="J149" s="718"/>
      <c r="K149" s="717" t="s">
        <v>932</v>
      </c>
      <c r="L149" s="718"/>
      <c r="M149" s="717" t="s">
        <v>933</v>
      </c>
      <c r="N149" s="721"/>
    </row>
    <row r="150" spans="1:14">
      <c r="A150" s="32" t="s">
        <v>147</v>
      </c>
      <c r="B150" s="32" t="s">
        <v>111</v>
      </c>
      <c r="D150" s="720"/>
      <c r="E150" s="497">
        <v>2018</v>
      </c>
      <c r="F150" s="498">
        <v>2020</v>
      </c>
      <c r="G150" s="497">
        <v>2018</v>
      </c>
      <c r="H150" s="498">
        <v>2020</v>
      </c>
      <c r="I150" s="497">
        <v>2018</v>
      </c>
      <c r="J150" s="498">
        <v>2020</v>
      </c>
      <c r="K150" s="497">
        <v>2018</v>
      </c>
      <c r="L150" s="498">
        <v>2020</v>
      </c>
      <c r="M150" s="497">
        <v>2018</v>
      </c>
      <c r="N150" s="499">
        <v>2020</v>
      </c>
    </row>
    <row r="151" spans="1:14">
      <c r="A151" s="32" t="s">
        <v>147</v>
      </c>
      <c r="B151" s="32" t="s">
        <v>111</v>
      </c>
      <c r="D151" s="500" t="s">
        <v>937</v>
      </c>
      <c r="E151" s="501">
        <v>75.2</v>
      </c>
      <c r="F151" s="501">
        <v>77.900000000000006</v>
      </c>
      <c r="G151" s="501">
        <v>73.2</v>
      </c>
      <c r="H151" s="501">
        <v>78</v>
      </c>
      <c r="I151" s="501">
        <v>83.8</v>
      </c>
      <c r="J151" s="502">
        <v>81.599999999999994</v>
      </c>
      <c r="K151" s="502">
        <v>91</v>
      </c>
      <c r="L151" s="502">
        <v>92.2</v>
      </c>
      <c r="M151" s="502">
        <v>100</v>
      </c>
      <c r="N151" s="503">
        <v>100</v>
      </c>
    </row>
    <row r="152" spans="1:14">
      <c r="A152" s="32" t="s">
        <v>147</v>
      </c>
      <c r="B152" s="32" t="s">
        <v>111</v>
      </c>
      <c r="D152" s="504" t="s">
        <v>938</v>
      </c>
      <c r="E152" s="501">
        <v>3.5</v>
      </c>
      <c r="F152" s="502">
        <v>3.1</v>
      </c>
      <c r="G152" s="502">
        <v>3.7</v>
      </c>
      <c r="H152" s="502">
        <v>3</v>
      </c>
      <c r="I152" s="502">
        <v>2.2000000000000002</v>
      </c>
      <c r="J152" s="502">
        <v>2.4</v>
      </c>
      <c r="K152" s="502">
        <v>1.2</v>
      </c>
      <c r="L152" s="502">
        <v>1.1000000000000001</v>
      </c>
      <c r="M152" s="502">
        <v>0</v>
      </c>
      <c r="N152" s="503">
        <v>0</v>
      </c>
    </row>
    <row r="153" spans="1:14" ht="17.25" thickBot="1">
      <c r="A153" s="32" t="s">
        <v>147</v>
      </c>
      <c r="B153" s="32" t="s">
        <v>111</v>
      </c>
      <c r="D153" s="505" t="s">
        <v>939</v>
      </c>
      <c r="E153" s="506" t="s">
        <v>767</v>
      </c>
      <c r="F153" s="507" t="s">
        <v>934</v>
      </c>
      <c r="G153" s="506" t="s">
        <v>934</v>
      </c>
      <c r="H153" s="507" t="s">
        <v>934</v>
      </c>
      <c r="I153" s="508" t="s">
        <v>934</v>
      </c>
      <c r="J153" s="509" t="s">
        <v>934</v>
      </c>
      <c r="K153" s="508" t="s">
        <v>935</v>
      </c>
      <c r="L153" s="508" t="s">
        <v>935</v>
      </c>
      <c r="M153" s="508" t="s">
        <v>936</v>
      </c>
      <c r="N153" s="510" t="s">
        <v>936</v>
      </c>
    </row>
    <row r="154" spans="1:14">
      <c r="A154" s="32" t="s">
        <v>147</v>
      </c>
      <c r="B154" s="32" t="s">
        <v>111</v>
      </c>
      <c r="D154" s="169"/>
      <c r="E154" s="273"/>
      <c r="F154" s="273"/>
      <c r="G154" s="273"/>
      <c r="H154" s="273"/>
      <c r="I154" s="273"/>
      <c r="J154" s="164"/>
      <c r="K154" s="169"/>
      <c r="L154" s="169"/>
      <c r="M154" s="169"/>
      <c r="N154" s="169"/>
    </row>
    <row r="155" spans="1:14">
      <c r="A155" s="32" t="s">
        <v>147</v>
      </c>
      <c r="B155" s="32" t="s">
        <v>111</v>
      </c>
      <c r="D155" s="169"/>
      <c r="E155" s="273"/>
      <c r="F155" s="273"/>
      <c r="G155" s="273"/>
      <c r="H155" s="273"/>
      <c r="I155" s="273"/>
      <c r="J155" s="164"/>
      <c r="K155" s="169"/>
      <c r="L155" s="169"/>
      <c r="M155" s="169"/>
      <c r="N155" s="169"/>
    </row>
    <row r="156" spans="1:14">
      <c r="A156" s="32" t="s">
        <v>147</v>
      </c>
      <c r="D156" s="31" t="s">
        <v>1209</v>
      </c>
      <c r="E156" s="274"/>
      <c r="F156" s="275"/>
      <c r="G156" s="274"/>
      <c r="H156" s="275"/>
      <c r="I156" s="273"/>
      <c r="J156" s="164"/>
      <c r="K156" s="169"/>
      <c r="L156" s="169"/>
      <c r="M156" s="169"/>
      <c r="N156" s="169"/>
    </row>
    <row r="157" spans="1:14">
      <c r="A157" s="32" t="s">
        <v>147</v>
      </c>
      <c r="E157" s="54"/>
      <c r="F157" s="55"/>
      <c r="G157" s="54"/>
      <c r="H157" s="55"/>
    </row>
    <row r="158" spans="1:14">
      <c r="A158" s="32" t="s">
        <v>147</v>
      </c>
      <c r="B158" s="32" t="s">
        <v>123</v>
      </c>
      <c r="E158" s="54"/>
      <c r="F158" s="55"/>
      <c r="G158" s="54"/>
      <c r="H158" s="55"/>
    </row>
    <row r="159" spans="1:14">
      <c r="A159" s="32" t="s">
        <v>147</v>
      </c>
    </row>
    <row r="160" spans="1:14">
      <c r="A160" s="32" t="s">
        <v>147</v>
      </c>
    </row>
    <row r="161" spans="1:22">
      <c r="A161" s="58" t="s">
        <v>147</v>
      </c>
      <c r="B161" s="58"/>
      <c r="C161" s="58"/>
      <c r="D161" s="58"/>
      <c r="E161" s="58"/>
      <c r="F161" s="58"/>
      <c r="G161" s="58"/>
      <c r="H161" s="58"/>
      <c r="I161" s="58"/>
      <c r="J161" s="58"/>
      <c r="K161" s="58"/>
      <c r="L161" s="58"/>
      <c r="M161" s="58"/>
      <c r="N161" s="58"/>
      <c r="O161" s="58"/>
      <c r="P161" s="58"/>
      <c r="Q161" s="76"/>
      <c r="R161" s="76"/>
      <c r="S161" s="76"/>
      <c r="T161" s="76"/>
      <c r="U161" s="76"/>
      <c r="V161" s="76"/>
    </row>
    <row r="162" spans="1:22">
      <c r="A162" s="70" t="s">
        <v>148</v>
      </c>
      <c r="B162" s="70" t="s">
        <v>119</v>
      </c>
      <c r="C162" s="70"/>
      <c r="D162" s="495" t="s">
        <v>1215</v>
      </c>
      <c r="E162" s="70"/>
      <c r="F162" s="70"/>
      <c r="G162" s="70"/>
      <c r="H162" s="70"/>
      <c r="I162" s="70"/>
      <c r="J162" s="70"/>
      <c r="K162" s="70"/>
      <c r="L162" s="70"/>
      <c r="M162" s="70"/>
      <c r="N162" s="70"/>
      <c r="O162" s="70"/>
      <c r="P162" s="70"/>
      <c r="Q162" s="70"/>
      <c r="R162" s="70"/>
    </row>
    <row r="163" spans="1:22">
      <c r="A163" s="32" t="s">
        <v>148</v>
      </c>
      <c r="B163" s="32" t="s">
        <v>121</v>
      </c>
      <c r="D163" s="31" t="s">
        <v>1216</v>
      </c>
    </row>
    <row r="164" spans="1:22">
      <c r="A164" s="32" t="s">
        <v>148</v>
      </c>
    </row>
    <row r="165" spans="1:22">
      <c r="A165" s="32" t="s">
        <v>148</v>
      </c>
      <c r="B165" s="32" t="s">
        <v>111</v>
      </c>
      <c r="D165" s="715" t="s">
        <v>769</v>
      </c>
      <c r="E165" s="708" t="s">
        <v>708</v>
      </c>
      <c r="F165" s="709"/>
      <c r="G165" s="708" t="s">
        <v>770</v>
      </c>
      <c r="H165" s="709"/>
      <c r="I165" s="708" t="s">
        <v>771</v>
      </c>
      <c r="J165" s="709"/>
      <c r="K165" s="710" t="s">
        <v>940</v>
      </c>
    </row>
    <row r="166" spans="1:22">
      <c r="A166" s="32" t="s">
        <v>148</v>
      </c>
      <c r="B166" s="32" t="s">
        <v>111</v>
      </c>
      <c r="D166" s="716"/>
      <c r="E166" s="511">
        <v>2018</v>
      </c>
      <c r="F166" s="512">
        <v>2020</v>
      </c>
      <c r="G166" s="511">
        <v>2018</v>
      </c>
      <c r="H166" s="512">
        <v>2020</v>
      </c>
      <c r="I166" s="513" t="s">
        <v>772</v>
      </c>
      <c r="J166" s="513" t="s">
        <v>773</v>
      </c>
      <c r="K166" s="711"/>
    </row>
    <row r="167" spans="1:22">
      <c r="A167" s="32" t="s">
        <v>148</v>
      </c>
      <c r="B167" s="32" t="s">
        <v>111</v>
      </c>
      <c r="D167" s="166" t="s">
        <v>775</v>
      </c>
      <c r="E167" s="514">
        <v>70</v>
      </c>
      <c r="F167" s="515">
        <v>70</v>
      </c>
      <c r="G167" s="514">
        <v>3.5</v>
      </c>
      <c r="H167" s="515">
        <v>3</v>
      </c>
      <c r="I167" s="516" t="s">
        <v>943</v>
      </c>
      <c r="J167" s="517" t="s">
        <v>944</v>
      </c>
      <c r="K167" s="517" t="s">
        <v>945</v>
      </c>
    </row>
    <row r="168" spans="1:22">
      <c r="A168" s="32" t="s">
        <v>148</v>
      </c>
      <c r="B168" s="32" t="s">
        <v>111</v>
      </c>
      <c r="D168" s="166" t="s">
        <v>776</v>
      </c>
      <c r="E168" s="514">
        <v>82.5</v>
      </c>
      <c r="F168" s="515">
        <v>80</v>
      </c>
      <c r="G168" s="514">
        <v>3.5</v>
      </c>
      <c r="H168" s="515">
        <v>3</v>
      </c>
      <c r="I168" s="517" t="s">
        <v>946</v>
      </c>
      <c r="J168" s="517" t="s">
        <v>947</v>
      </c>
      <c r="K168" s="517" t="s">
        <v>945</v>
      </c>
    </row>
    <row r="169" spans="1:22">
      <c r="A169" s="32" t="s">
        <v>148</v>
      </c>
      <c r="B169" s="32" t="s">
        <v>111</v>
      </c>
      <c r="D169" s="166" t="s">
        <v>777</v>
      </c>
      <c r="E169" s="514">
        <v>75</v>
      </c>
      <c r="F169" s="515">
        <v>70</v>
      </c>
      <c r="G169" s="514">
        <v>3.8</v>
      </c>
      <c r="H169" s="515">
        <v>4</v>
      </c>
      <c r="I169" s="516" t="s">
        <v>946</v>
      </c>
      <c r="J169" s="517" t="s">
        <v>947</v>
      </c>
      <c r="K169" s="517" t="s">
        <v>945</v>
      </c>
    </row>
    <row r="170" spans="1:22">
      <c r="A170" s="32" t="s">
        <v>148</v>
      </c>
      <c r="B170" s="32" t="s">
        <v>111</v>
      </c>
      <c r="D170" s="166" t="s">
        <v>941</v>
      </c>
      <c r="E170" s="514">
        <v>85</v>
      </c>
      <c r="F170" s="515">
        <v>85</v>
      </c>
      <c r="G170" s="514">
        <v>2</v>
      </c>
      <c r="H170" s="515">
        <v>2</v>
      </c>
      <c r="I170" s="516" t="s">
        <v>943</v>
      </c>
      <c r="J170" s="517" t="s">
        <v>947</v>
      </c>
      <c r="K170" s="517" t="s">
        <v>945</v>
      </c>
    </row>
    <row r="171" spans="1:22" s="76" customFormat="1">
      <c r="A171" s="32" t="s">
        <v>148</v>
      </c>
      <c r="B171" s="32" t="s">
        <v>111</v>
      </c>
      <c r="C171" s="32"/>
      <c r="D171" s="166" t="s">
        <v>778</v>
      </c>
      <c r="E171" s="514">
        <v>70</v>
      </c>
      <c r="F171" s="515">
        <v>70</v>
      </c>
      <c r="G171" s="514">
        <v>5.5</v>
      </c>
      <c r="H171" s="515">
        <v>6</v>
      </c>
      <c r="I171" s="516" t="s">
        <v>943</v>
      </c>
      <c r="J171" s="517" t="s">
        <v>944</v>
      </c>
      <c r="K171" s="517" t="s">
        <v>945</v>
      </c>
      <c r="M171" s="31"/>
      <c r="N171" s="31"/>
      <c r="O171" s="31"/>
      <c r="P171" s="31"/>
      <c r="Q171" s="31"/>
      <c r="R171" s="31"/>
      <c r="S171" s="31"/>
      <c r="T171" s="31"/>
      <c r="V171" s="31"/>
    </row>
    <row r="172" spans="1:22">
      <c r="A172" s="32" t="s">
        <v>148</v>
      </c>
      <c r="B172" s="32" t="s">
        <v>111</v>
      </c>
      <c r="D172" s="166" t="s">
        <v>942</v>
      </c>
      <c r="E172" s="514">
        <v>83.5</v>
      </c>
      <c r="F172" s="515">
        <v>85</v>
      </c>
      <c r="G172" s="514">
        <v>3</v>
      </c>
      <c r="H172" s="515">
        <v>2.5</v>
      </c>
      <c r="I172" s="516" t="s">
        <v>943</v>
      </c>
      <c r="J172" s="517" t="s">
        <v>947</v>
      </c>
      <c r="K172" s="517" t="s">
        <v>945</v>
      </c>
    </row>
    <row r="173" spans="1:22">
      <c r="A173" s="32" t="s">
        <v>148</v>
      </c>
      <c r="B173" s="32" t="s">
        <v>111</v>
      </c>
      <c r="D173" s="166" t="s">
        <v>779</v>
      </c>
      <c r="E173" s="514">
        <v>73</v>
      </c>
      <c r="F173" s="515">
        <v>80</v>
      </c>
      <c r="G173" s="514">
        <v>4</v>
      </c>
      <c r="H173" s="515">
        <v>4</v>
      </c>
      <c r="I173" s="516" t="s">
        <v>943</v>
      </c>
      <c r="J173" s="517" t="s">
        <v>947</v>
      </c>
      <c r="K173" s="517" t="s">
        <v>945</v>
      </c>
    </row>
    <row r="174" spans="1:22">
      <c r="A174" s="32" t="s">
        <v>148</v>
      </c>
      <c r="B174" s="32" t="s">
        <v>111</v>
      </c>
      <c r="D174" s="166" t="s">
        <v>780</v>
      </c>
      <c r="E174" s="514">
        <v>85</v>
      </c>
      <c r="F174" s="515">
        <v>85</v>
      </c>
      <c r="G174" s="514">
        <v>2.5</v>
      </c>
      <c r="H174" s="515">
        <v>3</v>
      </c>
      <c r="I174" s="516" t="s">
        <v>946</v>
      </c>
      <c r="J174" s="517" t="s">
        <v>947</v>
      </c>
      <c r="K174" s="517" t="s">
        <v>945</v>
      </c>
    </row>
    <row r="175" spans="1:22">
      <c r="A175" s="32" t="s">
        <v>148</v>
      </c>
      <c r="B175" s="32" t="s">
        <v>111</v>
      </c>
      <c r="D175" s="166" t="s">
        <v>781</v>
      </c>
      <c r="E175" s="514">
        <v>70</v>
      </c>
      <c r="F175" s="515">
        <v>80</v>
      </c>
      <c r="G175" s="514">
        <v>5</v>
      </c>
      <c r="H175" s="515">
        <v>3</v>
      </c>
      <c r="I175" s="516" t="s">
        <v>946</v>
      </c>
      <c r="J175" s="517" t="s">
        <v>947</v>
      </c>
      <c r="K175" s="517" t="s">
        <v>945</v>
      </c>
    </row>
    <row r="176" spans="1:22">
      <c r="A176" s="32" t="s">
        <v>148</v>
      </c>
      <c r="B176" s="32" t="s">
        <v>111</v>
      </c>
      <c r="D176" s="166" t="s">
        <v>782</v>
      </c>
      <c r="E176" s="514">
        <v>82.5</v>
      </c>
      <c r="F176" s="515">
        <v>81</v>
      </c>
      <c r="G176" s="514">
        <v>3.5</v>
      </c>
      <c r="H176" s="515">
        <v>3</v>
      </c>
      <c r="I176" s="516" t="s">
        <v>946</v>
      </c>
      <c r="J176" s="517" t="s">
        <v>947</v>
      </c>
      <c r="K176" s="517" t="s">
        <v>945</v>
      </c>
    </row>
    <row r="177" spans="1:22">
      <c r="A177" s="32" t="s">
        <v>148</v>
      </c>
      <c r="B177" s="32" t="s">
        <v>111</v>
      </c>
      <c r="D177" s="166" t="s">
        <v>774</v>
      </c>
      <c r="E177" s="514">
        <v>60.5</v>
      </c>
      <c r="F177" s="515">
        <v>67.5</v>
      </c>
      <c r="G177" s="514">
        <v>4</v>
      </c>
      <c r="H177" s="515">
        <v>4.3</v>
      </c>
      <c r="I177" s="516" t="s">
        <v>946</v>
      </c>
      <c r="J177" s="517" t="s">
        <v>944</v>
      </c>
      <c r="K177" s="517" t="s">
        <v>945</v>
      </c>
    </row>
    <row r="178" spans="1:22">
      <c r="A178" s="32" t="s">
        <v>148</v>
      </c>
      <c r="B178" s="32" t="s">
        <v>111</v>
      </c>
      <c r="D178" s="166" t="s">
        <v>783</v>
      </c>
      <c r="E178" s="514">
        <v>75</v>
      </c>
      <c r="F178" s="515">
        <v>78</v>
      </c>
      <c r="G178" s="514">
        <v>3</v>
      </c>
      <c r="H178" s="515">
        <v>3</v>
      </c>
      <c r="I178" s="516" t="s">
        <v>946</v>
      </c>
      <c r="J178" s="517" t="s">
        <v>944</v>
      </c>
      <c r="K178" s="517" t="s">
        <v>945</v>
      </c>
    </row>
    <row r="179" spans="1:22">
      <c r="A179" s="32" t="s">
        <v>148</v>
      </c>
      <c r="B179" s="32" t="s">
        <v>111</v>
      </c>
      <c r="D179" s="166" t="s">
        <v>784</v>
      </c>
      <c r="E179" s="514">
        <v>80</v>
      </c>
      <c r="F179" s="515">
        <v>81</v>
      </c>
      <c r="G179" s="514">
        <v>3</v>
      </c>
      <c r="H179" s="515">
        <v>2.5</v>
      </c>
      <c r="I179" s="518" t="s">
        <v>943</v>
      </c>
      <c r="J179" s="517" t="s">
        <v>948</v>
      </c>
      <c r="K179" s="517" t="s">
        <v>945</v>
      </c>
    </row>
    <row r="180" spans="1:22">
      <c r="A180" s="32" t="s">
        <v>148</v>
      </c>
      <c r="B180" s="32" t="s">
        <v>111</v>
      </c>
      <c r="D180" s="166" t="s">
        <v>785</v>
      </c>
      <c r="E180" s="514">
        <v>70</v>
      </c>
      <c r="F180" s="515">
        <v>73</v>
      </c>
      <c r="G180" s="514">
        <v>4.5</v>
      </c>
      <c r="H180" s="515">
        <v>4</v>
      </c>
      <c r="I180" s="516" t="s">
        <v>946</v>
      </c>
      <c r="J180" s="517" t="s">
        <v>947</v>
      </c>
      <c r="K180" s="517" t="s">
        <v>945</v>
      </c>
    </row>
    <row r="181" spans="1:22">
      <c r="A181" s="32" t="s">
        <v>148</v>
      </c>
      <c r="B181" s="32" t="s">
        <v>111</v>
      </c>
      <c r="D181" s="166" t="s">
        <v>786</v>
      </c>
      <c r="E181" s="514">
        <v>80</v>
      </c>
      <c r="F181" s="515">
        <v>80</v>
      </c>
      <c r="G181" s="514">
        <v>3</v>
      </c>
      <c r="H181" s="515">
        <v>2.5</v>
      </c>
      <c r="I181" s="516" t="s">
        <v>943</v>
      </c>
      <c r="J181" s="517" t="s">
        <v>947</v>
      </c>
      <c r="K181" s="517" t="s">
        <v>945</v>
      </c>
    </row>
    <row r="182" spans="1:22">
      <c r="A182" s="32" t="s">
        <v>148</v>
      </c>
      <c r="B182" s="32" t="s">
        <v>111</v>
      </c>
      <c r="D182" s="166" t="s">
        <v>787</v>
      </c>
      <c r="E182" s="514">
        <v>70</v>
      </c>
      <c r="F182" s="515">
        <v>80</v>
      </c>
      <c r="G182" s="514">
        <v>4</v>
      </c>
      <c r="H182" s="515">
        <v>3</v>
      </c>
      <c r="I182" s="516" t="s">
        <v>943</v>
      </c>
      <c r="J182" s="517" t="s">
        <v>947</v>
      </c>
      <c r="K182" s="517" t="s">
        <v>945</v>
      </c>
    </row>
    <row r="183" spans="1:22">
      <c r="A183" s="32" t="s">
        <v>148</v>
      </c>
      <c r="B183" s="32" t="s">
        <v>111</v>
      </c>
      <c r="D183" s="166" t="s">
        <v>788</v>
      </c>
      <c r="E183" s="514">
        <v>77.5</v>
      </c>
      <c r="F183" s="515">
        <v>80</v>
      </c>
      <c r="G183" s="514">
        <v>3</v>
      </c>
      <c r="H183" s="515">
        <v>2</v>
      </c>
      <c r="I183" s="516" t="s">
        <v>943</v>
      </c>
      <c r="J183" s="517" t="s">
        <v>947</v>
      </c>
      <c r="K183" s="517" t="s">
        <v>945</v>
      </c>
    </row>
    <row r="184" spans="1:22">
      <c r="A184" s="32" t="s">
        <v>148</v>
      </c>
      <c r="B184" s="32" t="s">
        <v>111</v>
      </c>
      <c r="D184" s="166" t="s">
        <v>789</v>
      </c>
      <c r="E184" s="514">
        <v>76.5</v>
      </c>
      <c r="F184" s="515">
        <v>82.5</v>
      </c>
      <c r="G184" s="514">
        <v>2.2999999999999998</v>
      </c>
      <c r="H184" s="515">
        <v>2</v>
      </c>
      <c r="I184" s="516" t="s">
        <v>943</v>
      </c>
      <c r="J184" s="517" t="s">
        <v>948</v>
      </c>
      <c r="K184" s="517" t="s">
        <v>768</v>
      </c>
    </row>
    <row r="185" spans="1:22">
      <c r="A185" s="32" t="s">
        <v>148</v>
      </c>
      <c r="B185" s="32" t="s">
        <v>111</v>
      </c>
      <c r="D185" s="166" t="s">
        <v>790</v>
      </c>
      <c r="E185" s="514">
        <v>70</v>
      </c>
      <c r="F185" s="515">
        <v>75</v>
      </c>
      <c r="G185" s="514">
        <v>4</v>
      </c>
      <c r="H185" s="515">
        <v>3</v>
      </c>
      <c r="I185" s="516" t="s">
        <v>946</v>
      </c>
      <c r="J185" s="517" t="s">
        <v>944</v>
      </c>
      <c r="K185" s="517" t="s">
        <v>945</v>
      </c>
    </row>
    <row r="186" spans="1:22">
      <c r="A186" s="58" t="s">
        <v>148</v>
      </c>
      <c r="B186" s="32" t="s">
        <v>111</v>
      </c>
      <c r="C186" s="58"/>
      <c r="D186" s="170" t="s">
        <v>1217</v>
      </c>
      <c r="E186" s="519">
        <v>70</v>
      </c>
      <c r="F186" s="515">
        <v>75</v>
      </c>
      <c r="G186" s="519">
        <v>4.3</v>
      </c>
      <c r="H186" s="515">
        <v>2.5</v>
      </c>
      <c r="I186" s="516" t="s">
        <v>943</v>
      </c>
      <c r="J186" s="520" t="s">
        <v>947</v>
      </c>
      <c r="K186" s="517" t="s">
        <v>945</v>
      </c>
      <c r="M186" s="58"/>
      <c r="N186" s="58"/>
      <c r="O186" s="76"/>
      <c r="P186" s="76"/>
      <c r="Q186" s="76"/>
      <c r="R186" s="76"/>
      <c r="S186" s="76"/>
    </row>
    <row r="187" spans="1:22">
      <c r="B187" s="32" t="s">
        <v>111</v>
      </c>
      <c r="D187" s="166" t="s">
        <v>791</v>
      </c>
      <c r="E187" s="514">
        <v>65</v>
      </c>
      <c r="F187" s="515">
        <v>70</v>
      </c>
      <c r="G187" s="514">
        <v>4</v>
      </c>
      <c r="H187" s="515">
        <v>4</v>
      </c>
      <c r="I187" s="516" t="s">
        <v>943</v>
      </c>
      <c r="J187" s="517" t="s">
        <v>944</v>
      </c>
      <c r="K187" s="517" t="s">
        <v>945</v>
      </c>
    </row>
    <row r="188" spans="1:22">
      <c r="D188" s="102"/>
      <c r="E188" s="167"/>
      <c r="F188" s="276"/>
      <c r="G188" s="167"/>
      <c r="H188" s="168"/>
      <c r="I188" s="102"/>
      <c r="J188" s="169"/>
    </row>
    <row r="189" spans="1:22">
      <c r="D189" s="169"/>
      <c r="E189" s="169"/>
      <c r="F189" s="169"/>
      <c r="G189" s="169"/>
      <c r="H189" s="169"/>
      <c r="I189" s="169"/>
      <c r="J189" s="169"/>
    </row>
    <row r="190" spans="1:22">
      <c r="B190" s="32" t="s">
        <v>123</v>
      </c>
      <c r="D190" s="31" t="s">
        <v>927</v>
      </c>
    </row>
    <row r="191" spans="1:22" s="76" customFormat="1">
      <c r="A191" s="32"/>
      <c r="B191" s="32"/>
      <c r="C191" s="32"/>
      <c r="E191" s="31"/>
      <c r="F191" s="31"/>
      <c r="G191" s="31"/>
      <c r="H191" s="31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</row>
    <row r="216" spans="1:22" s="76" customFormat="1">
      <c r="A216" s="32"/>
      <c r="B216" s="32"/>
      <c r="C216" s="32"/>
      <c r="D216" s="31"/>
      <c r="E216" s="31"/>
      <c r="F216" s="31"/>
      <c r="G216" s="31"/>
      <c r="H216" s="31"/>
      <c r="I216" s="31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</row>
  </sheetData>
  <autoFilter ref="A1:B186" xr:uid="{00000000-0009-0000-0000-000003000000}"/>
  <mergeCells count="15">
    <mergeCell ref="E165:F165"/>
    <mergeCell ref="G165:H165"/>
    <mergeCell ref="I165:J165"/>
    <mergeCell ref="K165:K166"/>
    <mergeCell ref="D83:AB83"/>
    <mergeCell ref="E90:F90"/>
    <mergeCell ref="G90:H90"/>
    <mergeCell ref="I90:J90"/>
    <mergeCell ref="D165:D166"/>
    <mergeCell ref="E149:F149"/>
    <mergeCell ref="G149:H149"/>
    <mergeCell ref="I149:J149"/>
    <mergeCell ref="D149:D150"/>
    <mergeCell ref="K149:L149"/>
    <mergeCell ref="M149:N149"/>
  </mergeCells>
  <phoneticPr fontId="13" type="noConversion"/>
  <pageMargins left="0.7" right="0.7" top="0.75" bottom="0.75" header="0.3" footer="0.3"/>
  <pageSetup paperSize="9" orientation="portrait" verticalDpi="1200" r:id="rId1"/>
  <ignoredErrors>
    <ignoredError sqref="O121:O122" calculatedColumn="1"/>
  </ignoredErrors>
  <drawing r:id="rId2"/>
  <tableParts count="4"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R75"/>
  <sheetViews>
    <sheetView topLeftCell="A85" zoomScale="85" zoomScaleNormal="85" workbookViewId="0">
      <selection activeCell="I80" sqref="I80"/>
    </sheetView>
  </sheetViews>
  <sheetFormatPr defaultRowHeight="16.5"/>
  <cols>
    <col min="4" max="4" width="24.125" customWidth="1"/>
    <col min="5" max="5" width="16.25" customWidth="1"/>
    <col min="6" max="6" width="19.625" customWidth="1"/>
    <col min="7" max="7" width="26.375" customWidth="1"/>
    <col min="8" max="8" width="26.25" customWidth="1"/>
    <col min="9" max="9" width="27.5" customWidth="1"/>
    <col min="10" max="10" width="28.875" customWidth="1"/>
    <col min="11" max="12" width="15" bestFit="1" customWidth="1"/>
    <col min="14" max="14" width="15" bestFit="1" customWidth="1"/>
  </cols>
  <sheetData>
    <row r="1" spans="1:18" s="31" customFormat="1">
      <c r="A1" s="159" t="s">
        <v>149</v>
      </c>
      <c r="B1" s="160" t="s">
        <v>340</v>
      </c>
      <c r="C1" s="160"/>
      <c r="D1" s="161"/>
      <c r="E1" s="161"/>
      <c r="F1" s="161"/>
      <c r="G1" s="161"/>
      <c r="H1" s="161"/>
      <c r="I1" s="161"/>
      <c r="J1" s="161"/>
      <c r="K1" s="161"/>
      <c r="L1" s="161"/>
      <c r="M1" s="161"/>
      <c r="N1" s="161"/>
      <c r="O1" s="161"/>
      <c r="P1" s="29"/>
      <c r="Q1" s="30"/>
      <c r="R1" s="30"/>
    </row>
    <row r="2" spans="1:18" s="31" customFormat="1">
      <c r="A2" s="162" t="s">
        <v>113</v>
      </c>
      <c r="B2" s="162" t="s">
        <v>119</v>
      </c>
      <c r="C2" s="162"/>
      <c r="D2" s="205" t="s">
        <v>1226</v>
      </c>
      <c r="E2" s="162"/>
      <c r="F2" s="162"/>
      <c r="G2" s="162"/>
      <c r="H2" s="162"/>
      <c r="I2" s="162"/>
      <c r="J2" s="162"/>
      <c r="K2" s="162"/>
      <c r="L2" s="162"/>
      <c r="M2" s="162"/>
      <c r="N2" s="162"/>
      <c r="O2" s="162"/>
      <c r="P2" s="162"/>
      <c r="Q2" s="162"/>
      <c r="R2" s="162"/>
    </row>
    <row r="3" spans="1:18" s="31" customFormat="1">
      <c r="A3" s="32" t="s">
        <v>113</v>
      </c>
      <c r="B3" s="32" t="s">
        <v>122</v>
      </c>
      <c r="C3" s="32"/>
      <c r="D3" s="60" t="s">
        <v>957</v>
      </c>
    </row>
    <row r="4" spans="1:18" s="31" customFormat="1">
      <c r="A4" s="32" t="s">
        <v>113</v>
      </c>
      <c r="B4" s="32" t="s">
        <v>122</v>
      </c>
      <c r="C4" s="32"/>
    </row>
    <row r="5" spans="1:18" s="31" customFormat="1">
      <c r="A5" s="32" t="s">
        <v>113</v>
      </c>
      <c r="B5" s="32"/>
      <c r="C5" s="32"/>
    </row>
    <row r="6" spans="1:18" s="31" customFormat="1">
      <c r="A6" s="32" t="s">
        <v>113</v>
      </c>
      <c r="B6" s="32" t="s">
        <v>110</v>
      </c>
      <c r="C6" s="32"/>
      <c r="D6" s="31" t="s">
        <v>608</v>
      </c>
      <c r="E6" s="31" t="s">
        <v>19</v>
      </c>
      <c r="F6" s="31" t="s">
        <v>610</v>
      </c>
      <c r="G6" s="31" t="s">
        <v>611</v>
      </c>
      <c r="H6" s="31" t="s">
        <v>609</v>
      </c>
      <c r="I6" s="31" t="s">
        <v>124</v>
      </c>
      <c r="J6" s="32"/>
    </row>
    <row r="7" spans="1:18" s="31" customFormat="1">
      <c r="A7" s="32" t="s">
        <v>113</v>
      </c>
      <c r="B7" s="32" t="s">
        <v>110</v>
      </c>
      <c r="C7" s="32"/>
      <c r="D7" s="31" t="s">
        <v>130</v>
      </c>
      <c r="E7" s="31" t="s">
        <v>955</v>
      </c>
      <c r="F7" s="281">
        <v>547</v>
      </c>
      <c r="G7" s="281">
        <v>5040</v>
      </c>
      <c r="H7" s="269" t="s">
        <v>2233</v>
      </c>
      <c r="I7" s="269" t="s">
        <v>1224</v>
      </c>
      <c r="J7" s="32"/>
    </row>
    <row r="8" spans="1:18" s="31" customFormat="1">
      <c r="A8" s="32" t="s">
        <v>113</v>
      </c>
      <c r="B8" s="32" t="s">
        <v>110</v>
      </c>
      <c r="C8" s="32"/>
      <c r="D8" s="32"/>
      <c r="E8" s="32"/>
      <c r="F8" s="281">
        <v>1446</v>
      </c>
      <c r="G8" s="281">
        <v>13314.2</v>
      </c>
      <c r="H8" s="194" t="s">
        <v>2232</v>
      </c>
      <c r="I8" s="9" t="s">
        <v>956</v>
      </c>
      <c r="J8" s="32" t="s">
        <v>620</v>
      </c>
    </row>
    <row r="9" spans="1:18" s="31" customFormat="1">
      <c r="A9" s="32" t="s">
        <v>113</v>
      </c>
      <c r="B9" s="32" t="s">
        <v>110</v>
      </c>
      <c r="C9" s="32"/>
      <c r="D9" s="32" t="s">
        <v>953</v>
      </c>
      <c r="E9" s="102" t="s">
        <v>950</v>
      </c>
      <c r="F9" s="232">
        <v>1418</v>
      </c>
      <c r="G9" s="232">
        <v>13054</v>
      </c>
      <c r="H9" s="194" t="s">
        <v>1223</v>
      </c>
      <c r="I9" s="277" t="s">
        <v>1227</v>
      </c>
      <c r="J9" s="32"/>
    </row>
    <row r="10" spans="1:18" s="31" customFormat="1">
      <c r="A10" s="32" t="s">
        <v>113</v>
      </c>
      <c r="B10" s="32" t="s">
        <v>110</v>
      </c>
      <c r="C10" s="32"/>
      <c r="D10" s="32" t="s">
        <v>951</v>
      </c>
      <c r="E10" s="102" t="s">
        <v>951</v>
      </c>
      <c r="F10" s="232">
        <v>467</v>
      </c>
      <c r="G10" s="232">
        <v>4297</v>
      </c>
      <c r="H10" s="194" t="s">
        <v>1223</v>
      </c>
      <c r="I10" s="524" t="s">
        <v>954</v>
      </c>
      <c r="J10" s="32"/>
    </row>
    <row r="11" spans="1:18" s="31" customFormat="1">
      <c r="A11" s="32" t="s">
        <v>113</v>
      </c>
      <c r="B11" s="32" t="s">
        <v>110</v>
      </c>
      <c r="C11" s="32"/>
      <c r="D11" s="102"/>
      <c r="E11" s="102"/>
      <c r="F11" s="101"/>
      <c r="G11" s="101"/>
      <c r="H11" s="102"/>
      <c r="I11" s="102"/>
      <c r="J11" s="32"/>
    </row>
    <row r="12" spans="1:18" s="31" customFormat="1">
      <c r="A12" s="32" t="s">
        <v>113</v>
      </c>
      <c r="B12" s="32" t="s">
        <v>110</v>
      </c>
      <c r="C12" s="32"/>
      <c r="D12" s="280" t="s">
        <v>1230</v>
      </c>
      <c r="E12" s="279"/>
      <c r="F12" s="64"/>
      <c r="G12" s="64"/>
      <c r="H12" s="279"/>
      <c r="I12" s="102"/>
      <c r="J12" s="32"/>
    </row>
    <row r="13" spans="1:18" s="31" customFormat="1">
      <c r="A13" s="32" t="s">
        <v>113</v>
      </c>
      <c r="B13" s="32"/>
      <c r="C13" s="32"/>
      <c r="D13" s="279"/>
      <c r="E13" s="279"/>
      <c r="F13" s="64"/>
      <c r="G13" s="282"/>
      <c r="H13" s="279"/>
      <c r="I13" s="102"/>
      <c r="J13" s="32"/>
    </row>
    <row r="14" spans="1:18" s="31" customFormat="1">
      <c r="A14" s="32" t="s">
        <v>113</v>
      </c>
      <c r="B14" s="32"/>
      <c r="C14" s="32"/>
      <c r="D14" s="102"/>
      <c r="E14" s="102"/>
      <c r="F14" s="101"/>
      <c r="G14" s="277"/>
      <c r="H14" s="169"/>
      <c r="I14" s="102"/>
      <c r="J14" s="32"/>
    </row>
    <row r="15" spans="1:18" s="31" customFormat="1">
      <c r="A15" s="32" t="s">
        <v>113</v>
      </c>
      <c r="B15" s="32"/>
      <c r="I15" s="526"/>
      <c r="J15" s="163"/>
    </row>
    <row r="16" spans="1:18" s="31" customFormat="1">
      <c r="A16" s="32" t="s">
        <v>113</v>
      </c>
      <c r="B16" s="32" t="s">
        <v>124</v>
      </c>
      <c r="D16" s="277" t="s">
        <v>1225</v>
      </c>
      <c r="I16" s="163"/>
      <c r="J16" s="527"/>
    </row>
    <row r="17" spans="1:18" s="76" customFormat="1">
      <c r="A17" s="58" t="s">
        <v>113</v>
      </c>
      <c r="B17" s="32" t="s">
        <v>124</v>
      </c>
      <c r="C17" s="32"/>
      <c r="D17" s="525" t="s">
        <v>2231</v>
      </c>
      <c r="E17" s="31"/>
      <c r="F17" s="31"/>
      <c r="G17" s="31"/>
      <c r="H17" s="31"/>
      <c r="I17" s="163"/>
      <c r="J17" s="528"/>
      <c r="K17" s="58"/>
      <c r="L17" s="58"/>
      <c r="M17" s="58"/>
      <c r="N17" s="58"/>
      <c r="O17" s="58"/>
      <c r="P17" s="58"/>
    </row>
    <row r="18" spans="1:18">
      <c r="A18" s="58" t="s">
        <v>113</v>
      </c>
      <c r="B18" s="32" t="s">
        <v>124</v>
      </c>
      <c r="C18" s="32"/>
      <c r="D18" s="204" t="s">
        <v>1252</v>
      </c>
      <c r="E18" s="58"/>
      <c r="F18" s="58"/>
      <c r="G18" s="58"/>
      <c r="H18" s="31"/>
      <c r="I18" s="58"/>
    </row>
    <row r="19" spans="1:18">
      <c r="A19" s="58" t="s">
        <v>113</v>
      </c>
      <c r="B19" s="32" t="s">
        <v>124</v>
      </c>
      <c r="D19" s="204" t="s">
        <v>1229</v>
      </c>
      <c r="G19" s="277"/>
    </row>
    <row r="20" spans="1:18">
      <c r="A20" s="58" t="s">
        <v>113</v>
      </c>
    </row>
    <row r="21" spans="1:18" s="31" customFormat="1">
      <c r="A21" s="162" t="s">
        <v>132</v>
      </c>
      <c r="B21" s="162" t="s">
        <v>119</v>
      </c>
      <c r="C21" s="162"/>
      <c r="D21" s="205" t="s">
        <v>1231</v>
      </c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</row>
    <row r="22" spans="1:18" s="31" customFormat="1">
      <c r="A22" s="32" t="s">
        <v>132</v>
      </c>
      <c r="B22" s="32" t="s">
        <v>122</v>
      </c>
      <c r="C22" s="32"/>
      <c r="D22" s="269" t="s">
        <v>1235</v>
      </c>
      <c r="F22" s="269"/>
    </row>
    <row r="23" spans="1:18" s="31" customFormat="1">
      <c r="A23" s="32" t="s">
        <v>132</v>
      </c>
      <c r="B23" s="32" t="s">
        <v>122</v>
      </c>
      <c r="C23" s="32"/>
      <c r="D23" s="99"/>
    </row>
    <row r="24" spans="1:18" s="31" customFormat="1">
      <c r="A24" s="32" t="s">
        <v>132</v>
      </c>
      <c r="B24" s="32"/>
      <c r="C24" s="32"/>
    </row>
    <row r="25" spans="1:18" s="31" customFormat="1">
      <c r="A25" s="32" t="s">
        <v>132</v>
      </c>
      <c r="B25" s="32" t="s">
        <v>110</v>
      </c>
      <c r="C25" s="32"/>
      <c r="D25" s="31" t="s">
        <v>613</v>
      </c>
      <c r="E25" s="31" t="s">
        <v>19</v>
      </c>
      <c r="F25" s="31" t="s">
        <v>610</v>
      </c>
      <c r="G25" s="31" t="s">
        <v>609</v>
      </c>
      <c r="H25" s="31" t="s">
        <v>124</v>
      </c>
      <c r="I25" s="32"/>
    </row>
    <row r="26" spans="1:18" s="31" customFormat="1">
      <c r="A26" s="32" t="s">
        <v>132</v>
      </c>
      <c r="B26" s="32" t="s">
        <v>110</v>
      </c>
      <c r="C26" s="32"/>
      <c r="D26" s="31" t="s">
        <v>612</v>
      </c>
      <c r="E26" s="31" t="s">
        <v>952</v>
      </c>
      <c r="F26" s="269" t="s">
        <v>1233</v>
      </c>
      <c r="G26" s="269" t="s">
        <v>1234</v>
      </c>
      <c r="H26" s="31" t="s">
        <v>615</v>
      </c>
      <c r="I26" s="32" t="s">
        <v>872</v>
      </c>
    </row>
    <row r="27" spans="1:18" s="31" customFormat="1">
      <c r="A27" s="32" t="s">
        <v>132</v>
      </c>
      <c r="B27" s="32" t="s">
        <v>110</v>
      </c>
      <c r="C27" s="32"/>
      <c r="D27" s="32"/>
      <c r="F27" s="32"/>
      <c r="G27" s="32"/>
      <c r="H27" s="32"/>
      <c r="I27" s="32"/>
    </row>
    <row r="28" spans="1:18" s="31" customFormat="1">
      <c r="A28" s="32" t="s">
        <v>132</v>
      </c>
      <c r="B28" s="32" t="s">
        <v>110</v>
      </c>
      <c r="C28" s="32"/>
      <c r="D28" s="31" t="s">
        <v>873</v>
      </c>
      <c r="E28" s="32"/>
      <c r="F28" s="175"/>
      <c r="G28" s="175"/>
      <c r="H28" s="175"/>
      <c r="I28" s="175"/>
    </row>
    <row r="29" spans="1:18" s="31" customFormat="1">
      <c r="A29" s="32" t="s">
        <v>132</v>
      </c>
      <c r="B29" s="32" t="s">
        <v>110</v>
      </c>
      <c r="C29" s="32"/>
      <c r="D29" s="32"/>
      <c r="E29" s="32" t="s">
        <v>129</v>
      </c>
      <c r="F29" s="194" t="s">
        <v>1236</v>
      </c>
      <c r="G29" s="32" t="s">
        <v>614</v>
      </c>
      <c r="H29" s="194" t="s">
        <v>949</v>
      </c>
    </row>
    <row r="30" spans="1:18" s="31" customFormat="1">
      <c r="A30" s="32" t="s">
        <v>132</v>
      </c>
      <c r="B30" s="32" t="s">
        <v>110</v>
      </c>
      <c r="C30" s="32"/>
      <c r="E30" s="32" t="s">
        <v>131</v>
      </c>
      <c r="F30" s="194" t="s">
        <v>1238</v>
      </c>
      <c r="G30" s="32" t="s">
        <v>614</v>
      </c>
      <c r="H30" s="194" t="s">
        <v>1239</v>
      </c>
      <c r="I30" s="32"/>
    </row>
    <row r="31" spans="1:18" s="31" customFormat="1">
      <c r="A31" s="32" t="s">
        <v>132</v>
      </c>
      <c r="B31" s="32"/>
      <c r="C31" s="32"/>
      <c r="D31" s="32"/>
      <c r="E31" s="175"/>
      <c r="F31" s="175"/>
      <c r="G31" s="175"/>
      <c r="H31" s="175"/>
      <c r="I31" s="32"/>
      <c r="J31" s="372"/>
      <c r="K31" s="372"/>
      <c r="L31" s="372"/>
    </row>
    <row r="32" spans="1:18" s="31" customFormat="1">
      <c r="A32" s="32" t="s">
        <v>132</v>
      </c>
      <c r="C32" s="32"/>
      <c r="J32" s="163"/>
    </row>
    <row r="33" spans="1:18" s="31" customFormat="1" ht="18.75" customHeight="1">
      <c r="A33" s="32" t="s">
        <v>132</v>
      </c>
      <c r="B33" s="32" t="s">
        <v>124</v>
      </c>
      <c r="C33" s="32"/>
      <c r="D33" s="269" t="s">
        <v>2228</v>
      </c>
      <c r="I33" s="372"/>
      <c r="J33" s="372"/>
      <c r="K33" s="372"/>
    </row>
    <row r="34" spans="1:18" s="76" customFormat="1">
      <c r="A34" s="58" t="s">
        <v>132</v>
      </c>
      <c r="B34" s="32" t="s">
        <v>124</v>
      </c>
      <c r="C34" s="58"/>
      <c r="D34" s="204" t="s">
        <v>1228</v>
      </c>
      <c r="E34" s="58"/>
      <c r="F34" s="58"/>
      <c r="G34" s="58"/>
      <c r="H34" s="58"/>
      <c r="I34" s="65"/>
      <c r="J34" s="58"/>
      <c r="K34" s="58"/>
      <c r="L34" s="58"/>
      <c r="M34" s="58"/>
      <c r="N34" s="58"/>
      <c r="O34" s="58"/>
      <c r="P34" s="58"/>
    </row>
    <row r="35" spans="1:18">
      <c r="A35" s="58" t="s">
        <v>132</v>
      </c>
      <c r="D35" s="277" t="s">
        <v>1237</v>
      </c>
    </row>
    <row r="36" spans="1:18" s="31" customFormat="1">
      <c r="A36" s="162" t="s">
        <v>141</v>
      </c>
      <c r="B36" s="162" t="s">
        <v>119</v>
      </c>
      <c r="C36" s="162"/>
      <c r="D36" s="205" t="s">
        <v>1242</v>
      </c>
      <c r="E36" s="162"/>
      <c r="F36" s="162"/>
      <c r="G36" s="162"/>
      <c r="H36" s="188"/>
      <c r="I36" s="162"/>
      <c r="J36" s="162"/>
      <c r="K36" s="162"/>
      <c r="L36" s="162"/>
      <c r="M36" s="162"/>
      <c r="N36" s="162"/>
      <c r="O36" s="162"/>
      <c r="P36" s="162"/>
      <c r="Q36" s="162"/>
      <c r="R36" s="162"/>
    </row>
    <row r="37" spans="1:18" s="31" customFormat="1">
      <c r="A37" s="32" t="s">
        <v>141</v>
      </c>
      <c r="B37" s="32" t="s">
        <v>122</v>
      </c>
      <c r="C37" s="32"/>
      <c r="D37" s="269" t="s">
        <v>1244</v>
      </c>
    </row>
    <row r="38" spans="1:18">
      <c r="A38" s="32" t="s">
        <v>141</v>
      </c>
    </row>
    <row r="39" spans="1:18">
      <c r="A39" s="32" t="s">
        <v>141</v>
      </c>
      <c r="B39" s="32" t="s">
        <v>110</v>
      </c>
    </row>
    <row r="40" spans="1:18">
      <c r="A40" s="32" t="s">
        <v>141</v>
      </c>
      <c r="B40" s="32" t="s">
        <v>110</v>
      </c>
    </row>
    <row r="41" spans="1:18">
      <c r="A41" s="32" t="s">
        <v>141</v>
      </c>
      <c r="B41" s="32" t="s">
        <v>110</v>
      </c>
    </row>
    <row r="42" spans="1:18">
      <c r="A42" s="32" t="s">
        <v>141</v>
      </c>
      <c r="B42" s="32" t="s">
        <v>110</v>
      </c>
    </row>
    <row r="43" spans="1:18">
      <c r="A43" s="32" t="s">
        <v>141</v>
      </c>
      <c r="B43" s="32" t="s">
        <v>110</v>
      </c>
    </row>
    <row r="44" spans="1:18">
      <c r="A44" s="32" t="s">
        <v>141</v>
      </c>
      <c r="B44" s="32" t="s">
        <v>110</v>
      </c>
    </row>
    <row r="45" spans="1:18">
      <c r="A45" s="32" t="s">
        <v>141</v>
      </c>
      <c r="B45" s="32" t="s">
        <v>110</v>
      </c>
    </row>
    <row r="46" spans="1:18">
      <c r="A46" s="32" t="s">
        <v>141</v>
      </c>
      <c r="B46" s="32" t="s">
        <v>110</v>
      </c>
    </row>
    <row r="47" spans="1:18">
      <c r="A47" s="32" t="s">
        <v>141</v>
      </c>
      <c r="B47" s="32" t="s">
        <v>110</v>
      </c>
    </row>
    <row r="48" spans="1:18">
      <c r="A48" s="32" t="s">
        <v>141</v>
      </c>
      <c r="B48" s="32" t="s">
        <v>110</v>
      </c>
    </row>
    <row r="49" spans="1:12">
      <c r="A49" s="32" t="s">
        <v>141</v>
      </c>
      <c r="B49" s="32" t="s">
        <v>110</v>
      </c>
      <c r="D49" s="31" t="s">
        <v>19</v>
      </c>
      <c r="E49" s="31" t="s">
        <v>28</v>
      </c>
      <c r="F49" s="31" t="s">
        <v>1241</v>
      </c>
      <c r="G49" s="31" t="s">
        <v>675</v>
      </c>
      <c r="H49" s="3" t="s">
        <v>707</v>
      </c>
      <c r="I49" s="194" t="s">
        <v>169</v>
      </c>
      <c r="J49" s="32" t="s">
        <v>286</v>
      </c>
    </row>
    <row r="50" spans="1:12">
      <c r="A50" s="32" t="s">
        <v>141</v>
      </c>
      <c r="B50" s="32" t="s">
        <v>110</v>
      </c>
      <c r="D50" s="31" t="s">
        <v>874</v>
      </c>
      <c r="E50" s="163">
        <v>23803</v>
      </c>
      <c r="F50" s="163">
        <v>34249</v>
      </c>
      <c r="G50" s="163">
        <v>42777</v>
      </c>
      <c r="H50" s="439">
        <v>43045</v>
      </c>
      <c r="I50" s="232">
        <v>76802</v>
      </c>
    </row>
    <row r="51" spans="1:12">
      <c r="A51" s="32" t="s">
        <v>141</v>
      </c>
      <c r="B51" s="32" t="s">
        <v>110</v>
      </c>
      <c r="D51" s="31" t="s">
        <v>875</v>
      </c>
      <c r="E51" s="33">
        <v>3788</v>
      </c>
      <c r="F51" s="33">
        <v>8417</v>
      </c>
      <c r="G51" s="33">
        <v>11033</v>
      </c>
      <c r="H51" s="44">
        <v>11970</v>
      </c>
      <c r="I51" s="232">
        <v>16770</v>
      </c>
    </row>
    <row r="52" spans="1:12">
      <c r="A52" s="32" t="s">
        <v>141</v>
      </c>
      <c r="B52" s="32" t="s">
        <v>110</v>
      </c>
      <c r="D52" s="529" t="s">
        <v>876</v>
      </c>
      <c r="E52" s="530">
        <v>16</v>
      </c>
      <c r="F52" s="530">
        <v>24.6</v>
      </c>
      <c r="G52" s="530">
        <v>25.8</v>
      </c>
      <c r="H52" s="532">
        <v>27.8</v>
      </c>
      <c r="I52" s="531">
        <v>21.8</v>
      </c>
      <c r="L52">
        <f>11033/3170</f>
        <v>3.4804416403785488</v>
      </c>
    </row>
    <row r="53" spans="1:12">
      <c r="A53" s="32" t="s">
        <v>141</v>
      </c>
      <c r="D53" s="32"/>
      <c r="E53" s="176"/>
      <c r="F53" s="176"/>
      <c r="G53" s="176"/>
      <c r="H53" s="176"/>
    </row>
    <row r="54" spans="1:12">
      <c r="A54" s="32" t="s">
        <v>141</v>
      </c>
      <c r="D54" s="31"/>
      <c r="E54" s="32"/>
      <c r="F54" s="32"/>
      <c r="G54" s="32"/>
      <c r="H54" s="189"/>
    </row>
    <row r="55" spans="1:12">
      <c r="A55" s="32" t="s">
        <v>141</v>
      </c>
      <c r="B55" s="32" t="s">
        <v>124</v>
      </c>
      <c r="D55" s="204" t="s">
        <v>1240</v>
      </c>
    </row>
    <row r="56" spans="1:12">
      <c r="A56" s="32" t="s">
        <v>141</v>
      </c>
    </row>
    <row r="57" spans="1:12" s="190" customFormat="1">
      <c r="A57" s="188" t="s">
        <v>142</v>
      </c>
      <c r="B57" s="188" t="s">
        <v>119</v>
      </c>
      <c r="C57" s="188"/>
      <c r="D57" s="278" t="s">
        <v>1246</v>
      </c>
    </row>
    <row r="58" spans="1:12">
      <c r="A58" s="32" t="s">
        <v>142</v>
      </c>
      <c r="B58" s="32" t="s">
        <v>122</v>
      </c>
      <c r="C58" s="32"/>
      <c r="D58" s="269" t="s">
        <v>2297</v>
      </c>
    </row>
    <row r="59" spans="1:12">
      <c r="A59" s="32" t="s">
        <v>142</v>
      </c>
    </row>
    <row r="60" spans="1:12">
      <c r="A60" s="32" t="s">
        <v>142</v>
      </c>
      <c r="B60" t="s">
        <v>111</v>
      </c>
    </row>
    <row r="61" spans="1:12">
      <c r="A61" s="32" t="s">
        <v>142</v>
      </c>
      <c r="B61" t="s">
        <v>111</v>
      </c>
    </row>
    <row r="62" spans="1:12">
      <c r="A62" s="32" t="s">
        <v>142</v>
      </c>
      <c r="B62" t="s">
        <v>111</v>
      </c>
    </row>
    <row r="63" spans="1:12">
      <c r="A63" s="32" t="s">
        <v>142</v>
      </c>
      <c r="B63" t="s">
        <v>111</v>
      </c>
    </row>
    <row r="64" spans="1:12">
      <c r="A64" s="32" t="s">
        <v>142</v>
      </c>
      <c r="B64" t="s">
        <v>111</v>
      </c>
    </row>
    <row r="65" spans="1:10">
      <c r="A65" s="32" t="s">
        <v>142</v>
      </c>
      <c r="B65" t="s">
        <v>111</v>
      </c>
    </row>
    <row r="66" spans="1:10">
      <c r="A66" s="32" t="s">
        <v>142</v>
      </c>
      <c r="B66" t="s">
        <v>111</v>
      </c>
    </row>
    <row r="67" spans="1:10">
      <c r="A67" s="32" t="s">
        <v>142</v>
      </c>
      <c r="B67" t="s">
        <v>111</v>
      </c>
    </row>
    <row r="68" spans="1:10">
      <c r="A68" s="32" t="s">
        <v>142</v>
      </c>
      <c r="B68" t="s">
        <v>111</v>
      </c>
      <c r="J68" s="191"/>
    </row>
    <row r="69" spans="1:10">
      <c r="A69" s="32" t="s">
        <v>142</v>
      </c>
      <c r="B69" t="s">
        <v>111</v>
      </c>
    </row>
    <row r="70" spans="1:10">
      <c r="A70" s="32" t="s">
        <v>142</v>
      </c>
      <c r="B70" t="s">
        <v>111</v>
      </c>
      <c r="D70" s="283" t="s">
        <v>19</v>
      </c>
      <c r="E70" s="280" t="s">
        <v>28</v>
      </c>
      <c r="F70" s="280" t="s">
        <v>166</v>
      </c>
      <c r="G70" s="280" t="s">
        <v>675</v>
      </c>
      <c r="H70" s="280" t="s">
        <v>707</v>
      </c>
      <c r="I70" s="280" t="s">
        <v>1245</v>
      </c>
      <c r="J70" s="280"/>
    </row>
    <row r="71" spans="1:10">
      <c r="A71" s="32" t="s">
        <v>142</v>
      </c>
      <c r="B71" t="s">
        <v>111</v>
      </c>
      <c r="D71" s="280" t="s">
        <v>877</v>
      </c>
      <c r="E71" s="533">
        <v>8</v>
      </c>
      <c r="F71" s="533">
        <v>22</v>
      </c>
      <c r="G71" s="533">
        <v>24</v>
      </c>
      <c r="H71" s="533">
        <v>26</v>
      </c>
      <c r="I71" s="533">
        <v>39</v>
      </c>
      <c r="J71" s="280"/>
    </row>
    <row r="72" spans="1:10">
      <c r="A72" s="32" t="s">
        <v>142</v>
      </c>
      <c r="B72" t="s">
        <v>111</v>
      </c>
      <c r="D72" s="280" t="s">
        <v>878</v>
      </c>
      <c r="E72" s="533">
        <v>5</v>
      </c>
      <c r="F72" s="533">
        <v>18</v>
      </c>
      <c r="G72" s="533">
        <v>17</v>
      </c>
      <c r="H72" s="533">
        <v>15</v>
      </c>
      <c r="I72" s="533">
        <v>14</v>
      </c>
      <c r="J72" s="280"/>
    </row>
    <row r="73" spans="1:10">
      <c r="A73" s="32" t="s">
        <v>142</v>
      </c>
    </row>
    <row r="74" spans="1:10">
      <c r="A74" s="32" t="s">
        <v>142</v>
      </c>
      <c r="B74" s="32" t="s">
        <v>124</v>
      </c>
      <c r="D74" s="204" t="s">
        <v>2296</v>
      </c>
    </row>
    <row r="75" spans="1:10">
      <c r="I75" s="615"/>
    </row>
  </sheetData>
  <phoneticPr fontId="13" type="noConversion"/>
  <pageMargins left="0.7" right="0.7" top="0.75" bottom="0.75" header="0.3" footer="0.3"/>
  <pageSetup paperSize="9" orientation="portrait" r:id="rId1"/>
  <drawing r:id="rId2"/>
  <tableParts count="4">
    <tablePart r:id="rId3"/>
    <tablePart r:id="rId4"/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pageSetUpPr fitToPage="1"/>
  </sheetPr>
  <dimension ref="A1:W577"/>
  <sheetViews>
    <sheetView topLeftCell="A323" zoomScale="85" zoomScaleNormal="85" workbookViewId="0">
      <selection activeCell="M323" sqref="M323"/>
    </sheetView>
  </sheetViews>
  <sheetFormatPr defaultColWidth="10.625" defaultRowHeight="16.5"/>
  <cols>
    <col min="1" max="2" width="15.625" style="32" customWidth="1"/>
    <col min="3" max="3" width="1.625" style="32" customWidth="1"/>
    <col min="4" max="4" width="10.625" style="32" customWidth="1"/>
    <col min="5" max="5" width="13.125" style="32" customWidth="1"/>
    <col min="6" max="6" width="15.25" style="32" customWidth="1"/>
    <col min="7" max="8" width="10.625" style="32" customWidth="1"/>
    <col min="9" max="9" width="14.75" style="32" customWidth="1"/>
    <col min="10" max="11" width="10.625" style="32" customWidth="1"/>
    <col min="12" max="12" width="17.375" style="32" customWidth="1"/>
    <col min="13" max="13" width="14.125" style="32" customWidth="1"/>
    <col min="14" max="14" width="10.625" style="32" customWidth="1"/>
    <col min="15" max="15" width="12.125" style="32" customWidth="1"/>
    <col min="16" max="16" width="19.625" style="32" customWidth="1"/>
    <col min="17" max="17" width="11.25" style="32" customWidth="1"/>
    <col min="18" max="18" width="15" style="32" bestFit="1" customWidth="1"/>
    <col min="19" max="19" width="21.5" style="32" customWidth="1"/>
    <col min="20" max="20" width="22.875" style="32" bestFit="1" customWidth="1"/>
    <col min="21" max="21" width="12.125" style="32" bestFit="1" customWidth="1"/>
    <col min="22" max="22" width="20.125" style="32" bestFit="1" customWidth="1"/>
    <col min="23" max="16384" width="10.625" style="32"/>
  </cols>
  <sheetData>
    <row r="1" spans="1:18">
      <c r="A1" s="20" t="s">
        <v>149</v>
      </c>
      <c r="B1" s="21" t="s">
        <v>340</v>
      </c>
      <c r="C1" s="21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</row>
    <row r="2" spans="1:18">
      <c r="A2" s="70" t="s">
        <v>159</v>
      </c>
      <c r="B2" s="70" t="s">
        <v>119</v>
      </c>
      <c r="C2" s="70"/>
      <c r="D2" s="205" t="s">
        <v>1251</v>
      </c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</row>
    <row r="3" spans="1:18">
      <c r="A3" s="32" t="s">
        <v>159</v>
      </c>
      <c r="B3" s="32" t="s">
        <v>121</v>
      </c>
      <c r="D3" s="194" t="s">
        <v>1256</v>
      </c>
    </row>
    <row r="4" spans="1:18">
      <c r="A4" s="32" t="s">
        <v>159</v>
      </c>
      <c r="B4" s="32" t="s">
        <v>121</v>
      </c>
    </row>
    <row r="5" spans="1:18">
      <c r="A5" s="32" t="s">
        <v>159</v>
      </c>
    </row>
    <row r="6" spans="1:18">
      <c r="A6" s="32" t="s">
        <v>159</v>
      </c>
      <c r="B6" s="32" t="s">
        <v>110</v>
      </c>
      <c r="D6" s="32" t="s">
        <v>246</v>
      </c>
      <c r="E6" s="32" t="s">
        <v>243</v>
      </c>
      <c r="F6" s="32" t="s">
        <v>244</v>
      </c>
      <c r="G6" s="32" t="s">
        <v>7</v>
      </c>
      <c r="H6" s="32" t="s">
        <v>675</v>
      </c>
      <c r="I6" s="32" t="s">
        <v>1254</v>
      </c>
      <c r="J6" s="32" t="s">
        <v>1255</v>
      </c>
    </row>
    <row r="7" spans="1:18">
      <c r="A7" s="32" t="s">
        <v>159</v>
      </c>
      <c r="B7" s="32" t="s">
        <v>110</v>
      </c>
      <c r="D7" s="32" t="s">
        <v>660</v>
      </c>
      <c r="E7" s="201">
        <v>1141</v>
      </c>
      <c r="F7" s="201">
        <v>1178</v>
      </c>
      <c r="G7" s="201">
        <v>1216</v>
      </c>
      <c r="H7" s="195">
        <v>1272</v>
      </c>
      <c r="I7" s="195">
        <v>1305</v>
      </c>
    </row>
    <row r="8" spans="1:18">
      <c r="A8" s="32" t="s">
        <v>159</v>
      </c>
      <c r="B8" s="32" t="s">
        <v>110</v>
      </c>
      <c r="D8" s="32" t="s">
        <v>661</v>
      </c>
      <c r="E8" s="244">
        <v>5.0999999999999997E-2</v>
      </c>
      <c r="F8" s="244">
        <v>3.2000000000000001E-2</v>
      </c>
      <c r="G8" s="244">
        <v>3.2000000000000001E-2</v>
      </c>
      <c r="H8" s="196">
        <v>4.5999999999999999E-2</v>
      </c>
      <c r="I8" s="196">
        <v>2.5999999999999999E-2</v>
      </c>
    </row>
    <row r="9" spans="1:18">
      <c r="A9" s="32" t="s">
        <v>159</v>
      </c>
    </row>
    <row r="10" spans="1:18">
      <c r="A10" s="32" t="s">
        <v>159</v>
      </c>
      <c r="B10" s="32" t="s">
        <v>645</v>
      </c>
    </row>
    <row r="11" spans="1:18">
      <c r="A11" s="32" t="s">
        <v>159</v>
      </c>
      <c r="B11" s="32" t="s">
        <v>645</v>
      </c>
    </row>
    <row r="12" spans="1:18">
      <c r="A12" s="32" t="s">
        <v>159</v>
      </c>
      <c r="B12" s="32" t="s">
        <v>647</v>
      </c>
    </row>
    <row r="13" spans="1:18">
      <c r="A13" s="32" t="s">
        <v>159</v>
      </c>
      <c r="B13" s="32" t="s">
        <v>645</v>
      </c>
    </row>
    <row r="14" spans="1:18">
      <c r="A14" s="32" t="s">
        <v>159</v>
      </c>
      <c r="B14" s="32" t="s">
        <v>645</v>
      </c>
    </row>
    <row r="15" spans="1:18">
      <c r="A15" s="32" t="s">
        <v>159</v>
      </c>
      <c r="B15" s="32" t="s">
        <v>645</v>
      </c>
    </row>
    <row r="16" spans="1:18">
      <c r="A16" s="32" t="s">
        <v>159</v>
      </c>
      <c r="B16" s="32" t="s">
        <v>645</v>
      </c>
    </row>
    <row r="17" spans="1:21">
      <c r="A17" s="32" t="s">
        <v>159</v>
      </c>
      <c r="B17" s="32" t="s">
        <v>645</v>
      </c>
    </row>
    <row r="18" spans="1:21">
      <c r="A18" s="32" t="s">
        <v>159</v>
      </c>
      <c r="B18" s="32" t="s">
        <v>645</v>
      </c>
    </row>
    <row r="19" spans="1:21">
      <c r="A19" s="32" t="s">
        <v>159</v>
      </c>
      <c r="B19" s="32" t="s">
        <v>645</v>
      </c>
    </row>
    <row r="20" spans="1:21">
      <c r="A20" s="32" t="s">
        <v>159</v>
      </c>
      <c r="B20" s="32" t="s">
        <v>645</v>
      </c>
    </row>
    <row r="21" spans="1:21">
      <c r="A21" s="32" t="s">
        <v>159</v>
      </c>
      <c r="B21" s="32" t="s">
        <v>645</v>
      </c>
    </row>
    <row r="22" spans="1:21">
      <c r="A22" s="32" t="s">
        <v>159</v>
      </c>
      <c r="B22" s="32" t="s">
        <v>645</v>
      </c>
    </row>
    <row r="23" spans="1:21">
      <c r="A23" s="32" t="s">
        <v>159</v>
      </c>
      <c r="B23" s="32" t="s">
        <v>645</v>
      </c>
    </row>
    <row r="24" spans="1:21">
      <c r="A24" s="32" t="s">
        <v>159</v>
      </c>
      <c r="B24" s="32" t="s">
        <v>645</v>
      </c>
    </row>
    <row r="25" spans="1:21">
      <c r="A25" s="32" t="s">
        <v>159</v>
      </c>
      <c r="S25" s="194"/>
      <c r="U25" s="194"/>
    </row>
    <row r="26" spans="1:21">
      <c r="A26" s="32" t="s">
        <v>159</v>
      </c>
      <c r="B26" s="32" t="s">
        <v>123</v>
      </c>
      <c r="D26" s="194" t="s">
        <v>1253</v>
      </c>
      <c r="M26" s="194"/>
      <c r="S26" s="176"/>
      <c r="T26" s="194"/>
    </row>
    <row r="27" spans="1:21" s="58" customFormat="1">
      <c r="A27" s="58" t="s">
        <v>159</v>
      </c>
    </row>
    <row r="28" spans="1:21">
      <c r="A28" s="70" t="s">
        <v>245</v>
      </c>
      <c r="B28" s="70" t="s">
        <v>119</v>
      </c>
      <c r="C28" s="70"/>
      <c r="D28" s="205" t="s">
        <v>1593</v>
      </c>
      <c r="E28" s="70"/>
      <c r="F28" s="70"/>
      <c r="G28" s="70"/>
      <c r="H28" s="70"/>
      <c r="I28" s="70"/>
      <c r="J28" s="70"/>
      <c r="K28" s="70"/>
      <c r="L28" s="70"/>
      <c r="M28" s="70"/>
      <c r="N28" s="70"/>
      <c r="O28" s="70"/>
      <c r="P28" s="70"/>
      <c r="Q28" s="70"/>
      <c r="R28" s="70"/>
    </row>
    <row r="29" spans="1:21">
      <c r="A29" s="32" t="s">
        <v>245</v>
      </c>
      <c r="B29" s="32" t="s">
        <v>121</v>
      </c>
      <c r="D29" s="194" t="s">
        <v>1630</v>
      </c>
    </row>
    <row r="30" spans="1:21">
      <c r="A30" s="32" t="s">
        <v>245</v>
      </c>
      <c r="B30" s="32" t="s">
        <v>121</v>
      </c>
      <c r="D30" s="194" t="s">
        <v>1631</v>
      </c>
    </row>
    <row r="31" spans="1:21">
      <c r="A31" s="32" t="s">
        <v>245</v>
      </c>
      <c r="E31" s="722">
        <v>2016</v>
      </c>
      <c r="F31" s="723"/>
      <c r="G31" s="724"/>
      <c r="H31" s="722">
        <v>2021</v>
      </c>
      <c r="I31" s="723"/>
      <c r="J31" s="724"/>
      <c r="K31" s="722">
        <v>2026</v>
      </c>
      <c r="L31" s="723"/>
      <c r="M31" s="724"/>
    </row>
    <row r="32" spans="1:21">
      <c r="A32" s="32" t="s">
        <v>245</v>
      </c>
      <c r="B32" s="32" t="s">
        <v>110</v>
      </c>
      <c r="D32" s="32" t="s">
        <v>224</v>
      </c>
      <c r="E32" s="194" t="s">
        <v>1597</v>
      </c>
      <c r="F32" s="194" t="s">
        <v>1598</v>
      </c>
      <c r="G32" s="194" t="s">
        <v>1599</v>
      </c>
      <c r="H32" s="194" t="s">
        <v>1600</v>
      </c>
      <c r="I32" s="194" t="s">
        <v>1601</v>
      </c>
      <c r="J32" s="194" t="s">
        <v>1602</v>
      </c>
      <c r="K32" s="194" t="s">
        <v>1604</v>
      </c>
      <c r="L32" s="194" t="s">
        <v>1603</v>
      </c>
      <c r="M32" s="194" t="s">
        <v>1605</v>
      </c>
    </row>
    <row r="33" spans="1:19">
      <c r="A33" s="32" t="s">
        <v>245</v>
      </c>
      <c r="B33" s="32" t="s">
        <v>110</v>
      </c>
      <c r="D33" s="35">
        <v>1</v>
      </c>
      <c r="E33" s="197"/>
      <c r="F33" s="201" t="s">
        <v>247</v>
      </c>
      <c r="G33" s="202">
        <v>1</v>
      </c>
      <c r="H33" s="36"/>
      <c r="I33" s="201" t="s">
        <v>262</v>
      </c>
      <c r="J33" s="207">
        <v>1</v>
      </c>
      <c r="K33" s="197"/>
      <c r="L33" s="201" t="s">
        <v>262</v>
      </c>
      <c r="M33" s="207">
        <v>1</v>
      </c>
    </row>
    <row r="34" spans="1:19">
      <c r="A34" s="32" t="s">
        <v>245</v>
      </c>
      <c r="B34" s="32" t="s">
        <v>110</v>
      </c>
      <c r="D34" s="35">
        <v>2</v>
      </c>
      <c r="E34" s="286" t="s">
        <v>630</v>
      </c>
      <c r="F34" s="201" t="s">
        <v>269</v>
      </c>
      <c r="G34" s="259">
        <v>0.27600000000000002</v>
      </c>
      <c r="H34" s="36"/>
      <c r="I34" s="201" t="s">
        <v>269</v>
      </c>
      <c r="J34" s="291">
        <v>0.29199999999999998</v>
      </c>
      <c r="K34" s="197"/>
      <c r="L34" s="201" t="s">
        <v>269</v>
      </c>
      <c r="M34" s="291">
        <v>0.29299999999999998</v>
      </c>
    </row>
    <row r="35" spans="1:19">
      <c r="A35" s="32" t="s">
        <v>245</v>
      </c>
      <c r="B35" s="32" t="s">
        <v>110</v>
      </c>
      <c r="D35" s="35">
        <v>3</v>
      </c>
      <c r="E35" s="286" t="s">
        <v>632</v>
      </c>
      <c r="F35" s="201" t="s">
        <v>248</v>
      </c>
      <c r="G35" s="259">
        <v>0.192</v>
      </c>
      <c r="H35" s="36"/>
      <c r="I35" s="201" t="s">
        <v>263</v>
      </c>
      <c r="J35" s="291">
        <v>0.14699999999999999</v>
      </c>
      <c r="K35" s="286" t="s">
        <v>1624</v>
      </c>
      <c r="L35" s="201" t="s">
        <v>270</v>
      </c>
      <c r="M35" s="291">
        <v>0.123</v>
      </c>
    </row>
    <row r="36" spans="1:19">
      <c r="A36" s="32" t="s">
        <v>245</v>
      </c>
      <c r="B36" s="32" t="s">
        <v>110</v>
      </c>
      <c r="D36" s="35">
        <v>4</v>
      </c>
      <c r="E36" s="197"/>
      <c r="F36" s="201" t="s">
        <v>198</v>
      </c>
      <c r="G36" s="259">
        <v>0.105</v>
      </c>
      <c r="H36" s="36"/>
      <c r="I36" s="201" t="s">
        <v>264</v>
      </c>
      <c r="J36" s="291">
        <v>0.111</v>
      </c>
      <c r="K36" s="286" t="s">
        <v>632</v>
      </c>
      <c r="L36" s="201" t="s">
        <v>263</v>
      </c>
      <c r="M36" s="291">
        <v>0.11899999999999999</v>
      </c>
    </row>
    <row r="37" spans="1:19">
      <c r="A37" s="32" t="s">
        <v>245</v>
      </c>
      <c r="B37" s="32" t="s">
        <v>110</v>
      </c>
      <c r="D37" s="35">
        <v>5</v>
      </c>
      <c r="E37" s="197"/>
      <c r="F37" s="201" t="s">
        <v>249</v>
      </c>
      <c r="G37" s="259">
        <v>7.9000000000000001E-2</v>
      </c>
      <c r="H37" s="36"/>
      <c r="I37" s="201" t="s">
        <v>249</v>
      </c>
      <c r="J37" s="291">
        <v>7.1999999999999995E-2</v>
      </c>
      <c r="K37" s="197"/>
      <c r="L37" s="311" t="s">
        <v>249</v>
      </c>
      <c r="M37" s="291">
        <v>7.0999999999999994E-2</v>
      </c>
    </row>
    <row r="38" spans="1:19">
      <c r="A38" s="32" t="s">
        <v>245</v>
      </c>
      <c r="B38" s="32" t="s">
        <v>110</v>
      </c>
      <c r="D38" s="35">
        <v>6</v>
      </c>
      <c r="E38" s="197"/>
      <c r="F38" s="201" t="s">
        <v>199</v>
      </c>
      <c r="G38" s="259">
        <v>6.9000000000000006E-2</v>
      </c>
      <c r="H38" s="286" t="s">
        <v>630</v>
      </c>
      <c r="I38" s="201" t="s">
        <v>250</v>
      </c>
      <c r="J38" s="291">
        <v>6.3E-2</v>
      </c>
      <c r="K38" s="286" t="s">
        <v>1625</v>
      </c>
      <c r="L38" s="201" t="s">
        <v>271</v>
      </c>
      <c r="M38" s="291">
        <v>7.0000000000000007E-2</v>
      </c>
    </row>
    <row r="39" spans="1:19">
      <c r="A39" s="32" t="s">
        <v>245</v>
      </c>
      <c r="B39" s="32" t="s">
        <v>110</v>
      </c>
      <c r="D39" s="35">
        <v>7</v>
      </c>
      <c r="E39" s="197"/>
      <c r="F39" s="201" t="s">
        <v>250</v>
      </c>
      <c r="G39" s="259">
        <v>0.06</v>
      </c>
      <c r="H39" s="286" t="s">
        <v>632</v>
      </c>
      <c r="I39" s="201" t="s">
        <v>265</v>
      </c>
      <c r="J39" s="291">
        <v>6.3E-2</v>
      </c>
      <c r="K39" s="286" t="s">
        <v>632</v>
      </c>
      <c r="L39" s="201" t="s">
        <v>250</v>
      </c>
      <c r="M39" s="291">
        <v>6.8000000000000005E-2</v>
      </c>
    </row>
    <row r="40" spans="1:19">
      <c r="A40" s="32" t="s">
        <v>245</v>
      </c>
      <c r="B40" s="32" t="s">
        <v>110</v>
      </c>
      <c r="D40" s="35">
        <v>8</v>
      </c>
      <c r="E40" s="286"/>
      <c r="F40" s="246" t="s">
        <v>200</v>
      </c>
      <c r="G40" s="259">
        <v>0.05</v>
      </c>
      <c r="H40" s="286" t="s">
        <v>631</v>
      </c>
      <c r="I40" s="311" t="s">
        <v>203</v>
      </c>
      <c r="J40" s="291">
        <v>5.5E-2</v>
      </c>
      <c r="K40" s="286" t="s">
        <v>632</v>
      </c>
      <c r="L40" s="201" t="s">
        <v>199</v>
      </c>
      <c r="M40" s="291">
        <v>6.2E-2</v>
      </c>
    </row>
    <row r="41" spans="1:19">
      <c r="A41" s="32" t="s">
        <v>245</v>
      </c>
      <c r="B41" s="32" t="s">
        <v>110</v>
      </c>
      <c r="D41" s="35">
        <v>9</v>
      </c>
      <c r="E41" s="197"/>
      <c r="F41" s="200" t="s">
        <v>251</v>
      </c>
      <c r="G41" s="259">
        <v>4.7E-2</v>
      </c>
      <c r="H41" s="286" t="s">
        <v>632</v>
      </c>
      <c r="I41" s="563" t="s">
        <v>200</v>
      </c>
      <c r="J41" s="291">
        <v>5.0999999999999997E-2</v>
      </c>
      <c r="K41" s="197" t="s">
        <v>631</v>
      </c>
      <c r="L41" s="563" t="s">
        <v>266</v>
      </c>
      <c r="M41" s="291">
        <v>5.6000000000000001E-2</v>
      </c>
    </row>
    <row r="42" spans="1:19">
      <c r="A42" s="32" t="s">
        <v>245</v>
      </c>
      <c r="B42" s="32" t="s">
        <v>110</v>
      </c>
      <c r="D42" s="35">
        <v>10</v>
      </c>
      <c r="E42" s="286" t="s">
        <v>1608</v>
      </c>
      <c r="F42" s="200" t="s">
        <v>203</v>
      </c>
      <c r="G42" s="259">
        <v>0.04</v>
      </c>
      <c r="H42" s="286" t="s">
        <v>632</v>
      </c>
      <c r="I42" s="201" t="s">
        <v>251</v>
      </c>
      <c r="J42" s="291">
        <v>4.7E-2</v>
      </c>
      <c r="K42" s="286" t="s">
        <v>632</v>
      </c>
      <c r="L42" s="201" t="s">
        <v>272</v>
      </c>
      <c r="M42" s="291">
        <v>0.05</v>
      </c>
    </row>
    <row r="43" spans="1:19">
      <c r="A43" s="32" t="s">
        <v>245</v>
      </c>
      <c r="B43" s="32" t="s">
        <v>110</v>
      </c>
      <c r="D43" s="35">
        <v>11</v>
      </c>
      <c r="E43" s="286" t="s">
        <v>631</v>
      </c>
      <c r="F43" s="285" t="s">
        <v>252</v>
      </c>
      <c r="G43" s="259">
        <v>3.3000000000000002E-2</v>
      </c>
      <c r="H43" s="36"/>
      <c r="I43" s="563" t="s">
        <v>252</v>
      </c>
      <c r="J43" s="291">
        <v>4.2999999999999997E-2</v>
      </c>
      <c r="K43" s="286" t="s">
        <v>632</v>
      </c>
      <c r="L43" s="311" t="s">
        <v>273</v>
      </c>
      <c r="M43" s="291">
        <v>4.8000000000000001E-2</v>
      </c>
    </row>
    <row r="44" spans="1:19">
      <c r="A44" s="32" t="s">
        <v>245</v>
      </c>
      <c r="B44" s="32" t="s">
        <v>110</v>
      </c>
      <c r="D44" s="35">
        <v>12</v>
      </c>
      <c r="E44" s="197" t="s">
        <v>632</v>
      </c>
      <c r="F44" s="311" t="s">
        <v>254</v>
      </c>
      <c r="G44" s="259">
        <v>3.1E-2</v>
      </c>
      <c r="H44" s="286" t="s">
        <v>1616</v>
      </c>
      <c r="I44" s="358" t="s">
        <v>255</v>
      </c>
      <c r="J44" s="291">
        <v>3.2000000000000001E-2</v>
      </c>
      <c r="K44" s="197"/>
      <c r="L44" s="201" t="s">
        <v>255</v>
      </c>
      <c r="M44" s="291">
        <v>4.1000000000000002E-2</v>
      </c>
    </row>
    <row r="45" spans="1:19">
      <c r="A45" s="32" t="s">
        <v>245</v>
      </c>
      <c r="B45" s="32" t="s">
        <v>110</v>
      </c>
      <c r="D45" s="35">
        <v>13</v>
      </c>
      <c r="E45" s="286" t="s">
        <v>1609</v>
      </c>
      <c r="F45" s="201" t="s">
        <v>253</v>
      </c>
      <c r="G45" s="259">
        <v>2.9000000000000001E-2</v>
      </c>
      <c r="H45" s="36"/>
      <c r="I45" s="201" t="s">
        <v>253</v>
      </c>
      <c r="J45" s="291">
        <v>3.1E-2</v>
      </c>
      <c r="K45" s="197"/>
      <c r="L45" s="563" t="s">
        <v>267</v>
      </c>
      <c r="M45" s="291">
        <v>3.3000000000000002E-2</v>
      </c>
      <c r="O45" s="58"/>
    </row>
    <row r="46" spans="1:19">
      <c r="A46" s="32" t="s">
        <v>245</v>
      </c>
      <c r="B46" s="32" t="s">
        <v>110</v>
      </c>
      <c r="D46" s="35">
        <v>14</v>
      </c>
      <c r="E46" s="286" t="s">
        <v>630</v>
      </c>
      <c r="F46" s="201" t="s">
        <v>255</v>
      </c>
      <c r="G46" s="259">
        <v>2.4E-2</v>
      </c>
      <c r="H46" s="286" t="s">
        <v>1619</v>
      </c>
      <c r="I46" s="201" t="s">
        <v>254</v>
      </c>
      <c r="J46" s="291">
        <v>2.5000000000000001E-2</v>
      </c>
      <c r="K46" s="197" t="s">
        <v>1626</v>
      </c>
      <c r="L46" s="311" t="s">
        <v>276</v>
      </c>
      <c r="M46" s="291">
        <v>2.5000000000000001E-2</v>
      </c>
      <c r="O46" s="58"/>
    </row>
    <row r="47" spans="1:19">
      <c r="A47" s="32" t="s">
        <v>245</v>
      </c>
      <c r="B47" s="32" t="s">
        <v>110</v>
      </c>
      <c r="D47" s="35">
        <v>15</v>
      </c>
      <c r="E47" s="286" t="s">
        <v>1611</v>
      </c>
      <c r="F47" s="311" t="s">
        <v>256</v>
      </c>
      <c r="G47" s="259">
        <v>1.9E-2</v>
      </c>
      <c r="H47" s="286"/>
      <c r="I47" s="563" t="s">
        <v>256</v>
      </c>
      <c r="J47" s="291">
        <v>2.1000000000000001E-2</v>
      </c>
      <c r="K47" s="197" t="s">
        <v>1628</v>
      </c>
      <c r="L47" s="201" t="s">
        <v>274</v>
      </c>
      <c r="M47" s="291">
        <v>2.4E-2</v>
      </c>
      <c r="O47" s="65"/>
    </row>
    <row r="48" spans="1:19">
      <c r="A48" s="32" t="s">
        <v>245</v>
      </c>
      <c r="B48" s="32" t="s">
        <v>110</v>
      </c>
      <c r="D48" s="35">
        <v>16</v>
      </c>
      <c r="E48" s="197" t="s">
        <v>1610</v>
      </c>
      <c r="F48" s="201" t="s">
        <v>1615</v>
      </c>
      <c r="G48" s="259">
        <v>1.6E-2</v>
      </c>
      <c r="H48" s="286" t="s">
        <v>1610</v>
      </c>
      <c r="I48" s="201" t="s">
        <v>258</v>
      </c>
      <c r="J48" s="291">
        <v>1.6E-2</v>
      </c>
      <c r="K48" s="197" t="s">
        <v>634</v>
      </c>
      <c r="L48" s="201" t="s">
        <v>275</v>
      </c>
      <c r="M48" s="564">
        <v>2.4E-2</v>
      </c>
      <c r="O48" s="58"/>
      <c r="S48" s="562" t="s">
        <v>1606</v>
      </c>
    </row>
    <row r="49" spans="1:20">
      <c r="A49" s="32" t="s">
        <v>245</v>
      </c>
      <c r="B49" s="32" t="s">
        <v>110</v>
      </c>
      <c r="D49" s="35">
        <v>17</v>
      </c>
      <c r="E49" s="197" t="s">
        <v>1613</v>
      </c>
      <c r="F49" s="563" t="s">
        <v>258</v>
      </c>
      <c r="G49" s="259">
        <v>1.6E-2</v>
      </c>
      <c r="H49" s="36" t="s">
        <v>1610</v>
      </c>
      <c r="I49" s="201" t="s">
        <v>1622</v>
      </c>
      <c r="J49" s="291">
        <v>1.4999999999999999E-2</v>
      </c>
      <c r="K49" s="197" t="s">
        <v>1629</v>
      </c>
      <c r="L49" s="563" t="s">
        <v>1607</v>
      </c>
      <c r="M49" s="564">
        <v>1.7999999999999999E-2</v>
      </c>
      <c r="S49" s="32" t="s">
        <v>1596</v>
      </c>
    </row>
    <row r="50" spans="1:20">
      <c r="A50" s="32" t="s">
        <v>245</v>
      </c>
      <c r="B50" s="32" t="s">
        <v>110</v>
      </c>
      <c r="D50" s="35">
        <v>18</v>
      </c>
      <c r="E50" s="286" t="s">
        <v>1612</v>
      </c>
      <c r="F50" s="201" t="s">
        <v>257</v>
      </c>
      <c r="G50" s="259">
        <v>1.4999999999999999E-2</v>
      </c>
      <c r="H50" s="286" t="s">
        <v>1617</v>
      </c>
      <c r="I50" s="306" t="s">
        <v>259</v>
      </c>
      <c r="J50" s="291">
        <v>1.4999999999999999E-2</v>
      </c>
      <c r="K50" s="197" t="s">
        <v>1627</v>
      </c>
      <c r="L50" s="201" t="s">
        <v>277</v>
      </c>
      <c r="M50" s="564">
        <v>1.6E-2</v>
      </c>
    </row>
    <row r="51" spans="1:20">
      <c r="A51" s="32" t="s">
        <v>245</v>
      </c>
      <c r="B51" s="32" t="s">
        <v>110</v>
      </c>
      <c r="D51" s="35">
        <v>19</v>
      </c>
      <c r="E51" s="286"/>
      <c r="F51" s="358" t="s">
        <v>261</v>
      </c>
      <c r="G51" s="259">
        <v>1.2999999999999999E-2</v>
      </c>
      <c r="H51" s="36" t="s">
        <v>1618</v>
      </c>
      <c r="I51" s="358" t="s">
        <v>268</v>
      </c>
      <c r="J51" s="291">
        <v>1.4E-2</v>
      </c>
      <c r="K51" s="197" t="s">
        <v>958</v>
      </c>
      <c r="L51" s="201" t="s">
        <v>1623</v>
      </c>
      <c r="M51" s="564">
        <v>1.6E-2</v>
      </c>
    </row>
    <row r="52" spans="1:20">
      <c r="A52" s="32" t="s">
        <v>245</v>
      </c>
      <c r="B52" s="32" t="s">
        <v>110</v>
      </c>
      <c r="D52" s="35">
        <v>20</v>
      </c>
      <c r="E52" s="286" t="s">
        <v>1614</v>
      </c>
      <c r="F52" s="263" t="s">
        <v>260</v>
      </c>
      <c r="G52" s="259">
        <v>1.2999999999999999E-2</v>
      </c>
      <c r="H52" s="286" t="s">
        <v>1620</v>
      </c>
      <c r="I52" s="289" t="s">
        <v>1621</v>
      </c>
      <c r="J52" s="291">
        <v>1.2999999999999999E-2</v>
      </c>
      <c r="K52" s="197" t="s">
        <v>633</v>
      </c>
      <c r="L52" s="306" t="s">
        <v>259</v>
      </c>
      <c r="M52" s="291">
        <v>1.4999999999999999E-2</v>
      </c>
      <c r="O52" s="284"/>
    </row>
    <row r="53" spans="1:20">
      <c r="A53" s="32" t="s">
        <v>245</v>
      </c>
      <c r="D53" s="35"/>
      <c r="E53" s="197"/>
      <c r="F53" s="201"/>
      <c r="G53" s="288"/>
      <c r="H53" s="36"/>
      <c r="I53" s="358"/>
      <c r="J53" s="37"/>
      <c r="K53" s="197"/>
      <c r="L53" s="204"/>
      <c r="M53" s="37"/>
      <c r="T53" s="194"/>
    </row>
    <row r="54" spans="1:20">
      <c r="A54" s="32" t="s">
        <v>245</v>
      </c>
      <c r="B54" s="32" t="s">
        <v>123</v>
      </c>
      <c r="D54" s="194" t="s">
        <v>1595</v>
      </c>
      <c r="E54" s="36"/>
      <c r="F54" s="35"/>
      <c r="G54" s="37"/>
      <c r="H54" s="36"/>
      <c r="I54" s="35"/>
      <c r="J54" s="37"/>
      <c r="K54" s="36"/>
      <c r="L54" s="35"/>
      <c r="M54" s="37"/>
      <c r="S54" s="194"/>
      <c r="T54" s="96"/>
    </row>
    <row r="55" spans="1:20" s="58" customFormat="1">
      <c r="A55" s="58" t="s">
        <v>245</v>
      </c>
    </row>
    <row r="56" spans="1:20" s="58" customFormat="1">
      <c r="A56" s="70" t="s">
        <v>287</v>
      </c>
      <c r="B56" s="70" t="s">
        <v>119</v>
      </c>
      <c r="C56" s="70"/>
      <c r="D56" s="205" t="s">
        <v>1257</v>
      </c>
      <c r="E56" s="70"/>
      <c r="F56" s="70"/>
      <c r="G56" s="70"/>
      <c r="H56" s="70"/>
      <c r="I56" s="70"/>
      <c r="J56" s="70"/>
      <c r="K56" s="70"/>
      <c r="L56" s="70"/>
      <c r="M56" s="70"/>
      <c r="N56" s="70"/>
      <c r="O56" s="70"/>
      <c r="P56" s="70"/>
      <c r="Q56" s="70"/>
      <c r="R56" s="70"/>
    </row>
    <row r="57" spans="1:20" s="58" customFormat="1">
      <c r="A57" s="32" t="s">
        <v>287</v>
      </c>
      <c r="B57" s="32" t="s">
        <v>121</v>
      </c>
      <c r="C57" s="32"/>
      <c r="D57" s="194" t="s">
        <v>1262</v>
      </c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65"/>
    </row>
    <row r="58" spans="1:20" s="58" customFormat="1">
      <c r="A58" s="32" t="s">
        <v>287</v>
      </c>
      <c r="B58" s="32" t="s">
        <v>121</v>
      </c>
      <c r="C58" s="32"/>
      <c r="D58" s="194" t="s">
        <v>1261</v>
      </c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65"/>
    </row>
    <row r="59" spans="1:20" s="58" customFormat="1">
      <c r="A59" s="32" t="s">
        <v>287</v>
      </c>
      <c r="B59" s="32" t="s">
        <v>121</v>
      </c>
      <c r="C59" s="32"/>
      <c r="D59" s="32" t="s">
        <v>278</v>
      </c>
      <c r="E59" s="32"/>
      <c r="F59" s="32"/>
      <c r="G59" s="32"/>
      <c r="H59" s="32"/>
      <c r="I59" s="32"/>
      <c r="J59" s="32"/>
      <c r="K59" s="32"/>
      <c r="L59" s="287"/>
      <c r="N59" s="32"/>
      <c r="O59" s="32"/>
      <c r="P59" s="32"/>
      <c r="Q59" s="32"/>
      <c r="R59" s="32"/>
      <c r="S59" s="65"/>
    </row>
    <row r="60" spans="1:20" s="58" customFormat="1">
      <c r="A60" s="32" t="s">
        <v>287</v>
      </c>
      <c r="B60" s="32" t="s">
        <v>121</v>
      </c>
      <c r="C60" s="32"/>
      <c r="D60" s="32" t="s">
        <v>279</v>
      </c>
      <c r="E60" s="32"/>
      <c r="F60" s="32"/>
      <c r="G60" s="32"/>
      <c r="H60" s="32"/>
      <c r="I60" s="32"/>
      <c r="J60" s="32"/>
      <c r="K60" s="32"/>
      <c r="L60" s="280"/>
      <c r="M60" s="177"/>
      <c r="N60" s="32"/>
      <c r="O60" s="32"/>
      <c r="P60" s="32"/>
      <c r="Q60" s="32"/>
      <c r="R60" s="32"/>
      <c r="S60" s="206"/>
    </row>
    <row r="61" spans="1:20" s="58" customFormat="1">
      <c r="A61" s="32" t="s">
        <v>287</v>
      </c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207"/>
      <c r="N61" s="32"/>
      <c r="O61" s="32"/>
      <c r="P61" s="32"/>
      <c r="Q61" s="32"/>
      <c r="R61" s="32"/>
    </row>
    <row r="62" spans="1:20" s="58" customFormat="1">
      <c r="A62" s="32" t="s">
        <v>289</v>
      </c>
      <c r="B62" s="32" t="s">
        <v>285</v>
      </c>
      <c r="C62" s="32"/>
      <c r="D62" s="32" t="s">
        <v>93</v>
      </c>
      <c r="E62" s="32" t="s">
        <v>284</v>
      </c>
      <c r="F62" s="32" t="s">
        <v>221</v>
      </c>
      <c r="G62" s="32" t="s">
        <v>7</v>
      </c>
      <c r="H62" s="32" t="s">
        <v>675</v>
      </c>
      <c r="I62" s="32" t="s">
        <v>1259</v>
      </c>
      <c r="J62" s="32" t="s">
        <v>908</v>
      </c>
      <c r="L62" s="32"/>
      <c r="M62" s="32"/>
      <c r="N62" s="32"/>
      <c r="O62" s="32"/>
      <c r="P62" s="32"/>
      <c r="Q62" s="32"/>
      <c r="R62" s="32"/>
    </row>
    <row r="63" spans="1:20" s="58" customFormat="1">
      <c r="A63" s="32" t="s">
        <v>287</v>
      </c>
      <c r="B63" s="32" t="s">
        <v>285</v>
      </c>
      <c r="C63" s="32"/>
      <c r="D63" s="32" t="s">
        <v>280</v>
      </c>
      <c r="E63" s="36">
        <v>188061</v>
      </c>
      <c r="F63" s="36">
        <v>203580</v>
      </c>
      <c r="G63" s="36">
        <v>211054</v>
      </c>
      <c r="H63" s="42">
        <v>223132</v>
      </c>
      <c r="I63" s="440">
        <v>245662</v>
      </c>
      <c r="J63" s="36"/>
      <c r="L63" s="32"/>
      <c r="M63" s="32"/>
      <c r="N63" s="32"/>
      <c r="O63" s="32"/>
      <c r="P63" s="32"/>
      <c r="Q63" s="32"/>
      <c r="R63" s="32"/>
    </row>
    <row r="64" spans="1:20" s="58" customFormat="1">
      <c r="A64" s="32" t="s">
        <v>287</v>
      </c>
      <c r="B64" s="32" t="s">
        <v>285</v>
      </c>
      <c r="C64" s="32"/>
      <c r="D64" s="32" t="s">
        <v>281</v>
      </c>
      <c r="E64" s="36">
        <v>36209</v>
      </c>
      <c r="F64" s="36">
        <v>46025</v>
      </c>
      <c r="G64" s="36">
        <v>51431</v>
      </c>
      <c r="H64" s="42">
        <v>60581</v>
      </c>
      <c r="I64" s="440">
        <v>99648</v>
      </c>
      <c r="J64" s="36"/>
      <c r="L64" s="32"/>
      <c r="M64" s="32"/>
      <c r="N64" s="32"/>
      <c r="O64" s="32"/>
      <c r="P64" s="32"/>
      <c r="Q64" s="32"/>
      <c r="R64" s="32"/>
    </row>
    <row r="65" spans="1:18" s="58" customFormat="1">
      <c r="A65" s="32" t="s">
        <v>287</v>
      </c>
      <c r="B65" s="32" t="s">
        <v>285</v>
      </c>
      <c r="C65" s="32"/>
      <c r="D65" s="32" t="s">
        <v>282</v>
      </c>
      <c r="E65" s="36">
        <v>65404</v>
      </c>
      <c r="F65" s="36">
        <v>63077</v>
      </c>
      <c r="G65" s="36">
        <v>71552</v>
      </c>
      <c r="H65" s="42">
        <v>80549</v>
      </c>
      <c r="I65" s="440">
        <v>85708</v>
      </c>
      <c r="J65" s="36"/>
      <c r="L65" s="32"/>
      <c r="M65" s="32"/>
      <c r="N65" s="32"/>
      <c r="O65" s="32"/>
      <c r="P65" s="32"/>
      <c r="Q65" s="32"/>
      <c r="R65" s="32"/>
    </row>
    <row r="66" spans="1:18" s="58" customFormat="1">
      <c r="A66" s="32" t="s">
        <v>287</v>
      </c>
      <c r="B66" s="32" t="s">
        <v>285</v>
      </c>
      <c r="C66" s="32"/>
      <c r="D66" s="32" t="s">
        <v>283</v>
      </c>
      <c r="E66" s="36">
        <v>-29195</v>
      </c>
      <c r="F66" s="36">
        <v>-17052</v>
      </c>
      <c r="G66" s="36">
        <v>-20121</v>
      </c>
      <c r="H66" s="42">
        <v>-19968</v>
      </c>
      <c r="I66" s="440">
        <v>13940</v>
      </c>
      <c r="J66" s="36"/>
      <c r="L66" s="32"/>
      <c r="M66" s="32"/>
      <c r="N66" s="32"/>
      <c r="O66" s="32"/>
      <c r="P66" s="32"/>
      <c r="Q66" s="32"/>
      <c r="R66" s="32"/>
    </row>
    <row r="67" spans="1:18" s="58" customFormat="1">
      <c r="A67" s="32" t="s">
        <v>288</v>
      </c>
      <c r="B67" s="32" t="s">
        <v>285</v>
      </c>
      <c r="C67" s="32"/>
      <c r="D67" s="32" t="s">
        <v>193</v>
      </c>
      <c r="E67" s="36">
        <v>217256</v>
      </c>
      <c r="F67" s="36">
        <v>220632</v>
      </c>
      <c r="G67" s="36">
        <v>231175</v>
      </c>
      <c r="H67" s="42">
        <v>243100</v>
      </c>
      <c r="I67" s="440">
        <v>231722</v>
      </c>
      <c r="J67" s="36"/>
      <c r="L67" s="32"/>
      <c r="M67" s="32"/>
      <c r="N67" s="32"/>
      <c r="O67" s="32"/>
      <c r="P67" s="32"/>
      <c r="Q67" s="32"/>
      <c r="R67" s="32"/>
    </row>
    <row r="68" spans="1:18">
      <c r="A68" s="32" t="s">
        <v>287</v>
      </c>
    </row>
    <row r="69" spans="1:18">
      <c r="A69" s="32" t="s">
        <v>287</v>
      </c>
      <c r="B69" s="32" t="s">
        <v>645</v>
      </c>
    </row>
    <row r="70" spans="1:18">
      <c r="A70" s="32" t="s">
        <v>287</v>
      </c>
      <c r="B70" s="32" t="s">
        <v>645</v>
      </c>
    </row>
    <row r="71" spans="1:18">
      <c r="A71" s="32" t="s">
        <v>287</v>
      </c>
      <c r="B71" s="32" t="s">
        <v>645</v>
      </c>
    </row>
    <row r="72" spans="1:18">
      <c r="A72" s="32" t="s">
        <v>287</v>
      </c>
      <c r="B72" s="32" t="s">
        <v>645</v>
      </c>
    </row>
    <row r="73" spans="1:18">
      <c r="A73" s="32" t="s">
        <v>287</v>
      </c>
      <c r="B73" s="32" t="s">
        <v>646</v>
      </c>
    </row>
    <row r="74" spans="1:18">
      <c r="A74" s="32" t="s">
        <v>287</v>
      </c>
      <c r="B74" s="32" t="s">
        <v>645</v>
      </c>
    </row>
    <row r="75" spans="1:18">
      <c r="A75" s="32" t="s">
        <v>287</v>
      </c>
      <c r="B75" s="32" t="s">
        <v>645</v>
      </c>
    </row>
    <row r="76" spans="1:18">
      <c r="A76" s="32" t="s">
        <v>287</v>
      </c>
      <c r="B76" s="32" t="s">
        <v>645</v>
      </c>
    </row>
    <row r="77" spans="1:18">
      <c r="A77" s="32" t="s">
        <v>287</v>
      </c>
      <c r="B77" s="32" t="s">
        <v>645</v>
      </c>
    </row>
    <row r="78" spans="1:18">
      <c r="A78" s="32" t="s">
        <v>287</v>
      </c>
      <c r="B78" s="32" t="s">
        <v>645</v>
      </c>
    </row>
    <row r="79" spans="1:18">
      <c r="A79" s="32" t="s">
        <v>287</v>
      </c>
      <c r="B79" s="32" t="s">
        <v>647</v>
      </c>
    </row>
    <row r="80" spans="1:18">
      <c r="A80" s="32" t="s">
        <v>287</v>
      </c>
      <c r="B80" s="32" t="s">
        <v>647</v>
      </c>
    </row>
    <row r="81" spans="1:20">
      <c r="A81" s="32" t="s">
        <v>287</v>
      </c>
      <c r="B81" s="32" t="s">
        <v>645</v>
      </c>
    </row>
    <row r="82" spans="1:20">
      <c r="A82" s="32" t="s">
        <v>287</v>
      </c>
      <c r="B82" s="32" t="s">
        <v>645</v>
      </c>
    </row>
    <row r="83" spans="1:20">
      <c r="A83" s="32" t="s">
        <v>287</v>
      </c>
      <c r="B83" s="32" t="s">
        <v>645</v>
      </c>
    </row>
    <row r="84" spans="1:20">
      <c r="A84" s="32" t="s">
        <v>287</v>
      </c>
      <c r="D84" s="35"/>
      <c r="E84" s="36"/>
      <c r="F84" s="35"/>
      <c r="G84" s="37"/>
      <c r="H84" s="36"/>
      <c r="I84" s="35"/>
      <c r="J84" s="37"/>
      <c r="K84" s="36"/>
      <c r="L84" s="35"/>
      <c r="M84" s="37"/>
      <c r="S84" s="194"/>
    </row>
    <row r="85" spans="1:20">
      <c r="A85" s="32" t="s">
        <v>287</v>
      </c>
      <c r="B85" s="32" t="s">
        <v>123</v>
      </c>
      <c r="D85" s="194" t="s">
        <v>1260</v>
      </c>
      <c r="E85" s="36"/>
      <c r="F85" s="35"/>
      <c r="G85" s="37"/>
      <c r="H85" s="36"/>
      <c r="I85" s="35"/>
      <c r="J85" s="37"/>
      <c r="K85" s="36"/>
      <c r="L85" s="35"/>
      <c r="M85" s="37"/>
      <c r="T85" s="194"/>
    </row>
    <row r="86" spans="1:20" s="58" customFormat="1">
      <c r="A86" s="58" t="s">
        <v>287</v>
      </c>
    </row>
    <row r="87" spans="1:20">
      <c r="A87" s="70" t="s">
        <v>290</v>
      </c>
      <c r="B87" s="70" t="s">
        <v>119</v>
      </c>
      <c r="C87" s="70"/>
      <c r="D87" s="205" t="s">
        <v>1264</v>
      </c>
      <c r="E87" s="70"/>
      <c r="F87" s="70"/>
      <c r="G87" s="70"/>
      <c r="H87" s="70"/>
      <c r="I87" s="70"/>
      <c r="J87" s="70"/>
      <c r="K87" s="70"/>
      <c r="L87" s="70"/>
      <c r="M87" s="70"/>
      <c r="N87" s="70"/>
      <c r="O87" s="70"/>
      <c r="P87" s="70"/>
      <c r="Q87" s="70"/>
      <c r="R87" s="70"/>
    </row>
    <row r="88" spans="1:20">
      <c r="A88" s="32" t="s">
        <v>291</v>
      </c>
      <c r="B88" s="32" t="s">
        <v>121</v>
      </c>
      <c r="D88" s="194" t="s">
        <v>1267</v>
      </c>
      <c r="S88" s="207"/>
    </row>
    <row r="89" spans="1:20">
      <c r="A89" s="32" t="s">
        <v>291</v>
      </c>
      <c r="B89" s="32" t="s">
        <v>121</v>
      </c>
      <c r="D89" s="32" t="s">
        <v>278</v>
      </c>
    </row>
    <row r="90" spans="1:20">
      <c r="A90" s="32" t="s">
        <v>291</v>
      </c>
      <c r="B90" s="32" t="s">
        <v>121</v>
      </c>
      <c r="D90" s="32" t="s">
        <v>279</v>
      </c>
    </row>
    <row r="91" spans="1:20">
      <c r="A91" s="32" t="s">
        <v>291</v>
      </c>
    </row>
    <row r="92" spans="1:20">
      <c r="A92" s="32" t="s">
        <v>290</v>
      </c>
      <c r="B92" s="32" t="s">
        <v>110</v>
      </c>
      <c r="D92" s="32" t="s">
        <v>93</v>
      </c>
      <c r="E92" s="32" t="s">
        <v>243</v>
      </c>
      <c r="F92" s="32" t="s">
        <v>221</v>
      </c>
      <c r="G92" s="32" t="s">
        <v>7</v>
      </c>
      <c r="H92" s="32" t="s">
        <v>675</v>
      </c>
      <c r="I92" s="32" t="s">
        <v>1266</v>
      </c>
      <c r="J92" s="32" t="s">
        <v>908</v>
      </c>
      <c r="M92" s="207"/>
    </row>
    <row r="93" spans="1:20">
      <c r="A93" s="32" t="s">
        <v>290</v>
      </c>
      <c r="B93" s="32" t="s">
        <v>110</v>
      </c>
      <c r="D93" s="32" t="s">
        <v>280</v>
      </c>
      <c r="E93" s="36">
        <v>20079</v>
      </c>
      <c r="F93" s="36">
        <v>26015</v>
      </c>
      <c r="G93" s="36">
        <v>26113</v>
      </c>
      <c r="H93" s="42">
        <v>25377</v>
      </c>
      <c r="I93" s="440">
        <v>39300</v>
      </c>
      <c r="J93" s="36"/>
    </row>
    <row r="94" spans="1:20">
      <c r="A94" s="32" t="s">
        <v>291</v>
      </c>
      <c r="B94" s="32" t="s">
        <v>110</v>
      </c>
      <c r="D94" s="32" t="s">
        <v>281</v>
      </c>
      <c r="E94" s="36">
        <v>12346</v>
      </c>
      <c r="F94" s="36">
        <v>15471</v>
      </c>
      <c r="G94" s="36">
        <v>17161</v>
      </c>
      <c r="H94" s="42">
        <v>14963</v>
      </c>
      <c r="I94" s="440">
        <v>23825</v>
      </c>
      <c r="J94" s="36"/>
    </row>
    <row r="95" spans="1:20">
      <c r="A95" s="32" t="s">
        <v>290</v>
      </c>
      <c r="B95" s="32" t="s">
        <v>110</v>
      </c>
      <c r="D95" s="32" t="s">
        <v>282</v>
      </c>
      <c r="E95" s="36">
        <v>10576</v>
      </c>
      <c r="F95" s="36">
        <v>11784</v>
      </c>
      <c r="G95" s="36">
        <v>13356</v>
      </c>
      <c r="H95" s="42">
        <v>15588</v>
      </c>
      <c r="I95" s="440">
        <v>17555</v>
      </c>
      <c r="J95" s="36"/>
    </row>
    <row r="96" spans="1:20">
      <c r="A96" s="32" t="s">
        <v>291</v>
      </c>
      <c r="B96" s="32" t="s">
        <v>110</v>
      </c>
      <c r="D96" s="32" t="s">
        <v>283</v>
      </c>
      <c r="E96" s="36">
        <v>1770</v>
      </c>
      <c r="F96" s="36">
        <v>3687</v>
      </c>
      <c r="G96" s="36">
        <v>3804</v>
      </c>
      <c r="H96" s="42">
        <v>-624</v>
      </c>
      <c r="I96" s="440">
        <v>6271</v>
      </c>
      <c r="J96" s="36"/>
    </row>
    <row r="97" spans="1:10">
      <c r="A97" s="32" t="s">
        <v>291</v>
      </c>
      <c r="B97" s="32" t="s">
        <v>110</v>
      </c>
      <c r="D97" s="32" t="s">
        <v>193</v>
      </c>
      <c r="E97" s="36">
        <v>18308</v>
      </c>
      <c r="F97" s="36">
        <v>22327</v>
      </c>
      <c r="G97" s="36">
        <v>22309</v>
      </c>
      <c r="H97" s="42">
        <v>26002</v>
      </c>
      <c r="I97" s="440">
        <v>33029</v>
      </c>
      <c r="J97" s="36"/>
    </row>
    <row r="98" spans="1:10">
      <c r="A98" s="32" t="s">
        <v>290</v>
      </c>
    </row>
    <row r="99" spans="1:10">
      <c r="A99" s="32" t="s">
        <v>290</v>
      </c>
      <c r="B99" s="32" t="s">
        <v>645</v>
      </c>
    </row>
    <row r="100" spans="1:10">
      <c r="A100" s="32" t="s">
        <v>290</v>
      </c>
      <c r="B100" s="32" t="s">
        <v>645</v>
      </c>
    </row>
    <row r="101" spans="1:10">
      <c r="A101" s="32" t="s">
        <v>290</v>
      </c>
      <c r="B101" s="32" t="s">
        <v>645</v>
      </c>
    </row>
    <row r="102" spans="1:10">
      <c r="A102" s="32" t="s">
        <v>290</v>
      </c>
      <c r="B102" s="32" t="s">
        <v>645</v>
      </c>
    </row>
    <row r="103" spans="1:10">
      <c r="A103" s="32" t="s">
        <v>290</v>
      </c>
      <c r="B103" s="32" t="s">
        <v>645</v>
      </c>
    </row>
    <row r="104" spans="1:10">
      <c r="A104" s="32" t="s">
        <v>290</v>
      </c>
      <c r="B104" s="32" t="s">
        <v>645</v>
      </c>
    </row>
    <row r="105" spans="1:10">
      <c r="A105" s="32" t="s">
        <v>290</v>
      </c>
      <c r="B105" s="32" t="s">
        <v>645</v>
      </c>
    </row>
    <row r="106" spans="1:10">
      <c r="A106" s="32" t="s">
        <v>290</v>
      </c>
      <c r="B106" s="32" t="s">
        <v>645</v>
      </c>
    </row>
    <row r="107" spans="1:10">
      <c r="A107" s="32" t="s">
        <v>290</v>
      </c>
      <c r="B107" s="32" t="s">
        <v>645</v>
      </c>
    </row>
    <row r="108" spans="1:10">
      <c r="A108" s="32" t="s">
        <v>290</v>
      </c>
      <c r="B108" s="32" t="s">
        <v>645</v>
      </c>
    </row>
    <row r="109" spans="1:10">
      <c r="A109" s="32" t="s">
        <v>290</v>
      </c>
      <c r="B109" s="32" t="s">
        <v>645</v>
      </c>
    </row>
    <row r="110" spans="1:10">
      <c r="A110" s="32" t="s">
        <v>290</v>
      </c>
      <c r="B110" s="32" t="s">
        <v>645</v>
      </c>
    </row>
    <row r="111" spans="1:10">
      <c r="A111" s="32" t="s">
        <v>290</v>
      </c>
      <c r="B111" s="32" t="s">
        <v>645</v>
      </c>
    </row>
    <row r="112" spans="1:10">
      <c r="A112" s="32" t="s">
        <v>290</v>
      </c>
      <c r="B112" s="32" t="s">
        <v>645</v>
      </c>
    </row>
    <row r="113" spans="1:20">
      <c r="A113" s="32" t="s">
        <v>290</v>
      </c>
      <c r="B113" s="32" t="s">
        <v>645</v>
      </c>
      <c r="S113" s="194"/>
    </row>
    <row r="114" spans="1:20">
      <c r="A114" s="32" t="s">
        <v>290</v>
      </c>
      <c r="D114" s="35"/>
      <c r="E114" s="36"/>
      <c r="F114" s="35"/>
      <c r="G114" s="37"/>
      <c r="H114" s="36"/>
      <c r="I114" s="35"/>
      <c r="J114" s="37"/>
      <c r="K114" s="36"/>
      <c r="L114" s="35"/>
      <c r="M114" s="37"/>
    </row>
    <row r="115" spans="1:20">
      <c r="A115" s="32" t="s">
        <v>290</v>
      </c>
      <c r="B115" s="32" t="s">
        <v>123</v>
      </c>
      <c r="D115" s="194" t="s">
        <v>1263</v>
      </c>
      <c r="E115" s="36"/>
      <c r="F115" s="35"/>
      <c r="G115" s="37"/>
      <c r="H115" s="36"/>
      <c r="J115" s="37"/>
      <c r="K115" s="36"/>
      <c r="L115" s="35"/>
      <c r="M115" s="37"/>
      <c r="S115" s="35" t="s">
        <v>1274</v>
      </c>
      <c r="T115" s="175"/>
    </row>
    <row r="116" spans="1:20" s="58" customFormat="1">
      <c r="A116" s="58" t="s">
        <v>291</v>
      </c>
    </row>
    <row r="117" spans="1:20">
      <c r="A117" s="70" t="s">
        <v>292</v>
      </c>
      <c r="B117" s="70" t="s">
        <v>120</v>
      </c>
      <c r="C117" s="94"/>
      <c r="D117" s="205" t="s">
        <v>1268</v>
      </c>
      <c r="E117" s="94"/>
      <c r="F117" s="94"/>
      <c r="G117" s="94"/>
      <c r="H117" s="70"/>
      <c r="I117" s="70"/>
      <c r="J117" s="70"/>
      <c r="K117" s="70"/>
      <c r="L117" s="70"/>
      <c r="M117" s="70"/>
      <c r="N117" s="70"/>
      <c r="O117" s="70"/>
      <c r="P117" s="70"/>
      <c r="Q117" s="70"/>
      <c r="R117" s="70"/>
    </row>
    <row r="118" spans="1:20">
      <c r="A118" s="32" t="s">
        <v>292</v>
      </c>
      <c r="B118" s="32" t="s">
        <v>121</v>
      </c>
      <c r="D118" s="194" t="s">
        <v>1280</v>
      </c>
    </row>
    <row r="119" spans="1:20">
      <c r="A119" s="32" t="s">
        <v>292</v>
      </c>
    </row>
    <row r="120" spans="1:20">
      <c r="A120" s="32" t="s">
        <v>292</v>
      </c>
      <c r="B120" s="32" t="s">
        <v>110</v>
      </c>
      <c r="D120" s="32" t="s">
        <v>223</v>
      </c>
      <c r="E120" s="32" t="s">
        <v>293</v>
      </c>
      <c r="F120" s="32" t="s">
        <v>297</v>
      </c>
      <c r="G120" s="32" t="s">
        <v>296</v>
      </c>
    </row>
    <row r="121" spans="1:20">
      <c r="A121" s="32" t="s">
        <v>292</v>
      </c>
      <c r="B121" s="32" t="s">
        <v>110</v>
      </c>
      <c r="D121" s="35">
        <v>1</v>
      </c>
      <c r="E121" s="194" t="s">
        <v>687</v>
      </c>
      <c r="F121" s="198">
        <v>59</v>
      </c>
    </row>
    <row r="122" spans="1:20">
      <c r="A122" s="32" t="s">
        <v>292</v>
      </c>
      <c r="B122" s="32" t="s">
        <v>110</v>
      </c>
      <c r="D122" s="35">
        <v>2</v>
      </c>
      <c r="E122" s="194" t="s">
        <v>685</v>
      </c>
      <c r="F122" s="198">
        <v>58.3</v>
      </c>
    </row>
    <row r="123" spans="1:20">
      <c r="A123" s="32" t="s">
        <v>292</v>
      </c>
      <c r="B123" s="32" t="s">
        <v>110</v>
      </c>
      <c r="D123" s="35">
        <v>3</v>
      </c>
      <c r="E123" s="194" t="s">
        <v>686</v>
      </c>
      <c r="F123" s="198">
        <v>52.9</v>
      </c>
    </row>
    <row r="124" spans="1:20">
      <c r="A124" s="32" t="s">
        <v>292</v>
      </c>
      <c r="B124" s="32" t="s">
        <v>110</v>
      </c>
      <c r="D124" s="35">
        <v>4</v>
      </c>
      <c r="E124" s="194" t="s">
        <v>700</v>
      </c>
      <c r="F124" s="198">
        <v>46.4</v>
      </c>
    </row>
    <row r="125" spans="1:20">
      <c r="A125" s="32" t="s">
        <v>292</v>
      </c>
      <c r="B125" s="32" t="s">
        <v>110</v>
      </c>
      <c r="D125" s="35">
        <v>5</v>
      </c>
      <c r="E125" s="194" t="s">
        <v>688</v>
      </c>
      <c r="F125" s="198">
        <v>42.4</v>
      </c>
    </row>
    <row r="126" spans="1:20">
      <c r="A126" s="32" t="s">
        <v>292</v>
      </c>
      <c r="B126" s="32" t="s">
        <v>110</v>
      </c>
      <c r="D126" s="35">
        <v>6</v>
      </c>
      <c r="E126" s="194" t="s">
        <v>694</v>
      </c>
      <c r="F126" s="198">
        <v>41.9</v>
      </c>
    </row>
    <row r="127" spans="1:20">
      <c r="A127" s="32" t="s">
        <v>292</v>
      </c>
      <c r="B127" s="32" t="s">
        <v>110</v>
      </c>
      <c r="D127" s="35">
        <v>7</v>
      </c>
      <c r="E127" s="194" t="s">
        <v>689</v>
      </c>
      <c r="F127" s="198">
        <v>41.2</v>
      </c>
    </row>
    <row r="128" spans="1:20">
      <c r="A128" s="32" t="s">
        <v>292</v>
      </c>
      <c r="B128" s="32" t="s">
        <v>110</v>
      </c>
      <c r="D128" s="35">
        <v>8</v>
      </c>
      <c r="E128" s="194" t="s">
        <v>294</v>
      </c>
      <c r="F128" s="198">
        <v>41</v>
      </c>
    </row>
    <row r="129" spans="1:20">
      <c r="A129" s="32" t="s">
        <v>292</v>
      </c>
      <c r="B129" s="32" t="s">
        <v>110</v>
      </c>
      <c r="D129" s="35">
        <v>9</v>
      </c>
      <c r="E129" s="199" t="s">
        <v>701</v>
      </c>
      <c r="F129" s="198">
        <v>37.5</v>
      </c>
    </row>
    <row r="130" spans="1:20">
      <c r="A130" s="32" t="s">
        <v>292</v>
      </c>
      <c r="B130" s="32" t="s">
        <v>110</v>
      </c>
      <c r="D130" s="35">
        <v>10</v>
      </c>
      <c r="E130" s="194" t="s">
        <v>821</v>
      </c>
      <c r="F130" s="198">
        <v>35</v>
      </c>
    </row>
    <row r="131" spans="1:20">
      <c r="A131" s="32" t="s">
        <v>292</v>
      </c>
      <c r="B131" s="32" t="s">
        <v>110</v>
      </c>
      <c r="D131" s="35">
        <v>11</v>
      </c>
      <c r="E131" s="194" t="s">
        <v>822</v>
      </c>
      <c r="F131" s="198">
        <v>33.799999999999997</v>
      </c>
    </row>
    <row r="132" spans="1:20">
      <c r="A132" s="32" t="s">
        <v>292</v>
      </c>
      <c r="B132" s="32" t="s">
        <v>110</v>
      </c>
      <c r="D132" s="35">
        <v>12</v>
      </c>
      <c r="E132" s="199" t="s">
        <v>691</v>
      </c>
      <c r="F132" s="198">
        <v>31.4</v>
      </c>
    </row>
    <row r="133" spans="1:20">
      <c r="A133" s="32" t="s">
        <v>292</v>
      </c>
      <c r="B133" s="32" t="s">
        <v>110</v>
      </c>
      <c r="D133" s="35">
        <v>13</v>
      </c>
      <c r="E133" s="194" t="s">
        <v>693</v>
      </c>
      <c r="F133" s="198">
        <v>30.4</v>
      </c>
    </row>
    <row r="134" spans="1:20">
      <c r="A134" s="32" t="s">
        <v>292</v>
      </c>
      <c r="B134" s="32" t="s">
        <v>110</v>
      </c>
      <c r="D134" s="35">
        <v>14</v>
      </c>
      <c r="E134" s="199" t="s">
        <v>690</v>
      </c>
      <c r="F134" s="198">
        <v>29</v>
      </c>
    </row>
    <row r="135" spans="1:20">
      <c r="A135" s="32" t="s">
        <v>292</v>
      </c>
      <c r="B135" s="32" t="s">
        <v>110</v>
      </c>
      <c r="D135" s="35">
        <v>15</v>
      </c>
      <c r="E135" s="194" t="s">
        <v>692</v>
      </c>
      <c r="F135" s="198">
        <v>27.4</v>
      </c>
    </row>
    <row r="136" spans="1:20">
      <c r="A136" s="32" t="s">
        <v>292</v>
      </c>
      <c r="B136" s="32" t="s">
        <v>110</v>
      </c>
      <c r="D136" s="35">
        <v>16</v>
      </c>
      <c r="E136" s="194" t="s">
        <v>295</v>
      </c>
      <c r="F136" s="198">
        <v>24.4</v>
      </c>
    </row>
    <row r="137" spans="1:20">
      <c r="A137" s="32" t="s">
        <v>292</v>
      </c>
      <c r="B137" s="32" t="s">
        <v>110</v>
      </c>
      <c r="D137" s="35">
        <v>17</v>
      </c>
      <c r="E137" s="194" t="s">
        <v>1272</v>
      </c>
      <c r="F137" s="198">
        <v>20.5</v>
      </c>
    </row>
    <row r="138" spans="1:20">
      <c r="A138" s="32" t="s">
        <v>292</v>
      </c>
      <c r="B138" s="32" t="s">
        <v>110</v>
      </c>
      <c r="D138" s="35">
        <v>18</v>
      </c>
      <c r="E138" s="194" t="s">
        <v>695</v>
      </c>
      <c r="F138" s="198">
        <v>19.3</v>
      </c>
    </row>
    <row r="139" spans="1:20">
      <c r="A139" s="32" t="s">
        <v>292</v>
      </c>
      <c r="B139" s="32" t="s">
        <v>110</v>
      </c>
      <c r="D139" s="35">
        <v>19</v>
      </c>
      <c r="E139" s="199" t="s">
        <v>820</v>
      </c>
      <c r="F139" s="198">
        <v>18.899999999999999</v>
      </c>
      <c r="I139" s="280"/>
      <c r="S139" s="194"/>
    </row>
    <row r="140" spans="1:20">
      <c r="A140" s="32" t="s">
        <v>292</v>
      </c>
      <c r="B140" s="32" t="s">
        <v>110</v>
      </c>
      <c r="D140" s="35">
        <v>20</v>
      </c>
      <c r="E140" s="194" t="s">
        <v>909</v>
      </c>
      <c r="F140" s="198">
        <v>12.4</v>
      </c>
    </row>
    <row r="141" spans="1:20">
      <c r="A141" s="32" t="s">
        <v>292</v>
      </c>
      <c r="D141" s="35"/>
      <c r="E141" s="36"/>
      <c r="F141" s="35"/>
      <c r="G141" s="37"/>
      <c r="H141" s="36"/>
      <c r="J141" s="37"/>
      <c r="K141" s="36"/>
      <c r="L141" s="35"/>
      <c r="M141" s="37"/>
      <c r="S141" s="35" t="s">
        <v>1269</v>
      </c>
    </row>
    <row r="142" spans="1:20">
      <c r="A142" s="32" t="s">
        <v>292</v>
      </c>
      <c r="B142" s="32" t="s">
        <v>123</v>
      </c>
      <c r="D142" s="194" t="s">
        <v>1270</v>
      </c>
      <c r="E142" s="36"/>
      <c r="F142" s="35"/>
      <c r="G142" s="37"/>
      <c r="H142" s="36"/>
      <c r="I142" s="35"/>
      <c r="J142" s="37"/>
      <c r="K142" s="36"/>
      <c r="M142" s="37"/>
      <c r="T142" s="175"/>
    </row>
    <row r="143" spans="1:20">
      <c r="E143" s="36"/>
      <c r="F143" s="35"/>
      <c r="G143" s="37"/>
      <c r="H143" s="36"/>
      <c r="I143" s="35"/>
      <c r="J143" s="37"/>
      <c r="K143" s="36"/>
      <c r="L143" s="35"/>
      <c r="M143" s="37"/>
      <c r="T143" s="175"/>
    </row>
    <row r="144" spans="1:20">
      <c r="A144" s="70" t="s">
        <v>303</v>
      </c>
      <c r="B144" s="70" t="s">
        <v>120</v>
      </c>
      <c r="C144" s="70"/>
      <c r="D144" s="205" t="s">
        <v>1278</v>
      </c>
      <c r="E144" s="95"/>
      <c r="F144" s="95"/>
      <c r="G144" s="95"/>
      <c r="H144" s="95"/>
      <c r="I144" s="205"/>
      <c r="J144" s="70"/>
      <c r="K144" s="70"/>
      <c r="L144" s="70"/>
      <c r="M144" s="70"/>
      <c r="N144" s="70"/>
      <c r="O144" s="70"/>
      <c r="P144" s="70"/>
      <c r="Q144" s="70"/>
      <c r="R144" s="70"/>
    </row>
    <row r="145" spans="1:10">
      <c r="A145" s="32" t="s">
        <v>303</v>
      </c>
      <c r="B145" s="32" t="s">
        <v>121</v>
      </c>
      <c r="D145" s="194" t="s">
        <v>1282</v>
      </c>
    </row>
    <row r="146" spans="1:10">
      <c r="A146" s="32" t="s">
        <v>303</v>
      </c>
    </row>
    <row r="147" spans="1:10">
      <c r="A147" s="32" t="s">
        <v>303</v>
      </c>
      <c r="B147" s="32" t="s">
        <v>110</v>
      </c>
      <c r="D147" s="32" t="s">
        <v>223</v>
      </c>
      <c r="E147" s="32" t="s">
        <v>293</v>
      </c>
      <c r="F147" s="9" t="s">
        <v>233</v>
      </c>
      <c r="G147" s="32" t="s">
        <v>298</v>
      </c>
    </row>
    <row r="148" spans="1:10">
      <c r="A148" s="32" t="s">
        <v>303</v>
      </c>
      <c r="B148" s="32" t="s">
        <v>110</v>
      </c>
      <c r="D148" s="35">
        <v>1</v>
      </c>
      <c r="E148" s="194" t="s">
        <v>855</v>
      </c>
      <c r="F148" s="200">
        <v>1911601</v>
      </c>
    </row>
    <row r="149" spans="1:10">
      <c r="A149" s="32" t="s">
        <v>303</v>
      </c>
      <c r="B149" s="32" t="s">
        <v>110</v>
      </c>
      <c r="D149" s="35">
        <v>2</v>
      </c>
      <c r="E149" s="194" t="s">
        <v>853</v>
      </c>
      <c r="F149" s="200">
        <v>1687810</v>
      </c>
    </row>
    <row r="150" spans="1:10">
      <c r="A150" s="32" t="s">
        <v>303</v>
      </c>
      <c r="B150" s="32" t="s">
        <v>110</v>
      </c>
      <c r="D150" s="35">
        <v>3</v>
      </c>
      <c r="E150" s="194" t="s">
        <v>959</v>
      </c>
      <c r="F150" s="200">
        <v>1568006</v>
      </c>
      <c r="J150" s="175" t="s">
        <v>620</v>
      </c>
    </row>
    <row r="151" spans="1:10">
      <c r="A151" s="32" t="s">
        <v>303</v>
      </c>
      <c r="B151" s="32" t="s">
        <v>110</v>
      </c>
      <c r="D151" s="35">
        <v>4</v>
      </c>
      <c r="E151" s="280" t="s">
        <v>1275</v>
      </c>
      <c r="F151" s="263">
        <v>1537825</v>
      </c>
    </row>
    <row r="152" spans="1:10">
      <c r="A152" s="32" t="s">
        <v>303</v>
      </c>
      <c r="B152" s="32" t="s">
        <v>110</v>
      </c>
      <c r="D152" s="35">
        <v>5</v>
      </c>
      <c r="E152" s="194" t="s">
        <v>960</v>
      </c>
      <c r="F152" s="200">
        <v>1370833</v>
      </c>
    </row>
    <row r="153" spans="1:10">
      <c r="A153" s="32" t="s">
        <v>303</v>
      </c>
      <c r="B153" s="32" t="s">
        <v>110</v>
      </c>
      <c r="D153" s="35">
        <v>6</v>
      </c>
      <c r="E153" s="194" t="s">
        <v>858</v>
      </c>
      <c r="F153" s="200">
        <v>1343559</v>
      </c>
    </row>
    <row r="154" spans="1:10">
      <c r="A154" s="32" t="s">
        <v>303</v>
      </c>
      <c r="B154" s="32" t="s">
        <v>110</v>
      </c>
      <c r="D154" s="35">
        <v>7</v>
      </c>
      <c r="E154" s="199" t="s">
        <v>854</v>
      </c>
      <c r="F154" s="200">
        <v>1338181</v>
      </c>
    </row>
    <row r="155" spans="1:10">
      <c r="A155" s="32" t="s">
        <v>303</v>
      </c>
      <c r="B155" s="32" t="s">
        <v>110</v>
      </c>
      <c r="D155" s="35">
        <v>8</v>
      </c>
      <c r="E155" s="194" t="s">
        <v>856</v>
      </c>
      <c r="F155" s="200">
        <v>1203185</v>
      </c>
    </row>
    <row r="156" spans="1:10">
      <c r="A156" s="32" t="s">
        <v>303</v>
      </c>
      <c r="B156" s="32" t="s">
        <v>110</v>
      </c>
      <c r="D156" s="35">
        <v>9</v>
      </c>
      <c r="E156" s="194" t="s">
        <v>857</v>
      </c>
      <c r="F156" s="200">
        <v>1152975</v>
      </c>
    </row>
    <row r="157" spans="1:10">
      <c r="A157" s="32" t="s">
        <v>303</v>
      </c>
      <c r="B157" s="32" t="s">
        <v>110</v>
      </c>
      <c r="D157" s="35">
        <v>10</v>
      </c>
      <c r="E157" s="194" t="s">
        <v>1276</v>
      </c>
      <c r="F157" s="200">
        <v>929000</v>
      </c>
    </row>
    <row r="158" spans="1:10">
      <c r="A158" s="32" t="s">
        <v>303</v>
      </c>
      <c r="B158" s="32" t="s">
        <v>110</v>
      </c>
      <c r="D158" s="35">
        <v>11</v>
      </c>
      <c r="E158" s="194" t="s">
        <v>1277</v>
      </c>
      <c r="F158" s="200">
        <v>769785</v>
      </c>
    </row>
    <row r="159" spans="1:10">
      <c r="A159" s="32" t="s">
        <v>303</v>
      </c>
      <c r="B159" s="32" t="s">
        <v>110</v>
      </c>
      <c r="D159" s="35">
        <v>12</v>
      </c>
      <c r="E159" s="194" t="s">
        <v>859</v>
      </c>
      <c r="F159" s="200">
        <v>700693</v>
      </c>
    </row>
    <row r="160" spans="1:10">
      <c r="A160" s="32" t="s">
        <v>303</v>
      </c>
      <c r="B160" s="32" t="s">
        <v>110</v>
      </c>
      <c r="D160" s="35">
        <v>13</v>
      </c>
      <c r="E160" s="194" t="s">
        <v>861</v>
      </c>
      <c r="F160" s="200">
        <v>627279</v>
      </c>
    </row>
    <row r="161" spans="1:20">
      <c r="A161" s="32" t="s">
        <v>303</v>
      </c>
      <c r="B161" s="32" t="s">
        <v>110</v>
      </c>
      <c r="D161" s="35">
        <v>14</v>
      </c>
      <c r="E161" s="194" t="s">
        <v>862</v>
      </c>
      <c r="F161" s="200">
        <v>606584</v>
      </c>
      <c r="I161" s="279"/>
    </row>
    <row r="162" spans="1:20">
      <c r="A162" s="32" t="s">
        <v>303</v>
      </c>
      <c r="B162" s="32" t="s">
        <v>110</v>
      </c>
      <c r="D162" s="35">
        <v>15</v>
      </c>
      <c r="E162" s="199" t="s">
        <v>864</v>
      </c>
      <c r="F162" s="200">
        <v>594193</v>
      </c>
      <c r="I162" s="279"/>
    </row>
    <row r="163" spans="1:20">
      <c r="A163" s="32" t="s">
        <v>303</v>
      </c>
      <c r="B163" s="32" t="s">
        <v>110</v>
      </c>
      <c r="D163" s="35">
        <v>16</v>
      </c>
      <c r="E163" s="280" t="s">
        <v>860</v>
      </c>
      <c r="F163" s="200">
        <v>593227</v>
      </c>
      <c r="I163" s="293"/>
      <c r="S163" s="96"/>
    </row>
    <row r="164" spans="1:20">
      <c r="A164" s="32" t="s">
        <v>303</v>
      </c>
      <c r="B164" s="32" t="s">
        <v>110</v>
      </c>
      <c r="D164" s="35">
        <v>17</v>
      </c>
      <c r="E164" s="194" t="s">
        <v>863</v>
      </c>
      <c r="F164" s="200">
        <v>560131</v>
      </c>
      <c r="I164" s="293"/>
    </row>
    <row r="165" spans="1:20">
      <c r="A165" s="32" t="s">
        <v>303</v>
      </c>
      <c r="B165" s="32" t="s">
        <v>110</v>
      </c>
      <c r="D165" s="35">
        <v>18</v>
      </c>
      <c r="E165" s="194" t="s">
        <v>865</v>
      </c>
      <c r="F165" s="200">
        <v>517641</v>
      </c>
      <c r="I165" s="279"/>
    </row>
    <row r="166" spans="1:20">
      <c r="A166" s="32" t="s">
        <v>303</v>
      </c>
      <c r="B166" s="32" t="s">
        <v>110</v>
      </c>
      <c r="D166" s="35">
        <v>19</v>
      </c>
      <c r="E166" s="199" t="s">
        <v>866</v>
      </c>
      <c r="F166" s="200">
        <v>436911</v>
      </c>
      <c r="I166" s="279"/>
      <c r="S166" s="96"/>
    </row>
    <row r="167" spans="1:20">
      <c r="A167" s="32" t="s">
        <v>303</v>
      </c>
      <c r="B167" s="32" t="s">
        <v>110</v>
      </c>
      <c r="D167" s="35">
        <v>20</v>
      </c>
      <c r="E167" s="194" t="s">
        <v>1279</v>
      </c>
      <c r="F167" s="200">
        <v>418644</v>
      </c>
      <c r="I167" s="293"/>
      <c r="S167" s="103" t="s">
        <v>1273</v>
      </c>
    </row>
    <row r="168" spans="1:20">
      <c r="A168" s="32" t="s">
        <v>303</v>
      </c>
      <c r="D168" s="35"/>
      <c r="F168" s="33"/>
      <c r="H168" s="36"/>
      <c r="I168" s="296"/>
      <c r="K168" s="36"/>
      <c r="L168" s="35"/>
      <c r="M168" s="37"/>
    </row>
    <row r="169" spans="1:20">
      <c r="A169" s="32" t="s">
        <v>303</v>
      </c>
      <c r="B169" s="32" t="s">
        <v>123</v>
      </c>
      <c r="D169" s="201" t="s">
        <v>1288</v>
      </c>
      <c r="F169" s="33"/>
      <c r="H169" s="36"/>
      <c r="I169" s="100"/>
      <c r="K169" s="36"/>
      <c r="L169" s="35"/>
      <c r="M169" s="37"/>
      <c r="S169" s="175"/>
      <c r="T169" s="175"/>
    </row>
    <row r="170" spans="1:20">
      <c r="A170" s="70" t="s">
        <v>304</v>
      </c>
      <c r="B170" s="70" t="s">
        <v>120</v>
      </c>
      <c r="C170" s="70"/>
      <c r="D170" s="205" t="s">
        <v>1283</v>
      </c>
      <c r="E170" s="95"/>
      <c r="F170" s="95"/>
      <c r="G170" s="95"/>
      <c r="H170" s="95"/>
      <c r="I170" s="70"/>
      <c r="J170" s="70"/>
      <c r="K170" s="70"/>
      <c r="L170" s="70"/>
      <c r="M170" s="70"/>
      <c r="N170" s="70"/>
      <c r="O170" s="70"/>
      <c r="P170" s="70"/>
      <c r="Q170" s="70"/>
      <c r="R170" s="70"/>
    </row>
    <row r="171" spans="1:20">
      <c r="A171" s="32" t="s">
        <v>304</v>
      </c>
      <c r="B171" s="32" t="s">
        <v>121</v>
      </c>
      <c r="D171" s="194" t="s">
        <v>1287</v>
      </c>
    </row>
    <row r="172" spans="1:20">
      <c r="A172" s="32" t="s">
        <v>304</v>
      </c>
    </row>
    <row r="173" spans="1:20">
      <c r="A173" s="32" t="s">
        <v>304</v>
      </c>
      <c r="B173" s="32" t="s">
        <v>110</v>
      </c>
      <c r="D173" s="32" t="s">
        <v>223</v>
      </c>
      <c r="E173" s="32" t="s">
        <v>293</v>
      </c>
      <c r="F173" s="32" t="s">
        <v>302</v>
      </c>
      <c r="G173" s="32" t="s">
        <v>298</v>
      </c>
    </row>
    <row r="174" spans="1:20">
      <c r="A174" s="32" t="s">
        <v>304</v>
      </c>
      <c r="B174" s="32" t="s">
        <v>110</v>
      </c>
      <c r="D174" s="35">
        <v>1</v>
      </c>
      <c r="E174" s="194" t="s">
        <v>678</v>
      </c>
      <c r="F174" s="200">
        <v>1476867</v>
      </c>
    </row>
    <row r="175" spans="1:20">
      <c r="A175" s="32" t="s">
        <v>304</v>
      </c>
      <c r="B175" s="32" t="s">
        <v>110</v>
      </c>
      <c r="D175" s="35">
        <v>2</v>
      </c>
      <c r="E175" s="280" t="s">
        <v>676</v>
      </c>
      <c r="F175" s="200">
        <v>1014331</v>
      </c>
    </row>
    <row r="176" spans="1:20">
      <c r="A176" s="32" t="s">
        <v>304</v>
      </c>
      <c r="B176" s="32" t="s">
        <v>110</v>
      </c>
      <c r="D176" s="35">
        <v>3</v>
      </c>
      <c r="E176" s="194" t="s">
        <v>677</v>
      </c>
      <c r="F176" s="200">
        <v>894220</v>
      </c>
    </row>
    <row r="177" spans="1:19">
      <c r="A177" s="32" t="s">
        <v>304</v>
      </c>
      <c r="B177" s="32" t="s">
        <v>110</v>
      </c>
      <c r="D177" s="35">
        <v>4</v>
      </c>
      <c r="E177" s="194" t="s">
        <v>301</v>
      </c>
      <c r="F177" s="200">
        <v>727991</v>
      </c>
    </row>
    <row r="178" spans="1:19">
      <c r="A178" s="32" t="s">
        <v>304</v>
      </c>
      <c r="B178" s="32" t="s">
        <v>110</v>
      </c>
      <c r="D178" s="35">
        <v>5</v>
      </c>
      <c r="E178" s="194" t="s">
        <v>1285</v>
      </c>
      <c r="F178" s="200">
        <v>654152</v>
      </c>
    </row>
    <row r="179" spans="1:19">
      <c r="A179" s="32" t="s">
        <v>304</v>
      </c>
      <c r="B179" s="32" t="s">
        <v>110</v>
      </c>
      <c r="D179" s="35">
        <v>6</v>
      </c>
      <c r="E179" s="280" t="s">
        <v>300</v>
      </c>
      <c r="F179" s="200">
        <v>629294</v>
      </c>
    </row>
    <row r="180" spans="1:19">
      <c r="A180" s="32" t="s">
        <v>304</v>
      </c>
      <c r="B180" s="32" t="s">
        <v>110</v>
      </c>
      <c r="D180" s="35">
        <v>7</v>
      </c>
      <c r="E180" s="199" t="s">
        <v>679</v>
      </c>
      <c r="F180" s="200">
        <v>612974</v>
      </c>
    </row>
    <row r="181" spans="1:19">
      <c r="A181" s="32" t="s">
        <v>304</v>
      </c>
      <c r="B181" s="32" t="s">
        <v>110</v>
      </c>
      <c r="D181" s="35">
        <v>8</v>
      </c>
      <c r="E181" s="194" t="s">
        <v>681</v>
      </c>
      <c r="F181" s="200">
        <v>511151</v>
      </c>
      <c r="I181" s="194"/>
    </row>
    <row r="182" spans="1:19">
      <c r="A182" s="32" t="s">
        <v>304</v>
      </c>
      <c r="B182" s="32" t="s">
        <v>110</v>
      </c>
      <c r="D182" s="35">
        <v>9</v>
      </c>
      <c r="E182" s="194" t="s">
        <v>680</v>
      </c>
      <c r="F182" s="200">
        <v>463862</v>
      </c>
    </row>
    <row r="183" spans="1:19">
      <c r="A183" s="32" t="s">
        <v>304</v>
      </c>
      <c r="B183" s="32" t="s">
        <v>110</v>
      </c>
      <c r="D183" s="35">
        <v>10</v>
      </c>
      <c r="E183" s="280" t="s">
        <v>682</v>
      </c>
      <c r="F183" s="200">
        <v>457869</v>
      </c>
    </row>
    <row r="184" spans="1:19">
      <c r="A184" s="32" t="s">
        <v>304</v>
      </c>
      <c r="B184" s="32" t="s">
        <v>110</v>
      </c>
      <c r="D184" s="35">
        <v>11</v>
      </c>
      <c r="E184" s="199" t="s">
        <v>349</v>
      </c>
      <c r="F184" s="200">
        <v>451232</v>
      </c>
    </row>
    <row r="185" spans="1:19">
      <c r="A185" s="32" t="s">
        <v>304</v>
      </c>
      <c r="B185" s="32" t="s">
        <v>110</v>
      </c>
      <c r="D185" s="35">
        <v>12</v>
      </c>
      <c r="E185" s="194" t="s">
        <v>351</v>
      </c>
      <c r="F185" s="200">
        <v>431391</v>
      </c>
    </row>
    <row r="186" spans="1:19">
      <c r="A186" s="32" t="s">
        <v>304</v>
      </c>
      <c r="B186" s="32" t="s">
        <v>110</v>
      </c>
      <c r="D186" s="35">
        <v>13</v>
      </c>
      <c r="E186" s="199" t="s">
        <v>353</v>
      </c>
      <c r="F186" s="200">
        <v>373581</v>
      </c>
    </row>
    <row r="187" spans="1:19">
      <c r="A187" s="32" t="s">
        <v>304</v>
      </c>
      <c r="B187" s="32" t="s">
        <v>110</v>
      </c>
      <c r="D187" s="35">
        <v>14</v>
      </c>
      <c r="E187" s="194" t="s">
        <v>683</v>
      </c>
      <c r="F187" s="200">
        <v>357557</v>
      </c>
    </row>
    <row r="188" spans="1:19">
      <c r="A188" s="32" t="s">
        <v>304</v>
      </c>
      <c r="B188" s="32" t="s">
        <v>110</v>
      </c>
      <c r="D188" s="35">
        <v>15</v>
      </c>
      <c r="E188" s="199" t="s">
        <v>352</v>
      </c>
      <c r="F188" s="200">
        <v>342709</v>
      </c>
    </row>
    <row r="189" spans="1:19">
      <c r="A189" s="32" t="s">
        <v>304</v>
      </c>
      <c r="B189" s="32" t="s">
        <v>110</v>
      </c>
      <c r="D189" s="35">
        <v>16</v>
      </c>
      <c r="E189" s="280" t="s">
        <v>684</v>
      </c>
      <c r="F189" s="200">
        <v>342541</v>
      </c>
    </row>
    <row r="190" spans="1:19">
      <c r="A190" s="32" t="s">
        <v>304</v>
      </c>
      <c r="B190" s="32" t="s">
        <v>110</v>
      </c>
      <c r="D190" s="35">
        <v>17</v>
      </c>
      <c r="E190" s="194" t="s">
        <v>704</v>
      </c>
      <c r="F190" s="200">
        <v>298783</v>
      </c>
    </row>
    <row r="191" spans="1:19">
      <c r="A191" s="32" t="s">
        <v>304</v>
      </c>
      <c r="B191" s="32" t="s">
        <v>110</v>
      </c>
      <c r="D191" s="35">
        <v>18</v>
      </c>
      <c r="E191" s="280" t="s">
        <v>910</v>
      </c>
      <c r="F191" s="200">
        <v>294628</v>
      </c>
    </row>
    <row r="192" spans="1:19">
      <c r="A192" s="32" t="s">
        <v>304</v>
      </c>
      <c r="B192" s="32" t="s">
        <v>110</v>
      </c>
      <c r="D192" s="35">
        <v>19</v>
      </c>
      <c r="E192" s="194" t="s">
        <v>350</v>
      </c>
      <c r="F192" s="200">
        <v>290025</v>
      </c>
      <c r="S192" s="194"/>
    </row>
    <row r="193" spans="1:21">
      <c r="A193" s="32" t="s">
        <v>304</v>
      </c>
      <c r="B193" s="32" t="s">
        <v>110</v>
      </c>
      <c r="D193" s="35">
        <v>20</v>
      </c>
      <c r="E193" s="194" t="s">
        <v>1286</v>
      </c>
      <c r="F193" s="200">
        <v>284872</v>
      </c>
    </row>
    <row r="194" spans="1:21">
      <c r="A194" s="32" t="s">
        <v>304</v>
      </c>
      <c r="D194" s="35"/>
      <c r="F194" s="33"/>
      <c r="H194" s="36"/>
      <c r="J194" s="37"/>
      <c r="K194" s="36"/>
      <c r="L194" s="35"/>
      <c r="M194" s="37"/>
    </row>
    <row r="195" spans="1:21">
      <c r="A195" s="32" t="s">
        <v>304</v>
      </c>
      <c r="B195" s="32" t="s">
        <v>123</v>
      </c>
      <c r="D195" s="194" t="s">
        <v>1270</v>
      </c>
      <c r="F195" s="33"/>
      <c r="H195" s="36"/>
      <c r="I195" s="100"/>
      <c r="J195" s="37"/>
      <c r="K195" s="36"/>
      <c r="L195" s="35"/>
      <c r="M195" s="37"/>
      <c r="T195" s="175"/>
    </row>
    <row r="196" spans="1:21" s="58" customFormat="1">
      <c r="A196" s="32" t="s">
        <v>304</v>
      </c>
    </row>
    <row r="197" spans="1:21">
      <c r="A197" s="70" t="s">
        <v>309</v>
      </c>
      <c r="B197" s="70" t="s">
        <v>119</v>
      </c>
      <c r="C197" s="70"/>
      <c r="D197" s="205" t="s">
        <v>1290</v>
      </c>
      <c r="E197" s="95"/>
      <c r="F197" s="95"/>
      <c r="G197" s="95"/>
      <c r="H197" s="70"/>
      <c r="I197" s="70"/>
      <c r="J197" s="70"/>
      <c r="K197" s="70"/>
      <c r="L197" s="70"/>
      <c r="M197" s="70"/>
      <c r="N197" s="70"/>
      <c r="O197" s="70"/>
      <c r="P197" s="70"/>
      <c r="Q197" s="70"/>
      <c r="R197" s="70"/>
    </row>
    <row r="198" spans="1:21">
      <c r="A198" s="32" t="s">
        <v>309</v>
      </c>
      <c r="B198" s="32" t="s">
        <v>121</v>
      </c>
      <c r="D198" s="194" t="s">
        <v>2211</v>
      </c>
    </row>
    <row r="199" spans="1:21">
      <c r="A199" s="32" t="s">
        <v>309</v>
      </c>
      <c r="B199" s="32" t="s">
        <v>121</v>
      </c>
      <c r="D199" s="194" t="s">
        <v>2209</v>
      </c>
      <c r="Q199" s="59"/>
      <c r="T199" s="32" t="s">
        <v>2210</v>
      </c>
    </row>
    <row r="200" spans="1:21">
      <c r="A200" s="32" t="s">
        <v>309</v>
      </c>
      <c r="O200" s="33"/>
      <c r="Q200" s="59"/>
      <c r="R200" s="34"/>
      <c r="S200" s="33">
        <v>82956000000</v>
      </c>
      <c r="T200" s="33">
        <f>S200*1156.4</f>
        <v>95930318400000</v>
      </c>
    </row>
    <row r="201" spans="1:21">
      <c r="A201" s="32" t="s">
        <v>309</v>
      </c>
      <c r="B201" s="32" t="s">
        <v>110</v>
      </c>
      <c r="D201" s="32" t="s">
        <v>205</v>
      </c>
      <c r="E201" s="32" t="s">
        <v>26</v>
      </c>
      <c r="F201" s="32" t="s">
        <v>243</v>
      </c>
      <c r="G201" s="32" t="s">
        <v>3</v>
      </c>
      <c r="H201" s="194" t="s">
        <v>166</v>
      </c>
      <c r="I201" s="194" t="s">
        <v>1289</v>
      </c>
      <c r="J201" s="32" t="s">
        <v>962</v>
      </c>
      <c r="O201" s="34"/>
    </row>
    <row r="202" spans="1:21">
      <c r="A202" s="32" t="s">
        <v>309</v>
      </c>
      <c r="B202" s="32" t="s">
        <v>110</v>
      </c>
      <c r="D202" s="32" t="s">
        <v>214</v>
      </c>
      <c r="E202" s="33">
        <v>58819.4</v>
      </c>
      <c r="F202" s="33">
        <v>65500</v>
      </c>
      <c r="G202" s="33">
        <v>71400</v>
      </c>
      <c r="H202" s="200">
        <v>79603</v>
      </c>
      <c r="I202" s="440">
        <v>82956</v>
      </c>
      <c r="J202" s="32" t="s">
        <v>195</v>
      </c>
    </row>
    <row r="203" spans="1:21">
      <c r="A203" s="32" t="s">
        <v>309</v>
      </c>
      <c r="B203" s="32" t="s">
        <v>110</v>
      </c>
      <c r="D203" s="32" t="s">
        <v>305</v>
      </c>
      <c r="E203" s="33">
        <v>869.1</v>
      </c>
      <c r="F203" s="33">
        <v>918.2</v>
      </c>
      <c r="G203" s="200">
        <v>871</v>
      </c>
      <c r="H203" s="200">
        <v>892.6</v>
      </c>
      <c r="I203" s="281">
        <v>893.2</v>
      </c>
      <c r="J203" s="32" t="s">
        <v>195</v>
      </c>
    </row>
    <row r="204" spans="1:21">
      <c r="A204" s="32" t="s">
        <v>309</v>
      </c>
      <c r="B204" s="32" t="s">
        <v>110</v>
      </c>
      <c r="D204" s="32" t="s">
        <v>209</v>
      </c>
      <c r="E204" s="33">
        <v>4200</v>
      </c>
      <c r="F204" s="33">
        <v>4090</v>
      </c>
      <c r="G204" s="33">
        <v>4337</v>
      </c>
      <c r="H204" s="44">
        <v>4463</v>
      </c>
      <c r="I204" s="440">
        <v>5437</v>
      </c>
      <c r="J204" s="32" t="s">
        <v>624</v>
      </c>
      <c r="S204" s="194" t="s">
        <v>2203</v>
      </c>
      <c r="T204" s="194" t="s">
        <v>2204</v>
      </c>
      <c r="U204" s="277" t="s">
        <v>2205</v>
      </c>
    </row>
    <row r="205" spans="1:21">
      <c r="A205" s="32" t="s">
        <v>309</v>
      </c>
      <c r="B205" s="32" t="s">
        <v>110</v>
      </c>
      <c r="D205" s="32" t="s">
        <v>306</v>
      </c>
      <c r="E205" s="33">
        <v>5800</v>
      </c>
      <c r="F205" s="33">
        <v>6500</v>
      </c>
      <c r="G205" s="33">
        <v>6200</v>
      </c>
      <c r="H205" s="44">
        <v>7370</v>
      </c>
      <c r="I205" s="440">
        <v>8466</v>
      </c>
      <c r="J205" s="32" t="s">
        <v>308</v>
      </c>
      <c r="S205" s="194" t="s">
        <v>2202</v>
      </c>
      <c r="T205" s="194" t="s">
        <v>2200</v>
      </c>
      <c r="U205" s="696" t="s">
        <v>2201</v>
      </c>
    </row>
    <row r="206" spans="1:21">
      <c r="A206" s="32" t="s">
        <v>309</v>
      </c>
      <c r="B206" s="32" t="s">
        <v>110</v>
      </c>
      <c r="D206" s="32" t="s">
        <v>307</v>
      </c>
      <c r="E206" s="33">
        <v>4451</v>
      </c>
      <c r="F206" s="32">
        <v>0</v>
      </c>
      <c r="G206" s="32">
        <v>0</v>
      </c>
      <c r="H206" s="44">
        <v>0</v>
      </c>
      <c r="I206" s="440">
        <v>4451</v>
      </c>
      <c r="J206" s="32" t="s">
        <v>308</v>
      </c>
      <c r="O206" s="103"/>
      <c r="S206" s="194" t="s">
        <v>2206</v>
      </c>
      <c r="T206" s="194" t="s">
        <v>2208</v>
      </c>
    </row>
    <row r="207" spans="1:21">
      <c r="A207" s="32" t="s">
        <v>309</v>
      </c>
      <c r="B207" s="32" t="s">
        <v>110</v>
      </c>
      <c r="D207" s="32" t="s">
        <v>210</v>
      </c>
      <c r="E207" s="33">
        <v>1457.7</v>
      </c>
      <c r="F207" s="33">
        <v>1351.6</v>
      </c>
      <c r="G207" s="33">
        <v>1465.3</v>
      </c>
      <c r="H207" s="44">
        <v>1404.7</v>
      </c>
      <c r="I207" s="281">
        <v>1339</v>
      </c>
      <c r="J207" s="32" t="s">
        <v>2199</v>
      </c>
    </row>
    <row r="208" spans="1:21">
      <c r="A208" s="32" t="s">
        <v>309</v>
      </c>
      <c r="B208" s="32" t="s">
        <v>110</v>
      </c>
      <c r="D208" s="32" t="s">
        <v>208</v>
      </c>
      <c r="E208" s="33">
        <v>12618</v>
      </c>
      <c r="F208" s="33">
        <v>13413</v>
      </c>
      <c r="G208" s="33">
        <v>13221</v>
      </c>
      <c r="H208" s="44">
        <v>16238</v>
      </c>
      <c r="I208" s="440">
        <v>18057</v>
      </c>
      <c r="J208" s="32" t="s">
        <v>286</v>
      </c>
      <c r="S208" s="194"/>
    </row>
    <row r="209" spans="1:20">
      <c r="A209" s="32" t="s">
        <v>309</v>
      </c>
      <c r="D209" s="35"/>
      <c r="E209" s="36"/>
      <c r="F209" s="35"/>
      <c r="G209" s="37"/>
      <c r="H209" s="36"/>
      <c r="I209" s="35"/>
      <c r="J209" s="37"/>
      <c r="K209" s="36"/>
      <c r="L209" s="35"/>
      <c r="M209" s="37"/>
    </row>
    <row r="210" spans="1:20">
      <c r="A210" s="32" t="s">
        <v>309</v>
      </c>
      <c r="B210" s="32" t="s">
        <v>123</v>
      </c>
      <c r="D210" s="194" t="s">
        <v>2207</v>
      </c>
      <c r="E210" s="36"/>
      <c r="F210" s="35"/>
      <c r="G210" s="37"/>
      <c r="H210" s="36"/>
      <c r="I210" s="35"/>
      <c r="J210" s="37"/>
      <c r="K210" s="36"/>
      <c r="L210" s="35"/>
      <c r="M210" s="37"/>
      <c r="T210" s="175"/>
    </row>
    <row r="211" spans="1:20" s="58" customFormat="1">
      <c r="A211" s="32" t="s">
        <v>309</v>
      </c>
    </row>
    <row r="212" spans="1:20">
      <c r="A212" s="70" t="s">
        <v>317</v>
      </c>
      <c r="B212" s="70" t="s">
        <v>119</v>
      </c>
      <c r="C212" s="70"/>
      <c r="D212" s="205" t="s">
        <v>1306</v>
      </c>
      <c r="E212" s="70"/>
      <c r="F212" s="70"/>
      <c r="G212" s="70"/>
      <c r="H212" s="70"/>
      <c r="I212" s="70"/>
      <c r="J212" s="70"/>
      <c r="K212" s="70"/>
      <c r="L212" s="70"/>
      <c r="M212" s="70"/>
      <c r="N212" s="70"/>
      <c r="O212" s="70"/>
      <c r="P212" s="70"/>
      <c r="Q212" s="70"/>
      <c r="R212" s="70"/>
    </row>
    <row r="213" spans="1:20">
      <c r="A213" s="32" t="s">
        <v>317</v>
      </c>
      <c r="B213" s="32" t="s">
        <v>121</v>
      </c>
      <c r="D213" s="194" t="s">
        <v>2181</v>
      </c>
    </row>
    <row r="214" spans="1:20">
      <c r="A214" s="32" t="s">
        <v>317</v>
      </c>
    </row>
    <row r="215" spans="1:20">
      <c r="A215" s="32" t="s">
        <v>317</v>
      </c>
      <c r="B215" s="32" t="s">
        <v>110</v>
      </c>
      <c r="D215" s="32" t="s">
        <v>830</v>
      </c>
      <c r="E215" s="32" t="s">
        <v>1295</v>
      </c>
      <c r="F215" s="32" t="s">
        <v>1296</v>
      </c>
      <c r="G215" s="32" t="s">
        <v>296</v>
      </c>
      <c r="H215" s="32" t="s">
        <v>961</v>
      </c>
    </row>
    <row r="216" spans="1:20">
      <c r="A216" s="32" t="s">
        <v>317</v>
      </c>
      <c r="B216" s="32" t="s">
        <v>110</v>
      </c>
      <c r="D216" s="194" t="s">
        <v>1305</v>
      </c>
      <c r="E216" s="194">
        <v>72.043000000000006</v>
      </c>
      <c r="F216" s="194">
        <v>13.829000000000001</v>
      </c>
      <c r="I216" s="207"/>
      <c r="P216" s="535" t="s">
        <v>310</v>
      </c>
      <c r="Q216" s="536">
        <v>72.043000000000006</v>
      </c>
      <c r="R216" s="536">
        <v>13.829000000000001</v>
      </c>
      <c r="T216" s="177"/>
    </row>
    <row r="217" spans="1:20">
      <c r="A217" s="32" t="s">
        <v>317</v>
      </c>
      <c r="B217" s="32" t="s">
        <v>110</v>
      </c>
      <c r="D217" s="194" t="s">
        <v>229</v>
      </c>
      <c r="E217" s="194">
        <v>49.292999999999999</v>
      </c>
      <c r="F217" s="194">
        <v>13.08</v>
      </c>
      <c r="P217" s="537" t="s">
        <v>911</v>
      </c>
      <c r="Q217" s="536">
        <v>49.292999999999999</v>
      </c>
      <c r="R217" s="536">
        <v>13.08</v>
      </c>
    </row>
    <row r="218" spans="1:20">
      <c r="A218" s="32" t="s">
        <v>317</v>
      </c>
      <c r="B218" s="32" t="s">
        <v>110</v>
      </c>
      <c r="D218" s="194" t="s">
        <v>311</v>
      </c>
      <c r="E218" s="194">
        <v>43.259</v>
      </c>
      <c r="F218" s="194">
        <v>12.244999999999999</v>
      </c>
      <c r="P218" s="535" t="s">
        <v>311</v>
      </c>
      <c r="Q218" s="536">
        <v>43.259</v>
      </c>
      <c r="R218" s="536">
        <v>12.244999999999999</v>
      </c>
    </row>
    <row r="219" spans="1:20">
      <c r="A219" s="32" t="s">
        <v>317</v>
      </c>
      <c r="B219" s="32" t="s">
        <v>110</v>
      </c>
      <c r="D219" s="194" t="s">
        <v>228</v>
      </c>
      <c r="E219" s="194">
        <v>49.820999999999998</v>
      </c>
      <c r="F219" s="194">
        <v>11.781000000000001</v>
      </c>
      <c r="P219" s="535" t="s">
        <v>228</v>
      </c>
      <c r="Q219" s="536">
        <v>49.820999999999998</v>
      </c>
      <c r="R219" s="536">
        <v>11.781000000000001</v>
      </c>
    </row>
    <row r="220" spans="1:20">
      <c r="A220" s="32" t="s">
        <v>317</v>
      </c>
      <c r="B220" s="32" t="s">
        <v>110</v>
      </c>
      <c r="D220" s="194" t="s">
        <v>1297</v>
      </c>
      <c r="E220" s="194">
        <v>45.668999999999997</v>
      </c>
      <c r="F220" s="194">
        <v>9.5310000000000006</v>
      </c>
      <c r="P220" s="537" t="s">
        <v>823</v>
      </c>
      <c r="Q220" s="536">
        <v>45.668999999999997</v>
      </c>
      <c r="R220" s="536">
        <v>9.5310000000000006</v>
      </c>
    </row>
    <row r="221" spans="1:20">
      <c r="A221" s="32" t="s">
        <v>317</v>
      </c>
      <c r="B221" s="32" t="s">
        <v>110</v>
      </c>
      <c r="D221" s="194" t="s">
        <v>230</v>
      </c>
      <c r="E221" s="194">
        <v>51.128</v>
      </c>
      <c r="F221" s="194">
        <v>9.0410000000000004</v>
      </c>
      <c r="P221" s="535" t="s">
        <v>230</v>
      </c>
      <c r="Q221" s="536">
        <v>51.128</v>
      </c>
      <c r="R221" s="536">
        <v>9.0410000000000004</v>
      </c>
    </row>
    <row r="222" spans="1:20">
      <c r="A222" s="32" t="s">
        <v>317</v>
      </c>
      <c r="B222" s="32" t="s">
        <v>110</v>
      </c>
      <c r="D222" s="194" t="s">
        <v>1298</v>
      </c>
      <c r="E222" s="194">
        <v>36.131</v>
      </c>
      <c r="F222" s="194">
        <v>7.9870000000000001</v>
      </c>
      <c r="P222" s="537" t="s">
        <v>825</v>
      </c>
      <c r="Q222" s="536">
        <v>36.131</v>
      </c>
      <c r="R222" s="536">
        <v>7.9870000000000001</v>
      </c>
    </row>
    <row r="223" spans="1:20">
      <c r="A223" s="32" t="s">
        <v>317</v>
      </c>
      <c r="B223" s="32" t="s">
        <v>110</v>
      </c>
      <c r="D223" s="194" t="s">
        <v>1299</v>
      </c>
      <c r="E223" s="194">
        <v>25.957999999999998</v>
      </c>
      <c r="F223" s="194">
        <v>7.0259999999999998</v>
      </c>
      <c r="P223" s="535" t="s">
        <v>826</v>
      </c>
      <c r="Q223" s="536">
        <v>25.957999999999998</v>
      </c>
      <c r="R223" s="536">
        <v>7.0259999999999998</v>
      </c>
    </row>
    <row r="224" spans="1:20">
      <c r="A224" s="32" t="s">
        <v>317</v>
      </c>
      <c r="B224" s="32" t="s">
        <v>110</v>
      </c>
      <c r="D224" s="194" t="s">
        <v>313</v>
      </c>
      <c r="E224" s="194">
        <v>33.442999999999998</v>
      </c>
      <c r="F224" s="194">
        <v>6.5730000000000004</v>
      </c>
      <c r="J224"/>
      <c r="P224" s="537" t="s">
        <v>313</v>
      </c>
      <c r="Q224" s="536">
        <v>33.442999999999998</v>
      </c>
      <c r="R224" s="536">
        <v>6.5730000000000004</v>
      </c>
    </row>
    <row r="225" spans="1:20" ht="17.25" customHeight="1">
      <c r="A225" s="32" t="s">
        <v>317</v>
      </c>
      <c r="B225" s="32" t="s">
        <v>110</v>
      </c>
      <c r="D225" s="194" t="s">
        <v>314</v>
      </c>
      <c r="E225" s="194">
        <v>55.040999999999997</v>
      </c>
      <c r="F225" s="194">
        <v>6.5179999999999998</v>
      </c>
      <c r="J225"/>
      <c r="P225" s="537" t="s">
        <v>314</v>
      </c>
      <c r="Q225" s="536">
        <v>55.040999999999997</v>
      </c>
      <c r="R225" s="536">
        <v>6.5179999999999998</v>
      </c>
    </row>
    <row r="226" spans="1:20" ht="17.25" customHeight="1">
      <c r="A226" s="32" t="s">
        <v>317</v>
      </c>
      <c r="B226" s="32" t="s">
        <v>110</v>
      </c>
      <c r="D226" s="194" t="s">
        <v>312</v>
      </c>
      <c r="E226" s="534">
        <v>38.933999999999997</v>
      </c>
      <c r="F226" s="534">
        <v>6.15</v>
      </c>
      <c r="J226"/>
      <c r="P226" s="537" t="s">
        <v>312</v>
      </c>
      <c r="Q226" s="536">
        <v>38.933999999999997</v>
      </c>
      <c r="R226" s="536">
        <v>6.15</v>
      </c>
    </row>
    <row r="227" spans="1:20" ht="17.25" customHeight="1">
      <c r="A227" s="32" t="s">
        <v>317</v>
      </c>
      <c r="B227" s="32" t="s">
        <v>110</v>
      </c>
      <c r="D227" s="194" t="s">
        <v>315</v>
      </c>
      <c r="E227" s="534">
        <v>27.004999999999999</v>
      </c>
      <c r="F227" s="534">
        <v>5.226</v>
      </c>
      <c r="J227" s="292"/>
      <c r="P227" s="537" t="s">
        <v>315</v>
      </c>
      <c r="Q227" s="536">
        <v>27.004999999999999</v>
      </c>
      <c r="R227" s="536">
        <v>5.226</v>
      </c>
    </row>
    <row r="228" spans="1:20" ht="17.25" customHeight="1">
      <c r="A228" s="32" t="s">
        <v>317</v>
      </c>
      <c r="B228" s="32" t="s">
        <v>110</v>
      </c>
      <c r="D228" s="194" t="s">
        <v>1004</v>
      </c>
      <c r="E228" s="534">
        <v>29.605</v>
      </c>
      <c r="F228" s="534">
        <v>4.6509999999999998</v>
      </c>
      <c r="P228" s="535" t="s">
        <v>824</v>
      </c>
      <c r="Q228" s="536">
        <v>29.605</v>
      </c>
      <c r="R228" s="536">
        <v>4.6509999999999998</v>
      </c>
    </row>
    <row r="229" spans="1:20" ht="17.25" customHeight="1">
      <c r="A229" s="32" t="s">
        <v>317</v>
      </c>
      <c r="B229" s="32" t="s">
        <v>110</v>
      </c>
      <c r="D229" s="194" t="s">
        <v>1005</v>
      </c>
      <c r="E229" s="534">
        <v>17.806000000000001</v>
      </c>
      <c r="F229" s="534">
        <v>4.3920000000000003</v>
      </c>
      <c r="P229" s="537" t="s">
        <v>829</v>
      </c>
      <c r="Q229" s="536">
        <v>17.806000000000001</v>
      </c>
      <c r="R229" s="536">
        <v>4.3920000000000003</v>
      </c>
    </row>
    <row r="230" spans="1:20">
      <c r="A230" s="32" t="s">
        <v>317</v>
      </c>
      <c r="B230" s="32" t="s">
        <v>110</v>
      </c>
      <c r="D230" s="194" t="s">
        <v>316</v>
      </c>
      <c r="E230" s="534">
        <v>23.957000000000001</v>
      </c>
      <c r="F230" s="534">
        <v>4.2960000000000003</v>
      </c>
      <c r="P230" s="535" t="s">
        <v>316</v>
      </c>
      <c r="Q230" s="536">
        <v>23.957000000000001</v>
      </c>
      <c r="R230" s="536">
        <v>4.2960000000000003</v>
      </c>
    </row>
    <row r="231" spans="1:20">
      <c r="A231" s="32" t="s">
        <v>317</v>
      </c>
      <c r="B231" s="32" t="s">
        <v>110</v>
      </c>
      <c r="D231" s="194" t="s">
        <v>1300</v>
      </c>
      <c r="E231" s="534">
        <v>20.119</v>
      </c>
      <c r="F231" s="534">
        <v>3.7160000000000002</v>
      </c>
      <c r="P231" s="535" t="s">
        <v>827</v>
      </c>
      <c r="Q231" s="536">
        <v>20.119</v>
      </c>
      <c r="R231" s="536">
        <v>3.7160000000000002</v>
      </c>
    </row>
    <row r="232" spans="1:20">
      <c r="A232" s="32" t="s">
        <v>317</v>
      </c>
      <c r="B232" s="32" t="s">
        <v>110</v>
      </c>
      <c r="D232" s="194" t="s">
        <v>1301</v>
      </c>
      <c r="E232" s="534">
        <v>12.117000000000001</v>
      </c>
      <c r="F232" s="534">
        <v>2.8639999999999999</v>
      </c>
      <c r="P232" s="536" t="s">
        <v>1293</v>
      </c>
      <c r="Q232" s="538">
        <v>12.117000000000001</v>
      </c>
      <c r="R232" s="539">
        <v>2.8639999999999999</v>
      </c>
    </row>
    <row r="233" spans="1:20">
      <c r="A233" s="32" t="s">
        <v>317</v>
      </c>
      <c r="B233" s="32" t="s">
        <v>110</v>
      </c>
      <c r="D233" s="194" t="s">
        <v>1302</v>
      </c>
      <c r="E233" s="534">
        <v>22.417000000000002</v>
      </c>
      <c r="F233" s="194">
        <v>2.83</v>
      </c>
      <c r="P233" s="537" t="s">
        <v>828</v>
      </c>
      <c r="Q233" s="536">
        <v>22.417000000000002</v>
      </c>
      <c r="R233" s="536">
        <v>2.83</v>
      </c>
    </row>
    <row r="234" spans="1:20">
      <c r="A234" s="32" t="s">
        <v>317</v>
      </c>
      <c r="B234" s="32" t="s">
        <v>110</v>
      </c>
      <c r="D234" s="204" t="s">
        <v>1303</v>
      </c>
      <c r="E234" s="534">
        <v>19.167000000000002</v>
      </c>
      <c r="F234" s="194">
        <v>1.8260000000000001</v>
      </c>
      <c r="P234" s="536" t="s">
        <v>1292</v>
      </c>
      <c r="Q234" s="536">
        <v>19.167000000000002</v>
      </c>
      <c r="R234" s="536">
        <v>1.8260000000000001</v>
      </c>
    </row>
    <row r="235" spans="1:20">
      <c r="A235" s="32" t="s">
        <v>317</v>
      </c>
      <c r="B235" s="32" t="s">
        <v>110</v>
      </c>
      <c r="D235" s="204" t="s">
        <v>1304</v>
      </c>
      <c r="E235" s="534">
        <v>17.507999999999999</v>
      </c>
      <c r="F235" s="194">
        <v>0.64200000000000002</v>
      </c>
      <c r="P235" s="540" t="s">
        <v>963</v>
      </c>
      <c r="Q235" s="536">
        <v>17.507999999999999</v>
      </c>
      <c r="R235" s="535">
        <v>0.64200000000000002</v>
      </c>
      <c r="S235" s="194"/>
    </row>
    <row r="236" spans="1:20">
      <c r="A236" s="32" t="s">
        <v>317</v>
      </c>
      <c r="D236" s="35"/>
      <c r="E236" s="36"/>
      <c r="F236" s="35"/>
      <c r="G236" s="37"/>
      <c r="H236" s="36"/>
      <c r="I236" s="35"/>
      <c r="J236" s="37"/>
      <c r="K236" s="36"/>
      <c r="P236" s="536"/>
      <c r="Q236" s="536"/>
      <c r="R236" s="536"/>
    </row>
    <row r="237" spans="1:20">
      <c r="A237" s="32" t="s">
        <v>317</v>
      </c>
      <c r="B237" s="32" t="s">
        <v>123</v>
      </c>
      <c r="D237" s="194" t="s">
        <v>1291</v>
      </c>
      <c r="E237" s="36"/>
      <c r="F237" s="35"/>
      <c r="G237" s="37"/>
      <c r="H237" s="36"/>
      <c r="I237" s="35"/>
      <c r="J237" s="37"/>
      <c r="K237" s="36"/>
      <c r="L237" s="35"/>
      <c r="M237" s="37"/>
      <c r="P237" s="103" t="s">
        <v>1294</v>
      </c>
      <c r="S237" s="175"/>
      <c r="T237" s="175"/>
    </row>
    <row r="238" spans="1:20" s="58" customFormat="1">
      <c r="A238" s="32" t="s">
        <v>317</v>
      </c>
    </row>
    <row r="239" spans="1:20">
      <c r="A239" s="70" t="s">
        <v>318</v>
      </c>
      <c r="B239" s="70" t="s">
        <v>119</v>
      </c>
      <c r="C239" s="70"/>
      <c r="D239" s="205" t="s">
        <v>1311</v>
      </c>
      <c r="E239" s="70"/>
      <c r="F239" s="70"/>
      <c r="G239" s="70"/>
      <c r="H239" s="70"/>
      <c r="I239" s="70"/>
      <c r="J239" s="70"/>
      <c r="K239" s="70"/>
      <c r="L239" s="70"/>
      <c r="M239" s="70"/>
      <c r="N239" s="70"/>
      <c r="O239" s="70"/>
      <c r="P239" s="70"/>
      <c r="Q239" s="70"/>
      <c r="R239" s="70"/>
    </row>
    <row r="240" spans="1:20">
      <c r="A240" s="32" t="s">
        <v>318</v>
      </c>
      <c r="B240" s="32" t="s">
        <v>121</v>
      </c>
      <c r="D240" s="194" t="s">
        <v>1315</v>
      </c>
    </row>
    <row r="241" spans="1:10">
      <c r="A241" s="32" t="s">
        <v>318</v>
      </c>
    </row>
    <row r="242" spans="1:10">
      <c r="A242" s="32" t="s">
        <v>318</v>
      </c>
      <c r="B242" s="32" t="s">
        <v>110</v>
      </c>
      <c r="D242" s="32" t="s">
        <v>223</v>
      </c>
      <c r="E242" s="32" t="s">
        <v>232</v>
      </c>
      <c r="F242" s="194" t="s">
        <v>1313</v>
      </c>
      <c r="G242" s="32" t="s">
        <v>1316</v>
      </c>
      <c r="H242" s="32" t="s">
        <v>1312</v>
      </c>
    </row>
    <row r="243" spans="1:10">
      <c r="A243" s="32" t="s">
        <v>318</v>
      </c>
      <c r="B243" s="32" t="s">
        <v>110</v>
      </c>
      <c r="D243" s="35">
        <v>1</v>
      </c>
      <c r="E243" s="280" t="s">
        <v>678</v>
      </c>
      <c r="F243" s="263">
        <v>4303.7299999999996</v>
      </c>
      <c r="G243" s="542">
        <v>22.5</v>
      </c>
    </row>
    <row r="244" spans="1:10">
      <c r="A244" s="32" t="s">
        <v>318</v>
      </c>
      <c r="B244" s="32" t="s">
        <v>110</v>
      </c>
      <c r="D244" s="35">
        <v>2</v>
      </c>
      <c r="E244" s="280" t="s">
        <v>679</v>
      </c>
      <c r="F244" s="263">
        <v>1782.59</v>
      </c>
      <c r="G244" s="542">
        <v>10.6</v>
      </c>
      <c r="J244" s="32" t="s">
        <v>1314</v>
      </c>
    </row>
    <row r="245" spans="1:10">
      <c r="A245" s="32" t="s">
        <v>318</v>
      </c>
      <c r="B245" s="32" t="s">
        <v>110</v>
      </c>
      <c r="D245" s="35">
        <v>3</v>
      </c>
      <c r="E245" s="280" t="s">
        <v>857</v>
      </c>
      <c r="F245" s="263">
        <v>1758.71</v>
      </c>
      <c r="G245" s="542">
        <v>16.7</v>
      </c>
    </row>
    <row r="246" spans="1:10">
      <c r="A246" s="32" t="s">
        <v>318</v>
      </c>
      <c r="B246" s="32" t="s">
        <v>110</v>
      </c>
      <c r="D246" s="35">
        <v>4</v>
      </c>
      <c r="E246" s="280" t="s">
        <v>1275</v>
      </c>
      <c r="F246" s="263">
        <v>1723.11</v>
      </c>
      <c r="G246" s="542">
        <v>11.2</v>
      </c>
    </row>
    <row r="247" spans="1:10">
      <c r="A247" s="32" t="s">
        <v>318</v>
      </c>
      <c r="B247" s="32" t="s">
        <v>110</v>
      </c>
      <c r="D247" s="35">
        <v>5</v>
      </c>
      <c r="E247" s="280" t="s">
        <v>677</v>
      </c>
      <c r="F247" s="263">
        <v>1634.65</v>
      </c>
      <c r="G247" s="542">
        <v>12.2</v>
      </c>
    </row>
    <row r="248" spans="1:10">
      <c r="A248" s="32" t="s">
        <v>318</v>
      </c>
      <c r="B248" s="32" t="s">
        <v>110</v>
      </c>
      <c r="D248" s="35">
        <v>6</v>
      </c>
      <c r="E248" s="280" t="s">
        <v>676</v>
      </c>
      <c r="F248" s="263">
        <v>1615.34</v>
      </c>
      <c r="G248" s="542">
        <v>13.4</v>
      </c>
    </row>
    <row r="249" spans="1:10">
      <c r="A249" s="32" t="s">
        <v>318</v>
      </c>
      <c r="B249" s="32" t="s">
        <v>110</v>
      </c>
      <c r="D249" s="35">
        <v>7</v>
      </c>
      <c r="E249" s="280" t="s">
        <v>352</v>
      </c>
      <c r="F249" s="263">
        <v>1081.6099999999999</v>
      </c>
      <c r="G249" s="542">
        <v>19.3</v>
      </c>
    </row>
    <row r="250" spans="1:10">
      <c r="A250" s="32" t="s">
        <v>318</v>
      </c>
      <c r="B250" s="32" t="s">
        <v>110</v>
      </c>
      <c r="D250" s="35">
        <v>8</v>
      </c>
      <c r="E250" s="280" t="s">
        <v>1276</v>
      </c>
      <c r="F250" s="263">
        <v>995.79</v>
      </c>
      <c r="G250" s="542">
        <v>10.7</v>
      </c>
    </row>
    <row r="251" spans="1:10">
      <c r="A251" s="32" t="s">
        <v>318</v>
      </c>
      <c r="B251" s="32" t="s">
        <v>110</v>
      </c>
      <c r="D251" s="35">
        <v>9</v>
      </c>
      <c r="E251" s="280" t="s">
        <v>680</v>
      </c>
      <c r="F251" s="263">
        <v>988.25</v>
      </c>
      <c r="G251" s="542">
        <v>16.7</v>
      </c>
    </row>
    <row r="252" spans="1:10">
      <c r="A252" s="32" t="s">
        <v>318</v>
      </c>
      <c r="B252" s="32" t="s">
        <v>110</v>
      </c>
      <c r="D252" s="35">
        <v>10</v>
      </c>
      <c r="E252" s="280" t="s">
        <v>1317</v>
      </c>
      <c r="F252" s="263">
        <v>919.07</v>
      </c>
      <c r="G252" s="542">
        <v>5.9</v>
      </c>
    </row>
    <row r="253" spans="1:10">
      <c r="A253" s="32" t="s">
        <v>318</v>
      </c>
      <c r="B253" s="32" t="s">
        <v>110</v>
      </c>
      <c r="D253" s="35">
        <v>11</v>
      </c>
      <c r="E253" s="280" t="s">
        <v>960</v>
      </c>
      <c r="F253" s="263">
        <v>755.39</v>
      </c>
      <c r="G253" s="542">
        <v>5.5</v>
      </c>
    </row>
    <row r="254" spans="1:10">
      <c r="A254" s="32" t="s">
        <v>318</v>
      </c>
      <c r="B254" s="32" t="s">
        <v>110</v>
      </c>
      <c r="D254" s="35">
        <v>12</v>
      </c>
      <c r="E254" s="280" t="s">
        <v>682</v>
      </c>
      <c r="F254" s="263">
        <v>512.6</v>
      </c>
      <c r="G254" s="542">
        <v>8.5</v>
      </c>
    </row>
    <row r="255" spans="1:10">
      <c r="A255" s="32" t="s">
        <v>318</v>
      </c>
      <c r="B255" s="32" t="s">
        <v>110</v>
      </c>
      <c r="D255" s="35">
        <v>13</v>
      </c>
      <c r="E255" s="280" t="s">
        <v>683</v>
      </c>
      <c r="F255" s="263">
        <v>391.45</v>
      </c>
      <c r="G255" s="542">
        <v>6.2</v>
      </c>
    </row>
    <row r="256" spans="1:10">
      <c r="A256" s="32" t="s">
        <v>318</v>
      </c>
      <c r="B256" s="32" t="s">
        <v>110</v>
      </c>
      <c r="D256" s="35">
        <v>14</v>
      </c>
      <c r="E256" s="280" t="s">
        <v>684</v>
      </c>
      <c r="F256" s="263">
        <v>390.09</v>
      </c>
      <c r="G256" s="542">
        <v>5.6</v>
      </c>
    </row>
    <row r="257" spans="1:20">
      <c r="A257" s="32" t="s">
        <v>318</v>
      </c>
      <c r="B257" s="32" t="s">
        <v>110</v>
      </c>
      <c r="D257" s="35">
        <v>15</v>
      </c>
      <c r="E257" s="280" t="s">
        <v>704</v>
      </c>
      <c r="F257" s="263">
        <v>319.77</v>
      </c>
      <c r="G257" s="542">
        <v>9</v>
      </c>
    </row>
    <row r="258" spans="1:20">
      <c r="A258" s="32" t="s">
        <v>318</v>
      </c>
      <c r="B258" s="32" t="s">
        <v>110</v>
      </c>
      <c r="D258" s="35">
        <v>16</v>
      </c>
      <c r="E258" s="280" t="s">
        <v>1318</v>
      </c>
      <c r="F258" s="263">
        <v>309.01</v>
      </c>
      <c r="G258" s="542">
        <v>7.1</v>
      </c>
    </row>
    <row r="259" spans="1:20">
      <c r="A259" s="32" t="s">
        <v>318</v>
      </c>
      <c r="B259" s="32" t="s">
        <v>110</v>
      </c>
      <c r="D259" s="35">
        <v>17</v>
      </c>
      <c r="E259" s="280" t="s">
        <v>350</v>
      </c>
      <c r="F259" s="263">
        <v>303.08999999999997</v>
      </c>
      <c r="G259" s="542">
        <v>12.1</v>
      </c>
    </row>
    <row r="260" spans="1:20">
      <c r="A260" s="32" t="s">
        <v>318</v>
      </c>
      <c r="B260" s="32" t="s">
        <v>110</v>
      </c>
      <c r="D260" s="35">
        <v>18</v>
      </c>
      <c r="E260" s="280" t="s">
        <v>1319</v>
      </c>
      <c r="F260" s="263">
        <v>302.94</v>
      </c>
      <c r="G260" s="542">
        <v>16</v>
      </c>
    </row>
    <row r="261" spans="1:20">
      <c r="A261" s="32" t="s">
        <v>318</v>
      </c>
      <c r="B261" s="32" t="s">
        <v>110</v>
      </c>
      <c r="D261" s="35">
        <v>19</v>
      </c>
      <c r="E261" s="280" t="s">
        <v>1320</v>
      </c>
      <c r="F261" s="263">
        <v>290.43</v>
      </c>
      <c r="G261" s="542">
        <v>11.8</v>
      </c>
    </row>
    <row r="262" spans="1:20">
      <c r="A262" s="32" t="s">
        <v>318</v>
      </c>
      <c r="B262" s="32" t="s">
        <v>110</v>
      </c>
      <c r="D262" s="35">
        <v>20</v>
      </c>
      <c r="E262" s="280" t="s">
        <v>1321</v>
      </c>
      <c r="F262" s="263">
        <v>288.14999999999998</v>
      </c>
      <c r="G262" s="542">
        <v>7.8</v>
      </c>
      <c r="S262" s="194"/>
    </row>
    <row r="263" spans="1:20">
      <c r="A263" s="32" t="s">
        <v>318</v>
      </c>
      <c r="D263" s="35"/>
      <c r="E263" s="36"/>
      <c r="F263" s="35"/>
      <c r="G263" s="37"/>
      <c r="H263" s="36"/>
      <c r="I263" s="35"/>
    </row>
    <row r="264" spans="1:20">
      <c r="A264" s="32" t="s">
        <v>318</v>
      </c>
      <c r="B264" s="32" t="s">
        <v>123</v>
      </c>
      <c r="D264" s="277" t="s">
        <v>1309</v>
      </c>
      <c r="E264" s="36"/>
      <c r="F264" s="35"/>
      <c r="G264" s="37"/>
      <c r="H264" s="36"/>
      <c r="I264" s="35"/>
      <c r="J264" s="37"/>
      <c r="P264" s="103" t="s">
        <v>1310</v>
      </c>
      <c r="S264" s="175"/>
      <c r="T264" s="175"/>
    </row>
    <row r="265" spans="1:20" s="58" customFormat="1">
      <c r="A265" s="32" t="s">
        <v>318</v>
      </c>
      <c r="D265" s="103"/>
    </row>
    <row r="266" spans="1:20" s="541" customFormat="1">
      <c r="A266" s="380" t="s">
        <v>322</v>
      </c>
      <c r="B266" s="380" t="s">
        <v>119</v>
      </c>
      <c r="C266" s="380"/>
      <c r="D266" s="278" t="s">
        <v>1322</v>
      </c>
      <c r="E266" s="380"/>
      <c r="F266" s="380"/>
      <c r="G266" s="380"/>
      <c r="H266" s="380"/>
      <c r="I266" s="380"/>
      <c r="J266" s="380"/>
      <c r="N266" s="380"/>
      <c r="O266" s="380"/>
      <c r="P266" s="380"/>
      <c r="Q266" s="380"/>
      <c r="R266" s="380"/>
    </row>
    <row r="267" spans="1:20">
      <c r="A267" s="32" t="s">
        <v>322</v>
      </c>
      <c r="B267" s="32" t="s">
        <v>121</v>
      </c>
      <c r="D267" s="194" t="s">
        <v>1326</v>
      </c>
    </row>
    <row r="268" spans="1:20">
      <c r="A268" s="32" t="s">
        <v>322</v>
      </c>
    </row>
    <row r="269" spans="1:20">
      <c r="A269" s="32" t="s">
        <v>322</v>
      </c>
      <c r="B269" s="32" t="s">
        <v>110</v>
      </c>
      <c r="D269" s="32" t="s">
        <v>194</v>
      </c>
      <c r="E269" s="32" t="s">
        <v>319</v>
      </c>
      <c r="F269" s="32" t="s">
        <v>320</v>
      </c>
      <c r="G269" s="32" t="s">
        <v>233</v>
      </c>
      <c r="H269" s="32" t="s">
        <v>321</v>
      </c>
    </row>
    <row r="270" spans="1:20">
      <c r="A270" s="32" t="s">
        <v>322</v>
      </c>
      <c r="B270" s="32" t="s">
        <v>110</v>
      </c>
      <c r="D270" s="35">
        <v>1</v>
      </c>
      <c r="E270" s="199" t="s">
        <v>964</v>
      </c>
      <c r="F270" s="199" t="s">
        <v>702</v>
      </c>
      <c r="G270" s="198">
        <v>28.6</v>
      </c>
      <c r="I270" s="35"/>
      <c r="J270" s="35"/>
    </row>
    <row r="271" spans="1:20">
      <c r="A271" s="32" t="s">
        <v>322</v>
      </c>
      <c r="B271" s="32" t="s">
        <v>110</v>
      </c>
      <c r="D271" s="35">
        <v>2</v>
      </c>
      <c r="E271" s="203" t="s">
        <v>966</v>
      </c>
      <c r="F271" s="203" t="s">
        <v>831</v>
      </c>
      <c r="G271" s="198">
        <v>17.3</v>
      </c>
      <c r="I271" s="35"/>
      <c r="J271" s="296"/>
      <c r="K271" s="279"/>
      <c r="L271" s="279"/>
    </row>
    <row r="272" spans="1:20">
      <c r="A272" s="32" t="s">
        <v>322</v>
      </c>
      <c r="B272" s="32" t="s">
        <v>110</v>
      </c>
      <c r="D272" s="35">
        <v>3</v>
      </c>
      <c r="E272" s="194" t="s">
        <v>967</v>
      </c>
      <c r="F272" s="194" t="s">
        <v>833</v>
      </c>
      <c r="G272" s="198">
        <v>14.6</v>
      </c>
      <c r="I272" s="35"/>
      <c r="J272" s="296"/>
      <c r="K272" s="293"/>
      <c r="L272" s="279"/>
    </row>
    <row r="273" spans="1:20">
      <c r="A273" s="32" t="s">
        <v>322</v>
      </c>
      <c r="B273" s="32" t="s">
        <v>110</v>
      </c>
      <c r="D273" s="35">
        <v>4</v>
      </c>
      <c r="E273" s="203" t="s">
        <v>968</v>
      </c>
      <c r="F273" s="203" t="s">
        <v>703</v>
      </c>
      <c r="G273" s="198">
        <v>11.5</v>
      </c>
      <c r="I273" s="35"/>
      <c r="J273" s="296"/>
      <c r="K273" s="279"/>
      <c r="L273" s="279"/>
    </row>
    <row r="274" spans="1:20">
      <c r="A274" s="32" t="s">
        <v>322</v>
      </c>
      <c r="B274" s="32" t="s">
        <v>110</v>
      </c>
      <c r="D274" s="35">
        <v>5</v>
      </c>
      <c r="E274" s="201" t="s">
        <v>970</v>
      </c>
      <c r="F274" s="201" t="s">
        <v>228</v>
      </c>
      <c r="G274" s="198">
        <v>10.9</v>
      </c>
      <c r="I274" s="35"/>
      <c r="J274" s="35"/>
      <c r="K274" s="293"/>
      <c r="L274" s="279"/>
    </row>
    <row r="275" spans="1:20">
      <c r="A275" s="32" t="s">
        <v>322</v>
      </c>
      <c r="B275" s="32" t="s">
        <v>110</v>
      </c>
      <c r="D275" s="35">
        <v>6</v>
      </c>
      <c r="E275" s="201" t="s">
        <v>965</v>
      </c>
      <c r="F275" s="201" t="s">
        <v>834</v>
      </c>
      <c r="G275" s="198">
        <v>10.3</v>
      </c>
      <c r="I275" s="35"/>
      <c r="J275" s="35"/>
      <c r="K275" s="279"/>
      <c r="L275" s="279"/>
    </row>
    <row r="276" spans="1:20">
      <c r="A276" s="32" t="s">
        <v>322</v>
      </c>
      <c r="B276" s="32" t="s">
        <v>110</v>
      </c>
      <c r="D276" s="35">
        <v>7</v>
      </c>
      <c r="E276" s="201" t="s">
        <v>972</v>
      </c>
      <c r="F276" s="201" t="s">
        <v>912</v>
      </c>
      <c r="G276" s="198">
        <v>9.9</v>
      </c>
      <c r="I276" s="35"/>
      <c r="J276" s="35"/>
      <c r="K276" s="293"/>
      <c r="L276" s="279"/>
    </row>
    <row r="277" spans="1:20">
      <c r="A277" s="32" t="s">
        <v>322</v>
      </c>
      <c r="B277" s="32" t="s">
        <v>110</v>
      </c>
      <c r="D277" s="35">
        <v>8</v>
      </c>
      <c r="E277" s="194" t="s">
        <v>1324</v>
      </c>
      <c r="F277" s="194" t="s">
        <v>1325</v>
      </c>
      <c r="G277" s="198">
        <v>9.1</v>
      </c>
      <c r="I277" s="35"/>
      <c r="J277" s="35"/>
      <c r="K277" s="293"/>
      <c r="L277" s="279"/>
    </row>
    <row r="278" spans="1:20">
      <c r="A278" s="32" t="s">
        <v>322</v>
      </c>
      <c r="B278" s="32" t="s">
        <v>110</v>
      </c>
      <c r="D278" s="35">
        <v>9</v>
      </c>
      <c r="E278" s="201" t="s">
        <v>969</v>
      </c>
      <c r="F278" s="201" t="s">
        <v>832</v>
      </c>
      <c r="G278" s="198">
        <v>9.1</v>
      </c>
      <c r="I278" s="35"/>
      <c r="J278" s="35"/>
      <c r="K278" s="293"/>
      <c r="L278" s="279"/>
    </row>
    <row r="279" spans="1:20">
      <c r="A279" s="32" t="s">
        <v>322</v>
      </c>
      <c r="B279" s="32" t="s">
        <v>110</v>
      </c>
      <c r="D279" s="35">
        <v>10</v>
      </c>
      <c r="E279" s="201" t="s">
        <v>971</v>
      </c>
      <c r="F279" s="201" t="s">
        <v>835</v>
      </c>
      <c r="G279" s="198">
        <v>8.1</v>
      </c>
      <c r="I279" s="35"/>
      <c r="J279" s="35"/>
      <c r="K279" s="293"/>
      <c r="L279" s="279"/>
      <c r="S279" s="194"/>
    </row>
    <row r="280" spans="1:20">
      <c r="A280" s="32" t="s">
        <v>322</v>
      </c>
      <c r="D280" s="35"/>
      <c r="E280" s="36"/>
      <c r="F280" s="35"/>
      <c r="G280" s="37"/>
      <c r="H280" s="36"/>
      <c r="I280" s="35"/>
      <c r="J280" s="279"/>
      <c r="K280" s="279"/>
      <c r="L280" s="279"/>
    </row>
    <row r="281" spans="1:20">
      <c r="A281" s="32" t="s">
        <v>322</v>
      </c>
      <c r="B281" s="32" t="s">
        <v>123</v>
      </c>
      <c r="D281" s="194" t="s">
        <v>1270</v>
      </c>
      <c r="E281" s="36"/>
      <c r="F281" s="35"/>
      <c r="G281" s="37"/>
      <c r="H281" s="36"/>
      <c r="I281" s="35"/>
      <c r="J281" s="294"/>
      <c r="K281" s="295"/>
      <c r="L281" s="296"/>
      <c r="M281" s="37"/>
      <c r="S281" s="175"/>
      <c r="T281" s="175"/>
    </row>
    <row r="282" spans="1:20" s="58" customFormat="1">
      <c r="A282" s="32" t="s">
        <v>322</v>
      </c>
    </row>
    <row r="283" spans="1:20">
      <c r="A283" s="70" t="s">
        <v>867</v>
      </c>
      <c r="B283" s="70" t="s">
        <v>119</v>
      </c>
      <c r="C283" s="70"/>
      <c r="D283" s="205" t="s">
        <v>2263</v>
      </c>
      <c r="E283" s="70"/>
      <c r="F283" s="70"/>
      <c r="G283" s="70"/>
      <c r="H283" s="70"/>
      <c r="I283" s="70"/>
      <c r="J283" s="70"/>
      <c r="K283" s="70"/>
      <c r="L283" s="70"/>
      <c r="M283" s="70"/>
      <c r="N283" s="70"/>
      <c r="O283" s="70"/>
      <c r="P283" s="70"/>
      <c r="Q283" s="70"/>
      <c r="R283" s="70"/>
    </row>
    <row r="284" spans="1:20">
      <c r="A284" s="32" t="s">
        <v>867</v>
      </c>
      <c r="B284" s="32" t="s">
        <v>121</v>
      </c>
      <c r="D284" s="194" t="s">
        <v>2292</v>
      </c>
      <c r="E284" s="9"/>
    </row>
    <row r="285" spans="1:20">
      <c r="A285" s="32" t="s">
        <v>867</v>
      </c>
    </row>
    <row r="286" spans="1:20">
      <c r="A286" s="32" t="s">
        <v>867</v>
      </c>
      <c r="B286" s="32" t="s">
        <v>110</v>
      </c>
      <c r="D286" s="32" t="s">
        <v>344</v>
      </c>
      <c r="E286" s="32" t="s">
        <v>345</v>
      </c>
      <c r="F286" s="32" t="s">
        <v>346</v>
      </c>
      <c r="G286" s="194" t="s">
        <v>707</v>
      </c>
      <c r="H286" s="194" t="s">
        <v>2267</v>
      </c>
      <c r="I286" s="32" t="s">
        <v>347</v>
      </c>
      <c r="J286" s="32" t="s">
        <v>348</v>
      </c>
    </row>
    <row r="287" spans="1:20">
      <c r="A287" s="32" t="s">
        <v>867</v>
      </c>
      <c r="B287" s="32" t="s">
        <v>110</v>
      </c>
      <c r="D287" s="201">
        <v>1</v>
      </c>
      <c r="E287" s="204" t="s">
        <v>2274</v>
      </c>
      <c r="F287" s="204" t="s">
        <v>2273</v>
      </c>
      <c r="G287" s="222">
        <v>0</v>
      </c>
      <c r="H287" s="221">
        <v>4561</v>
      </c>
      <c r="I287" s="204"/>
      <c r="J287" s="194"/>
      <c r="K287" s="327"/>
      <c r="L287" s="279"/>
      <c r="M287" s="279"/>
      <c r="N287" s="279"/>
    </row>
    <row r="288" spans="1:20">
      <c r="A288" s="32" t="s">
        <v>867</v>
      </c>
      <c r="B288" s="32" t="s">
        <v>110</v>
      </c>
      <c r="D288" s="201">
        <v>2</v>
      </c>
      <c r="E288" s="204" t="s">
        <v>2268</v>
      </c>
      <c r="F288" s="204" t="s">
        <v>2291</v>
      </c>
      <c r="G288" s="245">
        <v>0</v>
      </c>
      <c r="H288" s="221">
        <v>4055</v>
      </c>
      <c r="I288" s="245"/>
      <c r="J288" s="194"/>
      <c r="K288" s="328"/>
      <c r="L288" s="279"/>
      <c r="M288" s="279"/>
      <c r="N288" s="279"/>
    </row>
    <row r="289" spans="1:14">
      <c r="A289" s="32" t="s">
        <v>867</v>
      </c>
      <c r="B289" s="32" t="s">
        <v>110</v>
      </c>
      <c r="D289" s="201">
        <v>3</v>
      </c>
      <c r="E289" s="204" t="s">
        <v>2269</v>
      </c>
      <c r="F289" s="204" t="s">
        <v>838</v>
      </c>
      <c r="G289" s="245">
        <v>0</v>
      </c>
      <c r="H289" s="221">
        <v>1859</v>
      </c>
      <c r="I289" s="245"/>
      <c r="J289" s="194"/>
      <c r="K289" s="280"/>
      <c r="L289" s="279"/>
      <c r="M289" s="279"/>
      <c r="N289" s="279"/>
    </row>
    <row r="290" spans="1:14">
      <c r="A290" s="32" t="s">
        <v>867</v>
      </c>
      <c r="B290" s="32" t="s">
        <v>110</v>
      </c>
      <c r="D290" s="201">
        <v>4</v>
      </c>
      <c r="E290" s="204" t="s">
        <v>2270</v>
      </c>
      <c r="F290" s="204" t="s">
        <v>841</v>
      </c>
      <c r="G290" s="236">
        <v>829</v>
      </c>
      <c r="H290" s="236">
        <v>1527</v>
      </c>
      <c r="I290" s="245">
        <v>84.3</v>
      </c>
      <c r="J290" s="194"/>
      <c r="K290" s="280"/>
      <c r="L290" s="279"/>
      <c r="M290" s="279"/>
      <c r="N290" s="279"/>
    </row>
    <row r="291" spans="1:14">
      <c r="A291" s="32" t="s">
        <v>867</v>
      </c>
      <c r="B291" s="32" t="s">
        <v>110</v>
      </c>
      <c r="D291" s="201">
        <v>5</v>
      </c>
      <c r="E291" s="204" t="s">
        <v>837</v>
      </c>
      <c r="F291" s="204" t="s">
        <v>838</v>
      </c>
      <c r="G291" s="221">
        <v>1058</v>
      </c>
      <c r="H291" s="236">
        <v>1365</v>
      </c>
      <c r="I291" s="245">
        <v>28.9</v>
      </c>
      <c r="J291" s="194"/>
      <c r="K291" s="280"/>
      <c r="L291" s="279"/>
      <c r="M291" s="279"/>
      <c r="N291" s="279"/>
    </row>
    <row r="292" spans="1:14">
      <c r="A292" s="32" t="s">
        <v>867</v>
      </c>
      <c r="B292" s="32" t="s">
        <v>110</v>
      </c>
      <c r="D292" s="201">
        <v>6</v>
      </c>
      <c r="E292" s="204" t="s">
        <v>1010</v>
      </c>
      <c r="F292" s="204" t="s">
        <v>1015</v>
      </c>
      <c r="G292" s="221">
        <v>1227</v>
      </c>
      <c r="H292" s="236">
        <v>1277</v>
      </c>
      <c r="I292" s="245">
        <v>4.0999999999999996</v>
      </c>
      <c r="J292" s="194"/>
      <c r="K292" s="280"/>
      <c r="L292" s="279"/>
      <c r="M292" s="279"/>
      <c r="N292" s="279"/>
    </row>
    <row r="293" spans="1:14">
      <c r="A293" s="32" t="s">
        <v>867</v>
      </c>
      <c r="B293" s="32" t="s">
        <v>110</v>
      </c>
      <c r="D293" s="201">
        <v>7</v>
      </c>
      <c r="E293" s="204" t="s">
        <v>1011</v>
      </c>
      <c r="F293" s="204" t="s">
        <v>839</v>
      </c>
      <c r="G293" s="221">
        <v>1067</v>
      </c>
      <c r="H293" s="236">
        <v>1180</v>
      </c>
      <c r="I293" s="245">
        <v>10.6</v>
      </c>
      <c r="J293" s="194"/>
      <c r="K293" s="280"/>
      <c r="L293" s="279"/>
      <c r="M293" s="279"/>
      <c r="N293" s="279"/>
    </row>
    <row r="294" spans="1:14">
      <c r="A294" s="32" t="s">
        <v>867</v>
      </c>
      <c r="B294" s="32" t="s">
        <v>110</v>
      </c>
      <c r="D294" s="201">
        <v>8</v>
      </c>
      <c r="E294" s="204" t="s">
        <v>836</v>
      </c>
      <c r="F294" s="204" t="s">
        <v>2271</v>
      </c>
      <c r="G294" s="204">
        <v>961</v>
      </c>
      <c r="H294" s="236">
        <v>1176</v>
      </c>
      <c r="I294" s="245">
        <v>22.3</v>
      </c>
      <c r="J294" s="194"/>
      <c r="K294" s="280"/>
      <c r="L294" s="279"/>
      <c r="M294" s="279"/>
      <c r="N294" s="279"/>
    </row>
    <row r="295" spans="1:14">
      <c r="A295" s="32" t="s">
        <v>867</v>
      </c>
      <c r="B295" s="32" t="s">
        <v>110</v>
      </c>
      <c r="D295" s="201">
        <v>9</v>
      </c>
      <c r="E295" s="204" t="s">
        <v>840</v>
      </c>
      <c r="F295" s="204" t="s">
        <v>841</v>
      </c>
      <c r="G295" s="204">
        <v>834</v>
      </c>
      <c r="H295" s="245">
        <v>978</v>
      </c>
      <c r="I295" s="245">
        <v>17.3</v>
      </c>
      <c r="J295" s="194"/>
      <c r="K295" s="280"/>
      <c r="L295" s="279"/>
      <c r="M295" s="279"/>
      <c r="N295" s="279"/>
    </row>
    <row r="296" spans="1:14">
      <c r="A296" s="32" t="s">
        <v>867</v>
      </c>
      <c r="B296" s="32" t="s">
        <v>110</v>
      </c>
      <c r="D296" s="201">
        <v>10</v>
      </c>
      <c r="E296" s="204" t="s">
        <v>2272</v>
      </c>
      <c r="F296" s="204" t="s">
        <v>843</v>
      </c>
      <c r="G296" s="204">
        <v>472</v>
      </c>
      <c r="H296" s="245">
        <v>838</v>
      </c>
      <c r="I296" s="245">
        <v>77.7</v>
      </c>
      <c r="J296" s="194"/>
      <c r="K296" s="280"/>
      <c r="L296" s="279"/>
      <c r="M296" s="279"/>
      <c r="N296" s="279"/>
    </row>
    <row r="297" spans="1:14">
      <c r="A297" s="32" t="s">
        <v>867</v>
      </c>
      <c r="D297" s="201"/>
      <c r="E297" s="194"/>
      <c r="F297" s="194"/>
      <c r="G297" s="201"/>
      <c r="H297" s="201"/>
      <c r="I297" s="330"/>
      <c r="J297" s="704"/>
      <c r="K297" s="280"/>
      <c r="L297" s="279"/>
      <c r="M297" s="279"/>
      <c r="N297" s="279"/>
    </row>
    <row r="298" spans="1:14">
      <c r="A298" s="32" t="s">
        <v>867</v>
      </c>
      <c r="D298" s="310" t="s">
        <v>2281</v>
      </c>
      <c r="E298" s="301"/>
      <c r="F298" s="302"/>
      <c r="G298" s="306">
        <v>178457</v>
      </c>
      <c r="H298" s="306">
        <v>193759</v>
      </c>
      <c r="I298" s="703">
        <v>8.6</v>
      </c>
      <c r="J298" s="704"/>
      <c r="K298" s="280"/>
      <c r="L298" s="279"/>
      <c r="M298" s="279"/>
      <c r="N298" s="279"/>
    </row>
    <row r="299" spans="1:14">
      <c r="A299" s="32" t="s">
        <v>867</v>
      </c>
      <c r="D299" s="35"/>
      <c r="E299" s="245"/>
      <c r="F299" s="245"/>
      <c r="G299" s="245"/>
      <c r="H299" s="245"/>
      <c r="I299" s="326"/>
      <c r="K299" s="280"/>
      <c r="L299" s="279"/>
      <c r="M299" s="279"/>
      <c r="N299" s="279"/>
    </row>
    <row r="300" spans="1:14">
      <c r="A300" s="32" t="s">
        <v>867</v>
      </c>
      <c r="D300" s="35"/>
      <c r="E300" s="245"/>
      <c r="F300" s="245"/>
      <c r="G300" s="245"/>
      <c r="H300" s="245"/>
      <c r="I300" s="245"/>
      <c r="K300" s="280"/>
      <c r="L300" s="279"/>
      <c r="M300" s="279"/>
      <c r="N300" s="279"/>
    </row>
    <row r="301" spans="1:14">
      <c r="A301" s="32" t="s">
        <v>867</v>
      </c>
      <c r="D301" s="35"/>
      <c r="E301" s="245"/>
      <c r="F301" s="245"/>
      <c r="G301" s="245"/>
      <c r="H301" s="245"/>
      <c r="I301" s="245"/>
      <c r="K301" s="280"/>
      <c r="L301" s="279"/>
      <c r="M301" s="279"/>
      <c r="N301" s="279"/>
    </row>
    <row r="302" spans="1:14">
      <c r="A302" s="32" t="s">
        <v>867</v>
      </c>
      <c r="D302" s="35"/>
      <c r="E302" s="245"/>
      <c r="F302" s="245"/>
      <c r="G302" s="245"/>
      <c r="H302" s="245"/>
      <c r="I302" s="245"/>
      <c r="K302" s="280"/>
      <c r="L302" s="279"/>
      <c r="M302" s="279"/>
      <c r="N302" s="279"/>
    </row>
    <row r="303" spans="1:14">
      <c r="A303" s="32" t="s">
        <v>867</v>
      </c>
      <c r="D303" s="35"/>
      <c r="E303" s="245"/>
      <c r="F303" s="245"/>
      <c r="G303" s="245"/>
      <c r="H303" s="245"/>
      <c r="I303" s="245"/>
      <c r="K303" s="280"/>
      <c r="L303" s="279"/>
      <c r="M303" s="279"/>
      <c r="N303" s="279"/>
    </row>
    <row r="304" spans="1:14">
      <c r="A304" s="32" t="s">
        <v>867</v>
      </c>
      <c r="D304" s="35"/>
      <c r="E304" s="245"/>
      <c r="F304" s="245"/>
      <c r="G304" s="245"/>
      <c r="H304" s="245"/>
      <c r="I304" s="245"/>
      <c r="K304" s="280"/>
      <c r="L304" s="279"/>
      <c r="M304" s="279"/>
      <c r="N304" s="279"/>
    </row>
    <row r="305" spans="1:20">
      <c r="A305" s="32" t="s">
        <v>867</v>
      </c>
      <c r="D305" s="35"/>
      <c r="E305" s="245"/>
      <c r="F305" s="245"/>
      <c r="G305" s="245"/>
      <c r="H305" s="245"/>
      <c r="I305" s="245"/>
      <c r="K305" s="280"/>
      <c r="L305" s="279"/>
      <c r="M305" s="279"/>
      <c r="N305" s="103" t="s">
        <v>2260</v>
      </c>
      <c r="S305" s="194"/>
    </row>
    <row r="306" spans="1:20">
      <c r="A306" s="32" t="s">
        <v>867</v>
      </c>
      <c r="D306" s="35"/>
      <c r="E306" s="245"/>
      <c r="F306" s="245"/>
      <c r="G306" s="245"/>
      <c r="H306" s="245"/>
      <c r="I306" s="245"/>
      <c r="K306" s="204"/>
      <c r="L306" s="279"/>
      <c r="M306" s="279"/>
      <c r="N306" s="279" t="s">
        <v>2237</v>
      </c>
      <c r="S306" s="194"/>
    </row>
    <row r="307" spans="1:20">
      <c r="A307" s="32" t="s">
        <v>867</v>
      </c>
      <c r="D307" s="35"/>
      <c r="E307" s="36"/>
      <c r="F307" s="35"/>
      <c r="G307" s="37"/>
      <c r="H307" s="36"/>
      <c r="I307" s="35"/>
      <c r="J307" s="37"/>
      <c r="K307" s="36"/>
      <c r="L307" s="296"/>
      <c r="M307" s="294"/>
      <c r="N307" s="279"/>
    </row>
    <row r="308" spans="1:20">
      <c r="A308" s="32" t="s">
        <v>867</v>
      </c>
      <c r="B308" s="32" t="s">
        <v>123</v>
      </c>
      <c r="D308" s="194" t="s">
        <v>2262</v>
      </c>
      <c r="E308" s="36"/>
      <c r="F308" s="35"/>
      <c r="G308" s="37"/>
      <c r="H308" s="36"/>
      <c r="I308" s="35"/>
      <c r="J308" s="37"/>
      <c r="K308" s="36"/>
      <c r="L308" s="35"/>
      <c r="M308" s="37"/>
      <c r="S308" s="175"/>
      <c r="T308" s="175"/>
    </row>
    <row r="309" spans="1:20" s="58" customFormat="1">
      <c r="A309" s="32" t="s">
        <v>867</v>
      </c>
    </row>
    <row r="310" spans="1:20">
      <c r="A310" s="70" t="s">
        <v>327</v>
      </c>
      <c r="B310" s="70" t="s">
        <v>119</v>
      </c>
      <c r="C310" s="70"/>
      <c r="D310" s="205" t="s">
        <v>2275</v>
      </c>
      <c r="E310" s="70"/>
      <c r="F310" s="70"/>
      <c r="G310" s="70"/>
      <c r="H310" s="70"/>
      <c r="I310" s="70"/>
      <c r="J310" s="70"/>
      <c r="K310" s="70"/>
      <c r="L310" s="70"/>
      <c r="M310" s="70"/>
      <c r="N310" s="70"/>
      <c r="O310" s="70"/>
      <c r="P310" s="70"/>
      <c r="Q310" s="70"/>
      <c r="R310" s="70"/>
    </row>
    <row r="311" spans="1:20">
      <c r="A311" s="32" t="s">
        <v>327</v>
      </c>
      <c r="B311" s="32" t="s">
        <v>121</v>
      </c>
      <c r="D311" s="194" t="s">
        <v>2284</v>
      </c>
    </row>
    <row r="312" spans="1:20">
      <c r="A312" s="32" t="s">
        <v>327</v>
      </c>
    </row>
    <row r="313" spans="1:20">
      <c r="A313" s="32" t="s">
        <v>327</v>
      </c>
      <c r="B313" s="32" t="s">
        <v>110</v>
      </c>
      <c r="D313" s="32" t="s">
        <v>344</v>
      </c>
      <c r="E313" s="32" t="s">
        <v>345</v>
      </c>
      <c r="F313" s="32" t="s">
        <v>346</v>
      </c>
      <c r="G313" s="194" t="s">
        <v>707</v>
      </c>
      <c r="H313" s="194" t="s">
        <v>2267</v>
      </c>
      <c r="I313" s="32" t="s">
        <v>347</v>
      </c>
      <c r="J313" s="32" t="s">
        <v>222</v>
      </c>
    </row>
    <row r="314" spans="1:20">
      <c r="A314" s="32" t="s">
        <v>327</v>
      </c>
      <c r="B314" s="32" t="s">
        <v>110</v>
      </c>
      <c r="D314" s="35">
        <v>1</v>
      </c>
      <c r="E314" s="240" t="s">
        <v>2283</v>
      </c>
      <c r="F314" s="240" t="s">
        <v>2282</v>
      </c>
      <c r="G314" s="240">
        <v>485</v>
      </c>
      <c r="H314" s="240">
        <v>568</v>
      </c>
      <c r="I314" s="705">
        <v>17</v>
      </c>
      <c r="K314" s="293"/>
      <c r="M314" s="279"/>
    </row>
    <row r="315" spans="1:20">
      <c r="A315" s="32" t="s">
        <v>327</v>
      </c>
      <c r="B315" s="32" t="s">
        <v>110</v>
      </c>
      <c r="D315" s="35">
        <v>2</v>
      </c>
      <c r="E315" s="240" t="s">
        <v>844</v>
      </c>
      <c r="F315" s="240" t="s">
        <v>484</v>
      </c>
      <c r="G315" s="240">
        <v>526</v>
      </c>
      <c r="H315" s="240">
        <v>557</v>
      </c>
      <c r="I315" s="705">
        <v>5.9</v>
      </c>
      <c r="K315" s="293"/>
      <c r="M315" s="279"/>
      <c r="N315" s="279"/>
    </row>
    <row r="316" spans="1:20">
      <c r="A316" s="32" t="s">
        <v>327</v>
      </c>
      <c r="B316" s="32" t="s">
        <v>110</v>
      </c>
      <c r="D316" s="35">
        <v>3</v>
      </c>
      <c r="E316" s="240" t="s">
        <v>2276</v>
      </c>
      <c r="F316" s="240" t="s">
        <v>1013</v>
      </c>
      <c r="G316" s="240">
        <v>355</v>
      </c>
      <c r="H316" s="240">
        <v>398</v>
      </c>
      <c r="I316" s="705">
        <v>12.1</v>
      </c>
      <c r="K316" s="293"/>
      <c r="M316" s="279"/>
    </row>
    <row r="317" spans="1:20">
      <c r="A317" s="32" t="s">
        <v>327</v>
      </c>
      <c r="B317" s="32" t="s">
        <v>110</v>
      </c>
      <c r="D317" s="35">
        <v>4</v>
      </c>
      <c r="E317" s="240" t="s">
        <v>1014</v>
      </c>
      <c r="F317" s="240" t="s">
        <v>843</v>
      </c>
      <c r="G317" s="240">
        <v>332</v>
      </c>
      <c r="H317" s="240">
        <v>353</v>
      </c>
      <c r="I317" s="705">
        <v>6.3</v>
      </c>
      <c r="K317" s="203"/>
      <c r="M317" s="279"/>
    </row>
    <row r="318" spans="1:20">
      <c r="A318" s="32" t="s">
        <v>327</v>
      </c>
      <c r="B318" s="32" t="s">
        <v>110</v>
      </c>
      <c r="D318" s="35">
        <v>5</v>
      </c>
      <c r="E318" s="240" t="s">
        <v>2277</v>
      </c>
      <c r="F318" s="240" t="s">
        <v>1012</v>
      </c>
      <c r="G318" s="240">
        <v>375</v>
      </c>
      <c r="H318" s="240">
        <v>321</v>
      </c>
      <c r="I318" s="705">
        <v>-14.5</v>
      </c>
      <c r="K318" s="293"/>
      <c r="M318" s="279"/>
    </row>
    <row r="319" spans="1:20">
      <c r="A319" s="32" t="s">
        <v>327</v>
      </c>
      <c r="B319" s="32" t="s">
        <v>110</v>
      </c>
      <c r="D319" s="35">
        <v>6</v>
      </c>
      <c r="E319" s="240" t="s">
        <v>845</v>
      </c>
      <c r="F319" s="240" t="s">
        <v>503</v>
      </c>
      <c r="G319" s="240">
        <v>449</v>
      </c>
      <c r="H319" s="240">
        <v>320</v>
      </c>
      <c r="I319" s="705">
        <v>-28.6</v>
      </c>
      <c r="K319" s="194"/>
      <c r="M319" s="279"/>
      <c r="N319" s="279"/>
    </row>
    <row r="320" spans="1:20">
      <c r="A320" s="32" t="s">
        <v>327</v>
      </c>
      <c r="B320" s="32" t="s">
        <v>110</v>
      </c>
      <c r="D320" s="35">
        <v>7</v>
      </c>
      <c r="E320" s="240" t="s">
        <v>846</v>
      </c>
      <c r="F320" s="240" t="s">
        <v>848</v>
      </c>
      <c r="G320" s="240">
        <v>358</v>
      </c>
      <c r="H320" s="240">
        <v>303</v>
      </c>
      <c r="I320" s="705">
        <v>-15.5</v>
      </c>
      <c r="K320" s="293"/>
      <c r="M320" s="279"/>
    </row>
    <row r="321" spans="1:20">
      <c r="A321" s="32" t="s">
        <v>327</v>
      </c>
      <c r="B321" s="32" t="s">
        <v>110</v>
      </c>
      <c r="D321" s="35">
        <v>8</v>
      </c>
      <c r="E321" s="240" t="s">
        <v>847</v>
      </c>
      <c r="F321" s="240" t="s">
        <v>484</v>
      </c>
      <c r="G321" s="240">
        <v>313</v>
      </c>
      <c r="H321" s="240">
        <v>298</v>
      </c>
      <c r="I321" s="705">
        <v>-4.8</v>
      </c>
      <c r="K321" s="293"/>
      <c r="M321" s="279"/>
    </row>
    <row r="322" spans="1:20">
      <c r="A322" s="32" t="s">
        <v>327</v>
      </c>
      <c r="B322" s="32" t="s">
        <v>110</v>
      </c>
      <c r="D322" s="35">
        <v>9</v>
      </c>
      <c r="E322" s="240" t="s">
        <v>2278</v>
      </c>
      <c r="F322" s="240" t="s">
        <v>484</v>
      </c>
      <c r="G322" s="240">
        <v>286</v>
      </c>
      <c r="H322" s="240">
        <v>296</v>
      </c>
      <c r="I322" s="240">
        <v>3.6</v>
      </c>
      <c r="K322" s="293"/>
      <c r="M322" s="279"/>
    </row>
    <row r="323" spans="1:20">
      <c r="A323" s="32" t="s">
        <v>327</v>
      </c>
      <c r="B323" s="32" t="s">
        <v>110</v>
      </c>
      <c r="D323" s="35">
        <v>10</v>
      </c>
      <c r="E323" s="240" t="s">
        <v>2279</v>
      </c>
      <c r="F323" s="240" t="s">
        <v>430</v>
      </c>
      <c r="G323" s="240">
        <v>307</v>
      </c>
      <c r="H323" s="240">
        <v>295</v>
      </c>
      <c r="I323" s="705">
        <v>-4</v>
      </c>
      <c r="K323" s="203"/>
      <c r="M323" s="279"/>
    </row>
    <row r="324" spans="1:20">
      <c r="A324" s="32" t="s">
        <v>327</v>
      </c>
      <c r="D324" s="35"/>
      <c r="E324" s="194"/>
      <c r="F324" s="194"/>
      <c r="G324" s="201"/>
      <c r="H324" s="201"/>
      <c r="I324" s="330"/>
      <c r="K324" s="194"/>
      <c r="M324" s="279"/>
      <c r="N324" s="279"/>
    </row>
    <row r="325" spans="1:20">
      <c r="A325" s="32" t="s">
        <v>327</v>
      </c>
      <c r="D325" s="706" t="s">
        <v>2280</v>
      </c>
      <c r="E325" s="301"/>
      <c r="F325" s="302"/>
      <c r="G325" s="201">
        <v>31779</v>
      </c>
      <c r="H325" s="201">
        <v>30692</v>
      </c>
      <c r="I325" s="330">
        <v>-3.4</v>
      </c>
      <c r="J325" s="102"/>
      <c r="K325" s="293"/>
      <c r="M325" s="279"/>
      <c r="N325" s="279"/>
    </row>
    <row r="326" spans="1:20">
      <c r="A326" s="32" t="s">
        <v>327</v>
      </c>
      <c r="D326" s="35"/>
      <c r="E326" s="194"/>
      <c r="F326" s="194"/>
      <c r="G326" s="201"/>
      <c r="H326" s="201"/>
      <c r="I326" s="330"/>
      <c r="K326" s="293"/>
      <c r="M326" s="279"/>
    </row>
    <row r="327" spans="1:20">
      <c r="A327" s="32" t="s">
        <v>327</v>
      </c>
      <c r="D327" s="35"/>
      <c r="E327" s="194"/>
      <c r="F327" s="194"/>
      <c r="G327" s="201"/>
      <c r="H327" s="201"/>
      <c r="I327" s="330"/>
      <c r="K327" s="293"/>
      <c r="M327" s="279"/>
    </row>
    <row r="328" spans="1:20">
      <c r="A328" s="32" t="s">
        <v>327</v>
      </c>
      <c r="D328" s="35"/>
      <c r="E328" s="194"/>
      <c r="F328" s="194"/>
      <c r="G328" s="201"/>
      <c r="H328" s="201"/>
      <c r="I328" s="330"/>
      <c r="K328" s="293"/>
      <c r="M328" s="279"/>
    </row>
    <row r="329" spans="1:20">
      <c r="A329" s="32" t="s">
        <v>327</v>
      </c>
      <c r="D329" s="35"/>
      <c r="E329" s="203"/>
      <c r="F329" s="203"/>
      <c r="G329" s="201"/>
      <c r="H329" s="201"/>
      <c r="I329" s="330"/>
      <c r="K329" s="293"/>
      <c r="M329" s="279"/>
    </row>
    <row r="330" spans="1:20">
      <c r="A330" s="32" t="s">
        <v>327</v>
      </c>
      <c r="D330" s="35"/>
      <c r="E330" s="194"/>
      <c r="F330" s="194"/>
      <c r="G330" s="201"/>
      <c r="H330" s="201"/>
      <c r="I330" s="330"/>
      <c r="K330" s="293"/>
      <c r="M330" s="279"/>
    </row>
    <row r="331" spans="1:20">
      <c r="A331" s="32" t="s">
        <v>327</v>
      </c>
      <c r="D331" s="35"/>
      <c r="E331" s="194"/>
      <c r="F331" s="194"/>
      <c r="G331" s="201"/>
      <c r="H331" s="201"/>
      <c r="I331" s="330"/>
      <c r="K331" s="293"/>
      <c r="M331" s="279"/>
    </row>
    <row r="332" spans="1:20">
      <c r="A332" s="32" t="s">
        <v>327</v>
      </c>
      <c r="D332" s="35"/>
      <c r="E332" s="194"/>
      <c r="F332" s="194"/>
      <c r="G332" s="201"/>
      <c r="H332" s="201"/>
      <c r="I332" s="330"/>
      <c r="K332" s="199"/>
      <c r="M332" s="279"/>
      <c r="N332" s="279"/>
    </row>
    <row r="333" spans="1:20">
      <c r="A333" s="32" t="s">
        <v>327</v>
      </c>
      <c r="D333" s="35"/>
      <c r="E333" s="194"/>
      <c r="F333" s="194"/>
      <c r="G333" s="201"/>
      <c r="H333" s="201"/>
      <c r="I333" s="330"/>
      <c r="K333" s="293"/>
      <c r="M333" s="279"/>
    </row>
    <row r="334" spans="1:20">
      <c r="A334" s="32" t="s">
        <v>327</v>
      </c>
      <c r="D334" s="35"/>
      <c r="E334" s="36"/>
      <c r="F334" s="35"/>
      <c r="G334" s="37"/>
      <c r="H334" s="36"/>
      <c r="I334" s="35"/>
      <c r="J334" s="37"/>
      <c r="K334" s="36"/>
      <c r="L334" s="35"/>
      <c r="M334" s="294"/>
      <c r="N334" s="279"/>
    </row>
    <row r="335" spans="1:20">
      <c r="A335" s="32" t="s">
        <v>327</v>
      </c>
      <c r="B335" s="32" t="s">
        <v>123</v>
      </c>
      <c r="D335" s="194" t="s">
        <v>2262</v>
      </c>
      <c r="E335" s="36"/>
      <c r="F335" s="35"/>
      <c r="G335" s="37"/>
      <c r="H335" s="36"/>
      <c r="I335" s="35"/>
      <c r="J335" s="37"/>
      <c r="K335" s="36"/>
      <c r="L335" s="35"/>
      <c r="M335" s="37"/>
      <c r="S335" s="175"/>
      <c r="T335" s="175"/>
    </row>
    <row r="336" spans="1:20" s="58" customFormat="1">
      <c r="A336" s="58" t="s">
        <v>327</v>
      </c>
    </row>
    <row r="337" spans="1:18">
      <c r="A337" s="70" t="s">
        <v>328</v>
      </c>
      <c r="B337" s="70" t="s">
        <v>119</v>
      </c>
      <c r="C337" s="70"/>
      <c r="D337" s="205" t="s">
        <v>2285</v>
      </c>
      <c r="E337" s="70"/>
      <c r="F337" s="70"/>
      <c r="G337" s="70"/>
      <c r="H337" s="70"/>
      <c r="I337" s="70"/>
      <c r="J337" s="70"/>
      <c r="K337" s="70"/>
      <c r="L337" s="70"/>
      <c r="M337" s="70"/>
      <c r="N337" s="70"/>
      <c r="O337" s="70"/>
      <c r="P337" s="70"/>
      <c r="Q337" s="70"/>
      <c r="R337" s="70"/>
    </row>
    <row r="338" spans="1:18">
      <c r="A338" s="32" t="s">
        <v>328</v>
      </c>
      <c r="B338" s="32" t="s">
        <v>121</v>
      </c>
      <c r="D338" s="194" t="s">
        <v>2295</v>
      </c>
    </row>
    <row r="339" spans="1:18">
      <c r="A339" s="32" t="s">
        <v>328</v>
      </c>
    </row>
    <row r="340" spans="1:18">
      <c r="A340" s="32" t="s">
        <v>328</v>
      </c>
      <c r="B340" s="32" t="s">
        <v>110</v>
      </c>
      <c r="D340" s="32" t="s">
        <v>344</v>
      </c>
      <c r="E340" s="32" t="s">
        <v>345</v>
      </c>
      <c r="F340" s="32" t="s">
        <v>346</v>
      </c>
      <c r="G340" s="194" t="s">
        <v>707</v>
      </c>
      <c r="H340" s="194" t="s">
        <v>2267</v>
      </c>
      <c r="I340" s="32" t="s">
        <v>354</v>
      </c>
      <c r="J340" s="32" t="s">
        <v>348</v>
      </c>
    </row>
    <row r="341" spans="1:18">
      <c r="A341" s="32" t="s">
        <v>328</v>
      </c>
      <c r="B341" s="32" t="s">
        <v>110</v>
      </c>
      <c r="D341" s="35">
        <v>1</v>
      </c>
      <c r="E341" s="240" t="s">
        <v>2289</v>
      </c>
      <c r="F341" s="240" t="s">
        <v>2287</v>
      </c>
      <c r="G341" s="240" t="s">
        <v>1716</v>
      </c>
      <c r="H341" s="236">
        <v>4561</v>
      </c>
      <c r="I341" s="240" t="s">
        <v>849</v>
      </c>
      <c r="J341" s="327"/>
      <c r="K341" s="194"/>
      <c r="M341" s="279"/>
      <c r="N341" s="279"/>
      <c r="O341" s="102"/>
      <c r="P341" s="102"/>
    </row>
    <row r="342" spans="1:18">
      <c r="A342" s="32" t="s">
        <v>328</v>
      </c>
      <c r="B342" s="32" t="s">
        <v>110</v>
      </c>
      <c r="D342" s="35">
        <v>2</v>
      </c>
      <c r="E342" s="240" t="s">
        <v>2290</v>
      </c>
      <c r="F342" s="240" t="s">
        <v>2288</v>
      </c>
      <c r="G342" s="240" t="s">
        <v>1716</v>
      </c>
      <c r="H342" s="236">
        <v>4055</v>
      </c>
      <c r="I342" s="240" t="s">
        <v>849</v>
      </c>
      <c r="J342" s="280"/>
      <c r="K342" s="194"/>
      <c r="M342" s="279"/>
      <c r="N342" s="102"/>
      <c r="O342" s="102"/>
      <c r="P342" s="102"/>
    </row>
    <row r="343" spans="1:18">
      <c r="A343" s="32" t="s">
        <v>328</v>
      </c>
      <c r="B343" s="32" t="s">
        <v>110</v>
      </c>
      <c r="D343" s="35">
        <v>3</v>
      </c>
      <c r="E343" s="240" t="s">
        <v>2294</v>
      </c>
      <c r="F343" s="240" t="s">
        <v>2293</v>
      </c>
      <c r="G343" s="240" t="s">
        <v>1716</v>
      </c>
      <c r="H343" s="236">
        <v>1859</v>
      </c>
      <c r="I343" s="240" t="s">
        <v>849</v>
      </c>
      <c r="J343" s="280"/>
      <c r="K343" s="194"/>
      <c r="M343" s="279"/>
      <c r="N343" s="102"/>
      <c r="O343" s="102"/>
      <c r="P343" s="102"/>
    </row>
    <row r="344" spans="1:18">
      <c r="A344" s="32" t="s">
        <v>328</v>
      </c>
      <c r="B344" s="32" t="s">
        <v>110</v>
      </c>
      <c r="D344" s="35">
        <v>4</v>
      </c>
      <c r="E344" s="240" t="s">
        <v>2286</v>
      </c>
      <c r="F344" s="240" t="s">
        <v>841</v>
      </c>
      <c r="G344" s="240">
        <v>829</v>
      </c>
      <c r="H344" s="236">
        <v>1527</v>
      </c>
      <c r="I344" s="240" t="s">
        <v>849</v>
      </c>
      <c r="J344" s="280"/>
      <c r="K344" s="194"/>
      <c r="M344" s="279"/>
      <c r="N344" s="102"/>
      <c r="O344" s="102"/>
      <c r="P344" s="102"/>
    </row>
    <row r="345" spans="1:18">
      <c r="A345" s="32" t="s">
        <v>328</v>
      </c>
      <c r="B345" s="32" t="s">
        <v>110</v>
      </c>
      <c r="D345" s="35">
        <v>5</v>
      </c>
      <c r="E345" s="240" t="s">
        <v>837</v>
      </c>
      <c r="F345" s="240" t="s">
        <v>838</v>
      </c>
      <c r="G345" s="236">
        <v>1058</v>
      </c>
      <c r="H345" s="236">
        <v>1365</v>
      </c>
      <c r="I345" s="240" t="s">
        <v>849</v>
      </c>
      <c r="J345" s="280"/>
      <c r="K345" s="194"/>
      <c r="M345" s="279"/>
      <c r="N345" s="279"/>
      <c r="O345" s="102"/>
      <c r="P345" s="102"/>
    </row>
    <row r="346" spans="1:18">
      <c r="A346" s="32" t="s">
        <v>328</v>
      </c>
      <c r="B346" s="32" t="s">
        <v>110</v>
      </c>
      <c r="D346" s="35">
        <v>6</v>
      </c>
      <c r="E346" s="240" t="s">
        <v>1010</v>
      </c>
      <c r="F346" s="240" t="s">
        <v>1015</v>
      </c>
      <c r="G346" s="236">
        <v>1227</v>
      </c>
      <c r="H346" s="236">
        <v>1277</v>
      </c>
      <c r="I346" s="240" t="s">
        <v>849</v>
      </c>
      <c r="J346" s="280"/>
      <c r="K346" s="194"/>
      <c r="M346" s="279"/>
      <c r="N346" s="102"/>
      <c r="O346" s="102"/>
      <c r="P346" s="102"/>
    </row>
    <row r="347" spans="1:18">
      <c r="A347" s="32" t="s">
        <v>328</v>
      </c>
      <c r="B347" s="32" t="s">
        <v>110</v>
      </c>
      <c r="D347" s="35">
        <v>7</v>
      </c>
      <c r="E347" s="240" t="s">
        <v>1011</v>
      </c>
      <c r="F347" s="240" t="s">
        <v>839</v>
      </c>
      <c r="G347" s="236">
        <v>1067</v>
      </c>
      <c r="H347" s="236">
        <v>1180</v>
      </c>
      <c r="I347" s="240" t="s">
        <v>849</v>
      </c>
      <c r="J347" s="280"/>
      <c r="K347" s="194"/>
      <c r="M347" s="279"/>
      <c r="N347" s="279"/>
      <c r="O347" s="102"/>
      <c r="P347" s="102"/>
    </row>
    <row r="348" spans="1:18">
      <c r="A348" s="32" t="s">
        <v>328</v>
      </c>
      <c r="B348" s="32" t="s">
        <v>110</v>
      </c>
      <c r="D348" s="35">
        <v>8</v>
      </c>
      <c r="E348" s="240" t="s">
        <v>836</v>
      </c>
      <c r="F348" s="240" t="s">
        <v>842</v>
      </c>
      <c r="G348" s="240">
        <v>961</v>
      </c>
      <c r="H348" s="236">
        <v>1176</v>
      </c>
      <c r="I348" s="240" t="s">
        <v>849</v>
      </c>
      <c r="J348" s="280"/>
      <c r="K348" s="194"/>
      <c r="M348" s="279"/>
      <c r="N348" s="102"/>
      <c r="O348" s="102"/>
      <c r="P348" s="102"/>
    </row>
    <row r="349" spans="1:18">
      <c r="A349" s="32" t="s">
        <v>328</v>
      </c>
      <c r="B349" s="32" t="s">
        <v>110</v>
      </c>
      <c r="D349" s="35">
        <v>9</v>
      </c>
      <c r="E349" s="240" t="s">
        <v>840</v>
      </c>
      <c r="F349" s="240" t="s">
        <v>841</v>
      </c>
      <c r="G349" s="240">
        <v>834</v>
      </c>
      <c r="H349" s="240">
        <v>978</v>
      </c>
      <c r="I349" s="240" t="s">
        <v>849</v>
      </c>
      <c r="J349" s="280"/>
      <c r="K349" s="194"/>
      <c r="M349" s="279"/>
      <c r="N349" s="279"/>
      <c r="O349" s="102"/>
      <c r="P349" s="102"/>
    </row>
    <row r="350" spans="1:18">
      <c r="A350" s="32" t="s">
        <v>328</v>
      </c>
      <c r="B350" s="32" t="s">
        <v>110</v>
      </c>
      <c r="D350" s="35">
        <v>10</v>
      </c>
      <c r="E350" s="240" t="s">
        <v>2272</v>
      </c>
      <c r="F350" s="240" t="s">
        <v>843</v>
      </c>
      <c r="G350" s="240">
        <v>472</v>
      </c>
      <c r="H350" s="240">
        <v>838</v>
      </c>
      <c r="I350" s="240" t="s">
        <v>849</v>
      </c>
      <c r="J350" s="280"/>
      <c r="K350" s="194"/>
      <c r="M350" s="279"/>
      <c r="N350" s="279"/>
      <c r="O350" s="102"/>
      <c r="P350" s="102"/>
    </row>
    <row r="351" spans="1:18">
      <c r="A351" s="32" t="s">
        <v>328</v>
      </c>
      <c r="B351" s="32" t="s">
        <v>110</v>
      </c>
      <c r="D351" s="35"/>
      <c r="E351" s="240"/>
      <c r="F351" s="240"/>
      <c r="G351" s="240"/>
      <c r="H351" s="240"/>
      <c r="I351" s="240"/>
      <c r="J351" s="280"/>
      <c r="K351" s="194"/>
      <c r="M351" s="279"/>
      <c r="N351" s="102"/>
      <c r="O351" s="102"/>
      <c r="P351" s="102"/>
    </row>
    <row r="352" spans="1:18">
      <c r="A352" s="32" t="s">
        <v>328</v>
      </c>
      <c r="D352" s="35"/>
      <c r="E352" s="240"/>
      <c r="F352" s="240"/>
      <c r="G352" s="240"/>
      <c r="H352" s="240"/>
      <c r="I352" s="240"/>
      <c r="J352" s="194"/>
      <c r="K352" s="194"/>
      <c r="M352" s="279"/>
      <c r="N352" s="279"/>
      <c r="O352" s="102"/>
      <c r="P352" s="102"/>
    </row>
    <row r="353" spans="1:20">
      <c r="A353" s="32" t="s">
        <v>328</v>
      </c>
      <c r="D353" s="35"/>
      <c r="E353" s="240"/>
      <c r="F353" s="240"/>
      <c r="G353" s="240"/>
      <c r="H353" s="240"/>
      <c r="I353" s="240"/>
      <c r="J353" s="280"/>
      <c r="K353" s="194"/>
      <c r="M353" s="279"/>
      <c r="N353" s="279"/>
      <c r="O353" s="102"/>
      <c r="P353" s="102"/>
    </row>
    <row r="354" spans="1:20">
      <c r="A354" s="32" t="s">
        <v>328</v>
      </c>
      <c r="D354" s="35"/>
      <c r="E354" s="240"/>
      <c r="F354" s="240"/>
      <c r="G354" s="240"/>
      <c r="H354" s="240"/>
      <c r="I354" s="240"/>
      <c r="J354" s="280"/>
      <c r="K354" s="194"/>
      <c r="M354" s="279"/>
      <c r="N354" s="279"/>
      <c r="O354" s="102"/>
      <c r="P354" s="102"/>
    </row>
    <row r="355" spans="1:20">
      <c r="A355" s="32" t="s">
        <v>328</v>
      </c>
      <c r="D355" s="35"/>
      <c r="E355" s="240"/>
      <c r="F355" s="240"/>
      <c r="G355" s="240"/>
      <c r="H355" s="240"/>
      <c r="I355" s="240"/>
      <c r="J355" s="280"/>
      <c r="K355" s="194"/>
      <c r="M355" s="279"/>
      <c r="N355" s="102"/>
      <c r="O355" s="102"/>
      <c r="P355" s="102"/>
    </row>
    <row r="356" spans="1:20">
      <c r="A356" s="32" t="s">
        <v>328</v>
      </c>
      <c r="D356" s="35"/>
      <c r="E356" s="240"/>
      <c r="F356" s="240"/>
      <c r="G356" s="240"/>
      <c r="H356" s="240"/>
      <c r="I356" s="240"/>
      <c r="J356" s="280"/>
      <c r="K356" s="194"/>
      <c r="M356" s="279"/>
      <c r="N356" s="279"/>
      <c r="O356" s="102"/>
      <c r="P356" s="102"/>
    </row>
    <row r="357" spans="1:20">
      <c r="A357" s="32" t="s">
        <v>328</v>
      </c>
      <c r="D357" s="35"/>
      <c r="E357" s="240"/>
      <c r="F357" s="240"/>
      <c r="G357" s="240"/>
      <c r="H357" s="240"/>
      <c r="I357" s="240"/>
      <c r="J357" s="280"/>
      <c r="K357" s="194"/>
      <c r="M357" s="279"/>
      <c r="N357" s="102"/>
      <c r="O357" s="102"/>
      <c r="P357" s="102"/>
    </row>
    <row r="358" spans="1:20">
      <c r="A358" s="32" t="s">
        <v>328</v>
      </c>
      <c r="D358" s="35"/>
      <c r="E358" s="240"/>
      <c r="F358" s="240"/>
      <c r="G358" s="240"/>
      <c r="H358" s="240"/>
      <c r="I358" s="240"/>
      <c r="J358" s="280"/>
      <c r="K358" s="194"/>
      <c r="M358" s="279"/>
      <c r="N358" s="279"/>
      <c r="O358" s="102"/>
      <c r="P358" s="102"/>
    </row>
    <row r="359" spans="1:20">
      <c r="A359" s="32" t="s">
        <v>328</v>
      </c>
      <c r="D359" s="35"/>
      <c r="E359" s="240"/>
      <c r="F359" s="240"/>
      <c r="G359" s="240"/>
      <c r="H359" s="240"/>
      <c r="I359" s="240"/>
      <c r="J359" s="280"/>
      <c r="K359" s="194"/>
      <c r="M359" s="279"/>
      <c r="N359" s="279"/>
      <c r="O359" s="102"/>
      <c r="P359" s="102"/>
      <c r="S359" s="194"/>
    </row>
    <row r="360" spans="1:20">
      <c r="A360" s="32" t="s">
        <v>328</v>
      </c>
      <c r="D360" s="35"/>
      <c r="E360" s="240"/>
      <c r="F360" s="240"/>
      <c r="G360" s="240"/>
      <c r="H360" s="240"/>
      <c r="I360" s="240"/>
      <c r="J360" s="331"/>
      <c r="K360" s="194"/>
      <c r="M360" s="279"/>
      <c r="N360" s="279"/>
      <c r="O360" s="102"/>
      <c r="P360" s="102"/>
      <c r="S360" s="194"/>
    </row>
    <row r="361" spans="1:20">
      <c r="A361" s="32" t="s">
        <v>328</v>
      </c>
      <c r="D361" s="35"/>
      <c r="E361" s="36"/>
      <c r="F361" s="35"/>
      <c r="G361" s="37"/>
      <c r="H361" s="36"/>
      <c r="I361" s="35"/>
      <c r="J361" s="37"/>
      <c r="K361" s="36"/>
      <c r="L361" s="35"/>
      <c r="M361" s="329"/>
      <c r="N361" s="102"/>
      <c r="O361" s="102"/>
      <c r="P361" s="102"/>
    </row>
    <row r="362" spans="1:20">
      <c r="A362" s="32" t="s">
        <v>328</v>
      </c>
      <c r="B362" s="32" t="s">
        <v>123</v>
      </c>
      <c r="D362" s="194" t="s">
        <v>2262</v>
      </c>
      <c r="E362" s="36"/>
      <c r="F362" s="35"/>
      <c r="G362" s="37"/>
      <c r="H362" s="36"/>
      <c r="I362" s="35"/>
      <c r="J362" s="37"/>
      <c r="K362" s="36"/>
      <c r="L362" s="35"/>
      <c r="M362" s="329"/>
      <c r="N362" s="102"/>
      <c r="O362" s="102"/>
      <c r="P362" s="102"/>
      <c r="S362" s="175"/>
      <c r="T362" s="175"/>
    </row>
    <row r="363" spans="1:20" s="58" customFormat="1">
      <c r="A363" s="58" t="s">
        <v>328</v>
      </c>
    </row>
    <row r="364" spans="1:20">
      <c r="A364" s="70" t="s">
        <v>329</v>
      </c>
      <c r="B364" s="70" t="s">
        <v>119</v>
      </c>
      <c r="C364" s="70"/>
      <c r="D364" s="205" t="s">
        <v>979</v>
      </c>
      <c r="E364" s="70"/>
      <c r="F364" s="70"/>
      <c r="G364" s="70"/>
      <c r="H364" s="205"/>
      <c r="I364" s="70"/>
      <c r="J364" s="70"/>
      <c r="K364" s="70"/>
      <c r="L364" s="70"/>
      <c r="M364" s="70"/>
      <c r="N364" s="70"/>
      <c r="O364" s="70"/>
      <c r="P364" s="70"/>
      <c r="Q364" s="70"/>
      <c r="R364" s="70"/>
    </row>
    <row r="365" spans="1:20">
      <c r="A365" s="32" t="s">
        <v>329</v>
      </c>
      <c r="B365" s="32" t="s">
        <v>121</v>
      </c>
      <c r="D365" s="9" t="s">
        <v>1333</v>
      </c>
    </row>
    <row r="366" spans="1:20">
      <c r="A366" s="32" t="s">
        <v>329</v>
      </c>
      <c r="B366" s="32" t="s">
        <v>121</v>
      </c>
      <c r="D366" s="9" t="s">
        <v>323</v>
      </c>
    </row>
    <row r="367" spans="1:20">
      <c r="A367" s="32" t="s">
        <v>329</v>
      </c>
    </row>
    <row r="368" spans="1:20">
      <c r="A368" s="32" t="s">
        <v>329</v>
      </c>
      <c r="B368" s="32" t="s">
        <v>110</v>
      </c>
      <c r="D368" s="32" t="s">
        <v>355</v>
      </c>
      <c r="E368" s="32" t="s">
        <v>356</v>
      </c>
      <c r="F368" s="32" t="s">
        <v>357</v>
      </c>
      <c r="G368" s="32" t="s">
        <v>362</v>
      </c>
      <c r="H368" s="32" t="s">
        <v>363</v>
      </c>
      <c r="I368" s="32" t="s">
        <v>364</v>
      </c>
      <c r="J368" s="32" t="s">
        <v>358</v>
      </c>
      <c r="L368" s="194" t="s">
        <v>1329</v>
      </c>
      <c r="M368" s="9"/>
    </row>
    <row r="369" spans="1:20">
      <c r="A369" s="32" t="s">
        <v>329</v>
      </c>
      <c r="B369" s="32" t="s">
        <v>110</v>
      </c>
      <c r="D369" s="32" t="s">
        <v>359</v>
      </c>
      <c r="E369" s="32" t="s">
        <v>361</v>
      </c>
      <c r="F369" s="32" t="s">
        <v>369</v>
      </c>
      <c r="G369" s="35">
        <v>9</v>
      </c>
      <c r="H369" s="35">
        <v>5</v>
      </c>
      <c r="I369" s="35">
        <v>2</v>
      </c>
      <c r="J369" s="35">
        <v>1</v>
      </c>
      <c r="L369" s="543" t="s">
        <v>974</v>
      </c>
      <c r="M369" s="544">
        <v>0.52</v>
      </c>
    </row>
    <row r="370" spans="1:20">
      <c r="A370" s="32" t="s">
        <v>329</v>
      </c>
      <c r="B370" s="32" t="s">
        <v>110</v>
      </c>
      <c r="D370" s="32" t="s">
        <v>360</v>
      </c>
      <c r="E370" s="32" t="s">
        <v>365</v>
      </c>
      <c r="F370" s="32" t="s">
        <v>366</v>
      </c>
      <c r="G370" s="32" t="s">
        <v>367</v>
      </c>
      <c r="J370" s="32" t="s">
        <v>368</v>
      </c>
      <c r="L370" s="543" t="s">
        <v>975</v>
      </c>
      <c r="M370" s="545">
        <v>0.28899999999999998</v>
      </c>
    </row>
    <row r="371" spans="1:20">
      <c r="A371" s="32" t="s">
        <v>329</v>
      </c>
      <c r="E371" s="37"/>
      <c r="F371" s="37"/>
      <c r="G371" s="37"/>
      <c r="H371" s="37"/>
      <c r="I371" s="37"/>
      <c r="J371" s="37"/>
      <c r="L371" s="543" t="s">
        <v>976</v>
      </c>
      <c r="M371" s="546">
        <v>0.57799999999999996</v>
      </c>
    </row>
    <row r="372" spans="1:20">
      <c r="A372" s="32" t="s">
        <v>329</v>
      </c>
      <c r="E372" s="36"/>
      <c r="F372" s="35"/>
      <c r="G372" s="37"/>
      <c r="H372" s="36"/>
      <c r="I372" s="35"/>
      <c r="J372" s="37"/>
      <c r="K372" s="36"/>
      <c r="L372" s="543" t="s">
        <v>977</v>
      </c>
      <c r="M372" s="544">
        <v>0.90600000000000003</v>
      </c>
    </row>
    <row r="373" spans="1:20">
      <c r="A373" s="32" t="s">
        <v>329</v>
      </c>
      <c r="B373" s="32" t="s">
        <v>123</v>
      </c>
      <c r="D373" s="292" t="s">
        <v>973</v>
      </c>
      <c r="E373" s="36"/>
      <c r="F373" s="35"/>
      <c r="G373" s="37"/>
      <c r="H373" s="36"/>
      <c r="I373" s="35"/>
      <c r="J373" s="37"/>
      <c r="K373" s="36"/>
      <c r="L373" s="547" t="s">
        <v>1327</v>
      </c>
      <c r="M373" s="297">
        <v>7.9000000000000001E-2</v>
      </c>
      <c r="T373" s="175"/>
    </row>
    <row r="374" spans="1:20" s="58" customFormat="1">
      <c r="A374" s="58" t="s">
        <v>329</v>
      </c>
      <c r="B374" s="32" t="s">
        <v>123</v>
      </c>
      <c r="D374" s="73" t="s">
        <v>1328</v>
      </c>
    </row>
    <row r="375" spans="1:20" s="58" customFormat="1">
      <c r="A375" s="58" t="s">
        <v>329</v>
      </c>
      <c r="B375" s="32"/>
      <c r="D375" s="73"/>
    </row>
    <row r="376" spans="1:20">
      <c r="A376" s="70" t="s">
        <v>1330</v>
      </c>
      <c r="B376" s="70" t="s">
        <v>119</v>
      </c>
      <c r="C376" s="70"/>
      <c r="D376" s="205" t="s">
        <v>1332</v>
      </c>
      <c r="E376" s="70"/>
      <c r="F376" s="70"/>
      <c r="G376" s="70"/>
      <c r="H376" s="205"/>
      <c r="I376" s="70"/>
      <c r="J376" s="70"/>
      <c r="K376" s="70"/>
      <c r="L376" s="70"/>
      <c r="M376" s="70"/>
      <c r="N376" s="70"/>
      <c r="O376" s="70"/>
      <c r="P376" s="70"/>
      <c r="Q376" s="70"/>
      <c r="R376" s="70"/>
    </row>
    <row r="377" spans="1:20" s="58" customFormat="1">
      <c r="A377" s="58" t="s">
        <v>868</v>
      </c>
      <c r="B377" s="32"/>
      <c r="D377" s="280" t="s">
        <v>1635</v>
      </c>
    </row>
    <row r="378" spans="1:20" s="58" customFormat="1">
      <c r="A378" s="58" t="s">
        <v>868</v>
      </c>
      <c r="B378" s="32"/>
      <c r="D378" s="280" t="s">
        <v>1436</v>
      </c>
    </row>
    <row r="379" spans="1:20" s="58" customFormat="1">
      <c r="A379" s="58" t="s">
        <v>868</v>
      </c>
      <c r="B379" s="32"/>
      <c r="D379" s="280" t="s">
        <v>1382</v>
      </c>
    </row>
    <row r="380" spans="1:20" s="58" customFormat="1">
      <c r="A380" s="58" t="s">
        <v>868</v>
      </c>
      <c r="B380" s="32"/>
      <c r="D380" s="280" t="s">
        <v>1381</v>
      </c>
    </row>
    <row r="381" spans="1:20" s="58" customFormat="1">
      <c r="A381" s="58" t="s">
        <v>868</v>
      </c>
      <c r="B381" s="32"/>
      <c r="D381" s="32"/>
      <c r="E381" s="32"/>
      <c r="F381" s="32"/>
      <c r="G381" s="32"/>
      <c r="H381" s="32"/>
      <c r="I381" s="32"/>
      <c r="J381" s="32"/>
      <c r="K381" s="32"/>
    </row>
    <row r="382" spans="1:20" s="58" customFormat="1">
      <c r="A382" s="58" t="s">
        <v>868</v>
      </c>
      <c r="B382" s="32"/>
      <c r="D382" s="32" t="s">
        <v>224</v>
      </c>
      <c r="E382" s="32" t="s">
        <v>1334</v>
      </c>
      <c r="F382" s="32" t="s">
        <v>1335</v>
      </c>
      <c r="G382" s="194"/>
      <c r="H382" s="194"/>
      <c r="I382" s="32"/>
      <c r="J382" s="32"/>
      <c r="K382" s="32"/>
    </row>
    <row r="383" spans="1:20" s="58" customFormat="1">
      <c r="A383" s="58" t="s">
        <v>868</v>
      </c>
      <c r="B383" s="32"/>
      <c r="D383" s="35">
        <v>1</v>
      </c>
      <c r="E383" s="549" t="s">
        <v>1336</v>
      </c>
      <c r="F383" s="374">
        <v>12145</v>
      </c>
      <c r="G383" s="222"/>
      <c r="H383" s="201"/>
      <c r="I383" s="194"/>
      <c r="J383" s="327"/>
      <c r="K383" s="194"/>
    </row>
    <row r="384" spans="1:20" s="58" customFormat="1">
      <c r="A384" s="58" t="s">
        <v>868</v>
      </c>
      <c r="B384" s="32"/>
      <c r="D384" s="35">
        <v>2</v>
      </c>
      <c r="E384" s="549" t="s">
        <v>1337</v>
      </c>
      <c r="F384" s="374">
        <v>3954</v>
      </c>
      <c r="G384" s="240"/>
      <c r="H384" s="236"/>
      <c r="I384" s="240"/>
      <c r="J384" s="280"/>
      <c r="K384" s="194"/>
    </row>
    <row r="385" spans="1:23" s="58" customFormat="1">
      <c r="A385" s="58" t="s">
        <v>868</v>
      </c>
      <c r="B385" s="32"/>
      <c r="D385" s="35">
        <v>3</v>
      </c>
      <c r="E385" s="549" t="s">
        <v>1338</v>
      </c>
      <c r="F385" s="374">
        <v>3927</v>
      </c>
      <c r="G385" s="240"/>
      <c r="H385" s="236"/>
      <c r="I385" s="240"/>
      <c r="J385" s="280"/>
      <c r="K385" s="194"/>
    </row>
    <row r="386" spans="1:23" s="58" customFormat="1">
      <c r="A386" s="58" t="s">
        <v>868</v>
      </c>
      <c r="B386" s="32"/>
      <c r="D386" s="35">
        <v>4</v>
      </c>
      <c r="E386" s="549" t="s">
        <v>1339</v>
      </c>
      <c r="F386" s="374">
        <v>2215</v>
      </c>
      <c r="G386" s="236"/>
      <c r="H386" s="236"/>
      <c r="I386" s="240"/>
      <c r="J386" s="280"/>
      <c r="K386" s="194"/>
    </row>
    <row r="387" spans="1:23" s="58" customFormat="1">
      <c r="A387" s="58" t="s">
        <v>868</v>
      </c>
      <c r="B387" s="32"/>
      <c r="D387" s="35">
        <v>5</v>
      </c>
      <c r="E387" s="549" t="s">
        <v>1340</v>
      </c>
      <c r="F387" s="374">
        <v>2176</v>
      </c>
      <c r="G387" s="240"/>
      <c r="H387" s="240"/>
      <c r="I387" s="240"/>
      <c r="J387" s="280"/>
      <c r="K387" s="194"/>
    </row>
    <row r="388" spans="1:23" s="58" customFormat="1">
      <c r="A388" s="58" t="s">
        <v>868</v>
      </c>
      <c r="B388" s="32"/>
      <c r="D388" s="35">
        <v>6</v>
      </c>
      <c r="E388" s="549" t="s">
        <v>1341</v>
      </c>
      <c r="F388" s="374">
        <v>1951</v>
      </c>
      <c r="G388" s="240"/>
      <c r="H388" s="240"/>
      <c r="I388" s="240"/>
      <c r="J388" s="280"/>
      <c r="K388" s="194"/>
    </row>
    <row r="389" spans="1:23" s="58" customFormat="1">
      <c r="A389" s="58" t="s">
        <v>868</v>
      </c>
      <c r="B389" s="32"/>
      <c r="D389" s="35">
        <v>7</v>
      </c>
      <c r="E389" s="549" t="s">
        <v>1342</v>
      </c>
      <c r="F389" s="374">
        <v>1346</v>
      </c>
      <c r="G389" s="240"/>
      <c r="H389" s="240"/>
      <c r="I389" s="240"/>
      <c r="J389" s="280"/>
      <c r="K389" s="194"/>
    </row>
    <row r="390" spans="1:23" s="58" customFormat="1">
      <c r="A390" s="58" t="s">
        <v>868</v>
      </c>
      <c r="B390" s="32"/>
      <c r="D390" s="35">
        <v>8</v>
      </c>
      <c r="E390" s="549" t="s">
        <v>1343</v>
      </c>
      <c r="F390" s="374">
        <v>1122</v>
      </c>
      <c r="G390" s="240"/>
      <c r="H390" s="240"/>
      <c r="I390" s="240"/>
      <c r="J390" s="280"/>
      <c r="K390" s="194"/>
    </row>
    <row r="391" spans="1:23" s="58" customFormat="1">
      <c r="A391" s="58" t="s">
        <v>868</v>
      </c>
      <c r="B391" s="32"/>
      <c r="D391" s="35">
        <v>9</v>
      </c>
      <c r="E391" s="549" t="s">
        <v>1344</v>
      </c>
      <c r="F391" s="374">
        <v>947</v>
      </c>
      <c r="G391" s="240"/>
      <c r="H391" s="240"/>
      <c r="I391" s="240"/>
      <c r="J391" s="280"/>
      <c r="K391" s="194"/>
    </row>
    <row r="392" spans="1:23" s="58" customFormat="1">
      <c r="A392" s="58" t="s">
        <v>868</v>
      </c>
      <c r="B392" s="32"/>
      <c r="D392" s="35">
        <v>10</v>
      </c>
      <c r="E392" s="549" t="s">
        <v>1345</v>
      </c>
      <c r="F392" s="374">
        <v>925</v>
      </c>
      <c r="G392" s="240"/>
      <c r="H392" s="240"/>
      <c r="I392" s="240"/>
      <c r="J392" s="280"/>
      <c r="K392" s="194"/>
    </row>
    <row r="393" spans="1:23" s="58" customFormat="1">
      <c r="A393" s="58" t="s">
        <v>868</v>
      </c>
      <c r="B393" s="32"/>
      <c r="D393" s="35">
        <v>11</v>
      </c>
      <c r="E393" s="549" t="s">
        <v>1346</v>
      </c>
      <c r="F393" s="374">
        <v>791</v>
      </c>
      <c r="G393" s="240"/>
      <c r="H393" s="240"/>
      <c r="I393" s="240"/>
      <c r="J393" s="280"/>
      <c r="K393" s="194"/>
    </row>
    <row r="394" spans="1:23" s="58" customFormat="1">
      <c r="A394" s="58" t="s">
        <v>868</v>
      </c>
      <c r="B394" s="32"/>
      <c r="D394" s="35">
        <v>12</v>
      </c>
      <c r="E394" s="549" t="s">
        <v>1347</v>
      </c>
      <c r="F394" s="374">
        <v>697</v>
      </c>
      <c r="G394" s="240"/>
      <c r="H394" s="240"/>
      <c r="I394" s="240"/>
      <c r="J394" s="194"/>
      <c r="K394" s="194"/>
    </row>
    <row r="395" spans="1:23" s="58" customFormat="1">
      <c r="A395" s="58" t="s">
        <v>868</v>
      </c>
      <c r="B395" s="32"/>
      <c r="D395" s="35">
        <v>13</v>
      </c>
      <c r="E395" s="549" t="s">
        <v>1348</v>
      </c>
      <c r="F395" s="374">
        <v>633</v>
      </c>
      <c r="G395" s="240"/>
      <c r="H395" s="240"/>
      <c r="I395" s="240"/>
      <c r="J395" s="280"/>
      <c r="K395" s="194"/>
    </row>
    <row r="396" spans="1:23" s="58" customFormat="1">
      <c r="A396" s="58" t="s">
        <v>868</v>
      </c>
      <c r="B396" s="32"/>
      <c r="D396" s="35">
        <v>14</v>
      </c>
      <c r="E396" s="549" t="s">
        <v>1349</v>
      </c>
      <c r="F396" s="374">
        <v>499</v>
      </c>
      <c r="G396" s="240"/>
      <c r="H396" s="240"/>
      <c r="I396" s="240"/>
      <c r="J396" s="280"/>
      <c r="K396" s="194"/>
    </row>
    <row r="397" spans="1:23" s="58" customFormat="1">
      <c r="A397" s="58" t="s">
        <v>868</v>
      </c>
      <c r="B397" s="32"/>
      <c r="D397" s="35">
        <v>15</v>
      </c>
      <c r="E397" s="549" t="s">
        <v>1350</v>
      </c>
      <c r="F397" s="374">
        <v>487</v>
      </c>
      <c r="G397" s="240"/>
      <c r="H397" s="240"/>
      <c r="I397" s="240"/>
      <c r="J397" s="280"/>
      <c r="K397" s="194"/>
    </row>
    <row r="398" spans="1:23" s="58" customFormat="1">
      <c r="A398" s="58" t="s">
        <v>868</v>
      </c>
      <c r="B398" s="32"/>
      <c r="D398" s="35"/>
      <c r="E398" s="240"/>
      <c r="F398" s="240"/>
      <c r="G398" s="240"/>
      <c r="H398" s="240"/>
      <c r="I398" s="551" t="s">
        <v>1351</v>
      </c>
      <c r="J398" s="551" t="s">
        <v>1352</v>
      </c>
      <c r="K398" s="551" t="s">
        <v>1353</v>
      </c>
      <c r="L398" s="551" t="s">
        <v>1354</v>
      </c>
      <c r="M398" s="551" t="s">
        <v>1355</v>
      </c>
      <c r="N398" s="551" t="s">
        <v>1356</v>
      </c>
      <c r="O398" s="551" t="s">
        <v>1357</v>
      </c>
      <c r="P398" s="551" t="s">
        <v>1358</v>
      </c>
      <c r="Q398" s="551" t="s">
        <v>1359</v>
      </c>
      <c r="R398" s="551" t="s">
        <v>1360</v>
      </c>
      <c r="S398" s="551" t="s">
        <v>1361</v>
      </c>
      <c r="T398" s="551" t="s">
        <v>1362</v>
      </c>
      <c r="U398" s="551" t="s">
        <v>1363</v>
      </c>
      <c r="V398" s="551" t="s">
        <v>1364</v>
      </c>
      <c r="W398" s="551" t="s">
        <v>1365</v>
      </c>
    </row>
    <row r="399" spans="1:23" s="58" customFormat="1" ht="21" customHeight="1">
      <c r="A399" s="58" t="s">
        <v>868</v>
      </c>
      <c r="B399" s="32"/>
      <c r="D399" s="35"/>
      <c r="E399" s="240"/>
      <c r="F399" s="240"/>
      <c r="G399" s="240"/>
      <c r="H399" s="240"/>
      <c r="I399" s="552">
        <v>2579</v>
      </c>
      <c r="J399" s="552">
        <v>9076</v>
      </c>
      <c r="K399" s="552">
        <v>417</v>
      </c>
      <c r="L399" s="552">
        <v>11</v>
      </c>
      <c r="M399" s="552">
        <v>143</v>
      </c>
      <c r="N399" s="552">
        <v>5543</v>
      </c>
      <c r="O399" s="552">
        <v>1655</v>
      </c>
      <c r="P399" s="552">
        <v>5258</v>
      </c>
      <c r="Q399" s="552">
        <v>269</v>
      </c>
      <c r="R399" s="552">
        <v>92</v>
      </c>
      <c r="S399" s="552">
        <v>1936</v>
      </c>
      <c r="T399" s="552">
        <v>418</v>
      </c>
      <c r="U399" s="552">
        <v>610</v>
      </c>
      <c r="V399" s="552">
        <v>6123</v>
      </c>
      <c r="W399" s="552">
        <v>44</v>
      </c>
    </row>
    <row r="400" spans="1:23" s="58" customFormat="1" ht="15" customHeight="1">
      <c r="A400" s="58" t="s">
        <v>868</v>
      </c>
      <c r="B400" s="32"/>
      <c r="D400" s="35"/>
      <c r="E400" s="240"/>
      <c r="F400" s="240"/>
      <c r="G400" s="240"/>
      <c r="H400" s="240"/>
    </row>
    <row r="401" spans="1:11" s="58" customFormat="1" ht="15" customHeight="1">
      <c r="A401" s="58" t="s">
        <v>868</v>
      </c>
      <c r="B401" s="32"/>
      <c r="D401" s="32" t="s">
        <v>224</v>
      </c>
      <c r="E401" s="32" t="s">
        <v>1366</v>
      </c>
      <c r="F401" s="32" t="s">
        <v>1335</v>
      </c>
      <c r="G401" s="240"/>
      <c r="H401" s="240"/>
    </row>
    <row r="402" spans="1:11" s="58" customFormat="1" ht="15" customHeight="1">
      <c r="A402" s="58" t="s">
        <v>868</v>
      </c>
      <c r="B402" s="32"/>
      <c r="D402" s="35">
        <v>1</v>
      </c>
      <c r="E402" s="550" t="s">
        <v>1376</v>
      </c>
      <c r="F402" s="553">
        <v>624</v>
      </c>
      <c r="G402" s="240"/>
      <c r="H402" s="240"/>
    </row>
    <row r="403" spans="1:11" s="58" customFormat="1" ht="15" customHeight="1">
      <c r="A403" s="58" t="s">
        <v>868</v>
      </c>
      <c r="B403" s="32"/>
      <c r="D403" s="35">
        <v>2</v>
      </c>
      <c r="E403" s="550" t="s">
        <v>1377</v>
      </c>
      <c r="F403" s="553">
        <v>597</v>
      </c>
      <c r="G403" s="240"/>
      <c r="H403" s="240"/>
    </row>
    <row r="404" spans="1:11" s="58" customFormat="1" ht="15" customHeight="1">
      <c r="A404" s="58" t="s">
        <v>868</v>
      </c>
      <c r="B404" s="32"/>
      <c r="D404" s="35">
        <v>3</v>
      </c>
      <c r="E404" s="550" t="s">
        <v>1378</v>
      </c>
      <c r="F404" s="553">
        <v>372</v>
      </c>
      <c r="G404" s="240"/>
      <c r="H404" s="240"/>
    </row>
    <row r="405" spans="1:11" s="58" customFormat="1" ht="15" customHeight="1">
      <c r="A405" s="58" t="s">
        <v>868</v>
      </c>
      <c r="B405" s="32"/>
      <c r="D405" s="35">
        <v>4</v>
      </c>
      <c r="E405" s="550" t="s">
        <v>1379</v>
      </c>
      <c r="F405" s="553">
        <v>364</v>
      </c>
      <c r="G405" s="240"/>
      <c r="H405" s="240"/>
    </row>
    <row r="406" spans="1:11" s="58" customFormat="1" ht="15" customHeight="1">
      <c r="A406" s="58" t="s">
        <v>868</v>
      </c>
      <c r="B406" s="32"/>
      <c r="D406" s="35">
        <v>5</v>
      </c>
      <c r="E406" s="550" t="s">
        <v>1380</v>
      </c>
      <c r="F406" s="553">
        <v>353</v>
      </c>
      <c r="G406" s="240"/>
      <c r="H406" s="240"/>
    </row>
    <row r="407" spans="1:11" s="58" customFormat="1" ht="15" customHeight="1">
      <c r="A407" s="58" t="s">
        <v>868</v>
      </c>
      <c r="B407" s="32"/>
      <c r="D407" s="35">
        <v>6</v>
      </c>
      <c r="E407" s="550" t="s">
        <v>229</v>
      </c>
      <c r="F407" s="553">
        <v>350</v>
      </c>
      <c r="G407" s="240"/>
      <c r="H407" s="240"/>
    </row>
    <row r="408" spans="1:11" s="58" customFormat="1" ht="15" customHeight="1">
      <c r="A408" s="58" t="s">
        <v>868</v>
      </c>
      <c r="B408" s="32"/>
      <c r="D408" s="35">
        <v>7</v>
      </c>
      <c r="E408" s="550" t="s">
        <v>1373</v>
      </c>
      <c r="F408" s="553">
        <v>339</v>
      </c>
      <c r="G408" s="240"/>
      <c r="H408" s="240"/>
    </row>
    <row r="409" spans="1:11" s="58" customFormat="1" ht="15" customHeight="1">
      <c r="A409" s="58" t="s">
        <v>868</v>
      </c>
      <c r="B409" s="32"/>
      <c r="D409" s="35">
        <v>8</v>
      </c>
      <c r="E409" s="550" t="s">
        <v>1372</v>
      </c>
      <c r="F409" s="553">
        <v>336</v>
      </c>
      <c r="G409" s="240"/>
      <c r="H409" s="240"/>
    </row>
    <row r="410" spans="1:11" s="58" customFormat="1" ht="15" customHeight="1">
      <c r="A410" s="58" t="s">
        <v>868</v>
      </c>
      <c r="B410" s="32"/>
      <c r="D410" s="35">
        <v>9</v>
      </c>
      <c r="E410" s="550" t="s">
        <v>1370</v>
      </c>
      <c r="F410" s="553">
        <v>315</v>
      </c>
      <c r="G410" s="240"/>
      <c r="H410" s="240"/>
    </row>
    <row r="411" spans="1:11" s="58" customFormat="1" ht="15" customHeight="1">
      <c r="A411" s="58" t="s">
        <v>868</v>
      </c>
      <c r="B411" s="32"/>
      <c r="D411" s="35">
        <v>10</v>
      </c>
      <c r="E411" s="550" t="s">
        <v>1371</v>
      </c>
      <c r="F411" s="553">
        <v>311</v>
      </c>
      <c r="G411" s="240"/>
      <c r="H411" s="240"/>
    </row>
    <row r="412" spans="1:11" s="58" customFormat="1" ht="15" customHeight="1">
      <c r="A412" s="58" t="s">
        <v>868</v>
      </c>
      <c r="B412" s="32"/>
      <c r="D412" s="35">
        <v>11</v>
      </c>
      <c r="E412" s="550" t="s">
        <v>1375</v>
      </c>
      <c r="F412" s="553">
        <v>262</v>
      </c>
      <c r="G412" s="240"/>
      <c r="H412" s="240"/>
    </row>
    <row r="413" spans="1:11" s="58" customFormat="1" ht="15" customHeight="1">
      <c r="A413" s="58" t="s">
        <v>868</v>
      </c>
      <c r="B413" s="32"/>
      <c r="D413" s="35">
        <v>12</v>
      </c>
      <c r="E413" s="550" t="s">
        <v>1369</v>
      </c>
      <c r="F413" s="553">
        <v>261</v>
      </c>
      <c r="G413" s="240"/>
      <c r="H413" s="240"/>
    </row>
    <row r="414" spans="1:11" s="58" customFormat="1" ht="15" customHeight="1">
      <c r="A414" s="58" t="s">
        <v>868</v>
      </c>
      <c r="B414" s="32"/>
      <c r="D414" s="35">
        <v>13</v>
      </c>
      <c r="E414" s="550" t="s">
        <v>1374</v>
      </c>
      <c r="F414" s="553">
        <v>224</v>
      </c>
      <c r="G414" s="240"/>
      <c r="H414" s="240"/>
    </row>
    <row r="415" spans="1:11" s="58" customFormat="1">
      <c r="A415" s="58" t="s">
        <v>868</v>
      </c>
      <c r="B415" s="32"/>
      <c r="D415" s="35">
        <v>14</v>
      </c>
      <c r="E415" s="550" t="s">
        <v>1367</v>
      </c>
      <c r="F415" s="553">
        <v>209</v>
      </c>
      <c r="G415" s="240"/>
      <c r="H415" s="240"/>
      <c r="I415" s="240"/>
      <c r="J415" s="293"/>
      <c r="K415" s="194"/>
    </row>
    <row r="416" spans="1:11" s="58" customFormat="1">
      <c r="A416" s="58" t="s">
        <v>868</v>
      </c>
      <c r="B416" s="32"/>
      <c r="D416" s="35">
        <v>15</v>
      </c>
      <c r="E416" s="550" t="s">
        <v>1368</v>
      </c>
      <c r="F416" s="553">
        <v>164</v>
      </c>
    </row>
    <row r="417" spans="1:20" s="58" customFormat="1">
      <c r="A417" s="58" t="s">
        <v>1383</v>
      </c>
      <c r="B417" s="32"/>
      <c r="D417" s="35"/>
      <c r="E417" s="550"/>
      <c r="F417" s="553"/>
    </row>
    <row r="418" spans="1:20" s="58" customFormat="1">
      <c r="A418" s="58" t="s">
        <v>868</v>
      </c>
      <c r="B418" s="32" t="s">
        <v>1384</v>
      </c>
      <c r="D418" s="58" t="s">
        <v>1385</v>
      </c>
    </row>
    <row r="419" spans="1:20">
      <c r="A419" s="70" t="s">
        <v>1386</v>
      </c>
      <c r="B419" s="380" t="s">
        <v>119</v>
      </c>
      <c r="C419" s="70"/>
      <c r="D419" s="554" t="s">
        <v>1388</v>
      </c>
      <c r="E419" s="541"/>
      <c r="F419" s="541"/>
      <c r="G419" s="70"/>
      <c r="H419" s="70"/>
      <c r="I419" s="70"/>
      <c r="J419" s="70"/>
      <c r="K419" s="70"/>
      <c r="L419" s="70"/>
      <c r="M419" s="70"/>
      <c r="N419" s="70"/>
      <c r="O419" s="70"/>
      <c r="P419" s="70"/>
      <c r="Q419" s="70"/>
      <c r="R419" s="70"/>
    </row>
    <row r="420" spans="1:20">
      <c r="A420" s="32" t="s">
        <v>1387</v>
      </c>
      <c r="B420" s="32" t="s">
        <v>121</v>
      </c>
      <c r="D420" s="194" t="s">
        <v>1393</v>
      </c>
    </row>
    <row r="421" spans="1:20">
      <c r="A421" s="32" t="s">
        <v>1387</v>
      </c>
    </row>
    <row r="422" spans="1:20">
      <c r="A422" s="32" t="s">
        <v>1387</v>
      </c>
      <c r="B422" s="32" t="s">
        <v>110</v>
      </c>
      <c r="D422" s="32" t="s">
        <v>19</v>
      </c>
      <c r="E422" s="178" t="s">
        <v>166</v>
      </c>
      <c r="F422" s="178" t="s">
        <v>675</v>
      </c>
      <c r="G422" s="178" t="s">
        <v>980</v>
      </c>
      <c r="H422" s="194" t="s">
        <v>1391</v>
      </c>
      <c r="I422" s="32" t="s">
        <v>1390</v>
      </c>
    </row>
    <row r="423" spans="1:20">
      <c r="A423" s="32" t="s">
        <v>1387</v>
      </c>
      <c r="B423" s="32" t="s">
        <v>110</v>
      </c>
      <c r="D423" s="32" t="s">
        <v>852</v>
      </c>
      <c r="E423" s="179">
        <v>679</v>
      </c>
      <c r="F423" s="180">
        <v>714</v>
      </c>
      <c r="G423" s="180">
        <v>799</v>
      </c>
      <c r="H423" s="200">
        <v>842</v>
      </c>
    </row>
    <row r="424" spans="1:20">
      <c r="A424" s="32" t="s">
        <v>1387</v>
      </c>
      <c r="B424" s="32" t="s">
        <v>110</v>
      </c>
      <c r="D424" s="32" t="s">
        <v>850</v>
      </c>
      <c r="E424" s="179">
        <v>505</v>
      </c>
      <c r="F424" s="179">
        <v>538</v>
      </c>
      <c r="G424" s="179">
        <v>611</v>
      </c>
      <c r="H424" s="201">
        <v>679</v>
      </c>
    </row>
    <row r="425" spans="1:20">
      <c r="A425" s="32" t="s">
        <v>1387</v>
      </c>
      <c r="B425" s="32" t="s">
        <v>110</v>
      </c>
      <c r="D425" s="32" t="s">
        <v>851</v>
      </c>
      <c r="E425" s="180">
        <v>233</v>
      </c>
      <c r="F425" s="180">
        <v>202</v>
      </c>
      <c r="G425" s="180">
        <v>291</v>
      </c>
      <c r="H425" s="298">
        <v>322</v>
      </c>
      <c r="M425" s="207"/>
    </row>
    <row r="426" spans="1:20">
      <c r="A426" s="32" t="s">
        <v>1387</v>
      </c>
      <c r="D426" s="35"/>
      <c r="E426" s="36"/>
      <c r="F426" s="35"/>
      <c r="G426" s="37"/>
      <c r="H426" s="36"/>
      <c r="I426" s="35"/>
      <c r="J426" s="37"/>
      <c r="K426" s="36"/>
      <c r="M426" s="180"/>
    </row>
    <row r="427" spans="1:20">
      <c r="A427" s="32" t="s">
        <v>1387</v>
      </c>
      <c r="B427" s="32" t="s">
        <v>123</v>
      </c>
      <c r="D427" s="194" t="s">
        <v>1392</v>
      </c>
      <c r="E427" s="36"/>
      <c r="F427" s="35"/>
      <c r="G427" s="37"/>
      <c r="H427" s="36"/>
      <c r="I427" s="35"/>
      <c r="J427" s="37"/>
      <c r="K427" s="36"/>
      <c r="L427" s="35"/>
      <c r="M427" s="37"/>
      <c r="T427" s="175"/>
    </row>
    <row r="428" spans="1:20" s="58" customFormat="1">
      <c r="A428" s="32" t="s">
        <v>1387</v>
      </c>
    </row>
    <row r="429" spans="1:20">
      <c r="A429" s="70" t="s">
        <v>869</v>
      </c>
      <c r="B429" s="70" t="s">
        <v>119</v>
      </c>
      <c r="C429" s="70"/>
      <c r="D429" s="205" t="s">
        <v>1394</v>
      </c>
      <c r="E429" s="94"/>
      <c r="F429" s="94"/>
      <c r="G429" s="70"/>
      <c r="H429" s="70"/>
      <c r="I429" s="70"/>
      <c r="J429" s="70"/>
      <c r="K429" s="70"/>
      <c r="L429" s="70"/>
      <c r="M429" s="70"/>
      <c r="N429" s="70"/>
      <c r="O429" s="70"/>
      <c r="P429" s="70"/>
      <c r="Q429" s="70"/>
      <c r="R429" s="70"/>
    </row>
    <row r="430" spans="1:20">
      <c r="A430" s="32" t="s">
        <v>1404</v>
      </c>
      <c r="B430" s="32" t="s">
        <v>121</v>
      </c>
      <c r="D430" s="194" t="s">
        <v>1397</v>
      </c>
    </row>
    <row r="431" spans="1:20">
      <c r="A431" s="32" t="s">
        <v>1404</v>
      </c>
      <c r="B431" s="32" t="s">
        <v>121</v>
      </c>
      <c r="D431" s="555" t="s">
        <v>1402</v>
      </c>
    </row>
    <row r="432" spans="1:20">
      <c r="A432" s="32" t="s">
        <v>1404</v>
      </c>
      <c r="B432" s="32" t="s">
        <v>121</v>
      </c>
      <c r="D432" s="32" t="s">
        <v>325</v>
      </c>
    </row>
    <row r="433" spans="1:12">
      <c r="A433" s="32" t="s">
        <v>1404</v>
      </c>
    </row>
    <row r="434" spans="1:12">
      <c r="A434" s="32" t="s">
        <v>1404</v>
      </c>
      <c r="B434" s="32" t="s">
        <v>324</v>
      </c>
      <c r="D434" s="32" t="s">
        <v>370</v>
      </c>
      <c r="E434" s="32" t="s">
        <v>382</v>
      </c>
      <c r="F434" s="32" t="s">
        <v>383</v>
      </c>
      <c r="G434" s="32" t="s">
        <v>1399</v>
      </c>
      <c r="H434" s="32" t="s">
        <v>1398</v>
      </c>
    </row>
    <row r="435" spans="1:12">
      <c r="A435" s="32" t="s">
        <v>1404</v>
      </c>
      <c r="B435" s="32" t="s">
        <v>111</v>
      </c>
      <c r="D435" s="32" t="s">
        <v>371</v>
      </c>
      <c r="E435" s="33">
        <v>25</v>
      </c>
      <c r="F435" s="33">
        <v>2</v>
      </c>
      <c r="G435" s="33">
        <f t="shared" ref="G435:G455" si="0">SUM(E435:F435)</f>
        <v>27</v>
      </c>
      <c r="H435" s="35"/>
      <c r="I435" s="102"/>
      <c r="J435" s="101"/>
      <c r="K435" s="101"/>
      <c r="L435" s="102"/>
    </row>
    <row r="436" spans="1:12">
      <c r="A436" s="32" t="s">
        <v>1404</v>
      </c>
      <c r="B436" s="32" t="s">
        <v>111</v>
      </c>
      <c r="D436" s="32" t="s">
        <v>372</v>
      </c>
      <c r="E436" s="33">
        <v>19</v>
      </c>
      <c r="F436" s="33">
        <v>5</v>
      </c>
      <c r="G436" s="33">
        <f t="shared" si="0"/>
        <v>24</v>
      </c>
      <c r="H436" s="35"/>
    </row>
    <row r="437" spans="1:12">
      <c r="A437" s="32" t="s">
        <v>1404</v>
      </c>
      <c r="B437" s="32" t="s">
        <v>111</v>
      </c>
      <c r="D437" s="32" t="s">
        <v>373</v>
      </c>
      <c r="E437" s="33">
        <v>11</v>
      </c>
      <c r="F437" s="33">
        <v>6</v>
      </c>
      <c r="G437" s="33">
        <f t="shared" si="0"/>
        <v>17</v>
      </c>
      <c r="H437" s="35"/>
    </row>
    <row r="438" spans="1:12">
      <c r="A438" s="32" t="s">
        <v>1404</v>
      </c>
      <c r="B438" s="32" t="s">
        <v>111</v>
      </c>
      <c r="D438" s="32" t="s">
        <v>374</v>
      </c>
      <c r="E438" s="33">
        <v>15</v>
      </c>
      <c r="F438" s="33">
        <v>6</v>
      </c>
      <c r="G438" s="33">
        <f t="shared" si="0"/>
        <v>21</v>
      </c>
      <c r="H438" s="35"/>
    </row>
    <row r="439" spans="1:12">
      <c r="A439" s="32" t="s">
        <v>1404</v>
      </c>
      <c r="B439" s="32" t="s">
        <v>111</v>
      </c>
      <c r="D439" s="32" t="s">
        <v>375</v>
      </c>
      <c r="E439" s="33">
        <v>31</v>
      </c>
      <c r="F439" s="33">
        <v>5</v>
      </c>
      <c r="G439" s="33">
        <f t="shared" si="0"/>
        <v>36</v>
      </c>
      <c r="H439" s="35"/>
    </row>
    <row r="440" spans="1:12">
      <c r="A440" s="32" t="s">
        <v>1404</v>
      </c>
      <c r="B440" s="32" t="s">
        <v>111</v>
      </c>
      <c r="D440" s="32" t="s">
        <v>376</v>
      </c>
      <c r="E440" s="33">
        <v>18</v>
      </c>
      <c r="F440" s="33">
        <v>2</v>
      </c>
      <c r="G440" s="33">
        <f t="shared" si="0"/>
        <v>20</v>
      </c>
      <c r="H440" s="35"/>
    </row>
    <row r="441" spans="1:12">
      <c r="A441" s="32" t="s">
        <v>1404</v>
      </c>
      <c r="B441" s="32" t="s">
        <v>111</v>
      </c>
      <c r="D441" s="32" t="s">
        <v>377</v>
      </c>
      <c r="E441" s="33">
        <v>18</v>
      </c>
      <c r="F441" s="33">
        <v>4</v>
      </c>
      <c r="G441" s="33">
        <f t="shared" si="0"/>
        <v>22</v>
      </c>
      <c r="H441" s="35"/>
    </row>
    <row r="442" spans="1:12">
      <c r="A442" s="32" t="s">
        <v>1404</v>
      </c>
      <c r="B442" s="32" t="s">
        <v>111</v>
      </c>
      <c r="D442" s="32" t="s">
        <v>378</v>
      </c>
      <c r="E442" s="33">
        <v>16</v>
      </c>
      <c r="F442" s="33">
        <v>2</v>
      </c>
      <c r="G442" s="33">
        <f t="shared" si="0"/>
        <v>18</v>
      </c>
      <c r="H442" s="35"/>
    </row>
    <row r="443" spans="1:12">
      <c r="A443" s="32" t="s">
        <v>1404</v>
      </c>
      <c r="B443" s="32" t="s">
        <v>111</v>
      </c>
      <c r="D443" s="32" t="s">
        <v>379</v>
      </c>
      <c r="E443" s="33">
        <v>21</v>
      </c>
      <c r="F443" s="33">
        <v>3</v>
      </c>
      <c r="G443" s="33">
        <f t="shared" si="0"/>
        <v>24</v>
      </c>
      <c r="H443" s="35"/>
    </row>
    <row r="444" spans="1:12">
      <c r="A444" s="32" t="s">
        <v>1404</v>
      </c>
      <c r="B444" s="32" t="s">
        <v>111</v>
      </c>
      <c r="D444" s="32" t="s">
        <v>380</v>
      </c>
      <c r="E444" s="33">
        <v>20</v>
      </c>
      <c r="F444" s="33">
        <v>6</v>
      </c>
      <c r="G444" s="33">
        <f t="shared" si="0"/>
        <v>26</v>
      </c>
      <c r="H444" s="35"/>
    </row>
    <row r="445" spans="1:12">
      <c r="A445" s="32" t="s">
        <v>1404</v>
      </c>
      <c r="B445" s="32" t="s">
        <v>111</v>
      </c>
      <c r="D445" s="32" t="s">
        <v>381</v>
      </c>
      <c r="E445" s="33">
        <v>15</v>
      </c>
      <c r="F445" s="33">
        <v>6</v>
      </c>
      <c r="G445" s="33">
        <f t="shared" si="0"/>
        <v>21</v>
      </c>
      <c r="H445" s="35"/>
    </row>
    <row r="446" spans="1:12">
      <c r="A446" s="32" t="s">
        <v>1404</v>
      </c>
      <c r="B446" s="32" t="s">
        <v>111</v>
      </c>
      <c r="D446" s="32" t="s">
        <v>133</v>
      </c>
      <c r="E446" s="33">
        <v>24</v>
      </c>
      <c r="F446" s="33">
        <v>6</v>
      </c>
      <c r="G446" s="33">
        <f t="shared" si="0"/>
        <v>30</v>
      </c>
      <c r="H446" s="35"/>
    </row>
    <row r="447" spans="1:12">
      <c r="A447" s="32" t="s">
        <v>1404</v>
      </c>
      <c r="B447" s="32" t="s">
        <v>111</v>
      </c>
      <c r="D447" s="32" t="s">
        <v>134</v>
      </c>
      <c r="E447" s="33">
        <v>33</v>
      </c>
      <c r="F447" s="33">
        <v>6</v>
      </c>
      <c r="G447" s="33">
        <f t="shared" si="0"/>
        <v>39</v>
      </c>
      <c r="H447" s="35"/>
    </row>
    <row r="448" spans="1:12">
      <c r="A448" s="32" t="s">
        <v>1404</v>
      </c>
      <c r="B448" s="32" t="s">
        <v>111</v>
      </c>
      <c r="D448" s="32" t="s">
        <v>135</v>
      </c>
      <c r="E448" s="33">
        <v>25</v>
      </c>
      <c r="F448" s="33">
        <v>2</v>
      </c>
      <c r="G448" s="33">
        <f t="shared" si="0"/>
        <v>27</v>
      </c>
      <c r="H448" s="35"/>
    </row>
    <row r="449" spans="1:10">
      <c r="A449" s="32" t="s">
        <v>1404</v>
      </c>
      <c r="B449" s="32" t="s">
        <v>111</v>
      </c>
      <c r="D449" s="32" t="s">
        <v>0</v>
      </c>
      <c r="E449" s="33">
        <v>30</v>
      </c>
      <c r="F449" s="33">
        <v>11</v>
      </c>
      <c r="G449" s="33">
        <f t="shared" si="0"/>
        <v>41</v>
      </c>
      <c r="H449" s="35"/>
    </row>
    <row r="450" spans="1:10">
      <c r="A450" s="32" t="s">
        <v>1404</v>
      </c>
      <c r="B450" s="32" t="s">
        <v>111</v>
      </c>
      <c r="D450" s="32" t="s">
        <v>1</v>
      </c>
      <c r="E450" s="33">
        <v>33</v>
      </c>
      <c r="F450" s="33">
        <v>12</v>
      </c>
      <c r="G450" s="33">
        <f t="shared" si="0"/>
        <v>45</v>
      </c>
      <c r="H450" s="35"/>
    </row>
    <row r="451" spans="1:10">
      <c r="A451" s="32" t="s">
        <v>1404</v>
      </c>
      <c r="B451" s="32" t="s">
        <v>111</v>
      </c>
      <c r="D451" s="32" t="s">
        <v>2</v>
      </c>
      <c r="E451" s="33">
        <v>15</v>
      </c>
      <c r="F451" s="33">
        <v>7</v>
      </c>
      <c r="G451" s="33">
        <f t="shared" si="0"/>
        <v>22</v>
      </c>
      <c r="H451" s="35"/>
    </row>
    <row r="452" spans="1:10">
      <c r="A452" s="32" t="s">
        <v>1404</v>
      </c>
      <c r="B452" s="32" t="s">
        <v>111</v>
      </c>
      <c r="D452" s="32" t="s">
        <v>3</v>
      </c>
      <c r="E452" s="33">
        <v>34</v>
      </c>
      <c r="F452" s="33">
        <v>12</v>
      </c>
      <c r="G452" s="33">
        <f t="shared" si="0"/>
        <v>46</v>
      </c>
      <c r="H452" s="35"/>
    </row>
    <row r="453" spans="1:10">
      <c r="A453" s="32" t="s">
        <v>1404</v>
      </c>
      <c r="B453" s="32" t="s">
        <v>111</v>
      </c>
      <c r="D453" s="32" t="s">
        <v>7</v>
      </c>
      <c r="E453" s="33">
        <v>42</v>
      </c>
      <c r="F453" s="33">
        <v>17</v>
      </c>
      <c r="G453" s="33">
        <f t="shared" si="0"/>
        <v>59</v>
      </c>
      <c r="H453" s="35"/>
    </row>
    <row r="454" spans="1:10">
      <c r="A454" s="32" t="s">
        <v>1404</v>
      </c>
      <c r="B454" s="32" t="s">
        <v>111</v>
      </c>
      <c r="D454" s="32" t="s">
        <v>675</v>
      </c>
      <c r="E454" s="33">
        <v>38</v>
      </c>
      <c r="F454" s="33">
        <v>10</v>
      </c>
      <c r="G454" s="33">
        <f t="shared" si="0"/>
        <v>48</v>
      </c>
      <c r="H454" s="35"/>
    </row>
    <row r="455" spans="1:10">
      <c r="A455" s="32" t="s">
        <v>1404</v>
      </c>
      <c r="B455" s="32" t="s">
        <v>111</v>
      </c>
      <c r="D455" s="32" t="s">
        <v>168</v>
      </c>
      <c r="E455" s="33">
        <v>40</v>
      </c>
      <c r="F455" s="33">
        <v>13</v>
      </c>
      <c r="G455" s="33">
        <f t="shared" si="0"/>
        <v>53</v>
      </c>
      <c r="H455" s="35"/>
      <c r="J455" s="32">
        <f>표59[[#This Row],[BLAs]]/G455</f>
        <v>0.24528301886792453</v>
      </c>
    </row>
    <row r="456" spans="1:10">
      <c r="A456" s="32" t="s">
        <v>1404</v>
      </c>
      <c r="B456" s="32" t="s">
        <v>111</v>
      </c>
      <c r="D456" s="194" t="s">
        <v>1396</v>
      </c>
      <c r="E456" s="200">
        <v>36</v>
      </c>
      <c r="F456" s="200">
        <v>14</v>
      </c>
      <c r="G456" s="200">
        <v>50</v>
      </c>
      <c r="H456" s="35"/>
      <c r="J456" s="207">
        <f>표59[[#This Row],[BLAs]]/G456</f>
        <v>0.28000000000000003</v>
      </c>
    </row>
    <row r="457" spans="1:10">
      <c r="A457" s="32" t="s">
        <v>1404</v>
      </c>
      <c r="B457" s="32" t="s">
        <v>111</v>
      </c>
      <c r="E457" s="33"/>
      <c r="F457" s="33"/>
      <c r="G457" s="33"/>
      <c r="H457" s="33"/>
    </row>
    <row r="458" spans="1:10">
      <c r="A458" s="32" t="s">
        <v>1404</v>
      </c>
      <c r="B458" s="32" t="s">
        <v>111</v>
      </c>
      <c r="E458" s="33"/>
      <c r="F458" s="33"/>
    </row>
    <row r="459" spans="1:10">
      <c r="A459" s="32" t="s">
        <v>1404</v>
      </c>
      <c r="B459" s="32" t="s">
        <v>111</v>
      </c>
      <c r="E459" s="33"/>
      <c r="F459" s="33"/>
    </row>
    <row r="460" spans="1:10">
      <c r="A460" s="32" t="s">
        <v>1404</v>
      </c>
      <c r="B460" s="32" t="s">
        <v>111</v>
      </c>
      <c r="E460" s="33"/>
      <c r="F460" s="33"/>
    </row>
    <row r="461" spans="1:10">
      <c r="A461" s="32" t="s">
        <v>1404</v>
      </c>
      <c r="B461" s="32" t="s">
        <v>111</v>
      </c>
      <c r="E461" s="33"/>
      <c r="F461" s="33"/>
    </row>
    <row r="462" spans="1:10">
      <c r="A462" s="32" t="s">
        <v>1404</v>
      </c>
      <c r="D462" s="194"/>
      <c r="E462" s="200"/>
      <c r="F462" s="200"/>
    </row>
    <row r="463" spans="1:10">
      <c r="A463" s="32" t="s">
        <v>1404</v>
      </c>
      <c r="B463" s="32" t="s">
        <v>343</v>
      </c>
    </row>
    <row r="464" spans="1:10">
      <c r="A464" s="32" t="s">
        <v>1404</v>
      </c>
      <c r="B464" s="32" t="s">
        <v>343</v>
      </c>
    </row>
    <row r="465" spans="1:20">
      <c r="A465" s="32" t="s">
        <v>1404</v>
      </c>
      <c r="B465" s="32" t="s">
        <v>343</v>
      </c>
    </row>
    <row r="466" spans="1:20">
      <c r="A466" s="32" t="s">
        <v>1404</v>
      </c>
      <c r="B466" s="32" t="s">
        <v>343</v>
      </c>
    </row>
    <row r="467" spans="1:20">
      <c r="A467" s="32" t="s">
        <v>1404</v>
      </c>
      <c r="B467" s="32" t="s">
        <v>343</v>
      </c>
    </row>
    <row r="468" spans="1:20">
      <c r="A468" s="32" t="s">
        <v>1404</v>
      </c>
      <c r="B468" s="32" t="s">
        <v>343</v>
      </c>
    </row>
    <row r="469" spans="1:20">
      <c r="A469" s="32" t="s">
        <v>1404</v>
      </c>
      <c r="B469" s="32" t="s">
        <v>343</v>
      </c>
    </row>
    <row r="470" spans="1:20">
      <c r="A470" s="32" t="s">
        <v>1404</v>
      </c>
      <c r="B470" s="32" t="s">
        <v>343</v>
      </c>
    </row>
    <row r="471" spans="1:20">
      <c r="A471" s="32" t="s">
        <v>1404</v>
      </c>
      <c r="B471" s="32" t="s">
        <v>343</v>
      </c>
    </row>
    <row r="472" spans="1:20">
      <c r="A472" s="32" t="s">
        <v>1404</v>
      </c>
      <c r="B472" s="32" t="s">
        <v>343</v>
      </c>
    </row>
    <row r="473" spans="1:20">
      <c r="A473" s="32" t="s">
        <v>1404</v>
      </c>
      <c r="B473" s="32" t="s">
        <v>343</v>
      </c>
    </row>
    <row r="474" spans="1:20">
      <c r="A474" s="32" t="s">
        <v>1404</v>
      </c>
      <c r="B474" s="32" t="s">
        <v>343</v>
      </c>
    </row>
    <row r="475" spans="1:20">
      <c r="A475" s="32" t="s">
        <v>1404</v>
      </c>
      <c r="B475" s="32" t="s">
        <v>343</v>
      </c>
      <c r="T475" s="204"/>
    </row>
    <row r="476" spans="1:20">
      <c r="A476" s="32" t="s">
        <v>1404</v>
      </c>
      <c r="B476" s="32" t="s">
        <v>343</v>
      </c>
      <c r="T476" s="194"/>
    </row>
    <row r="477" spans="1:20">
      <c r="A477" s="32" t="s">
        <v>1404</v>
      </c>
      <c r="B477" s="32" t="s">
        <v>343</v>
      </c>
      <c r="T477" s="96"/>
    </row>
    <row r="478" spans="1:20">
      <c r="A478" s="32" t="s">
        <v>1404</v>
      </c>
      <c r="D478" s="35"/>
      <c r="E478" s="36"/>
      <c r="F478" s="35"/>
      <c r="G478" s="37"/>
      <c r="H478" s="36"/>
      <c r="I478" s="35"/>
      <c r="J478" s="37"/>
      <c r="K478" s="36"/>
      <c r="L478" s="35"/>
      <c r="M478" s="37"/>
    </row>
    <row r="479" spans="1:20">
      <c r="A479" s="32" t="s">
        <v>1404</v>
      </c>
      <c r="B479" s="32" t="s">
        <v>123</v>
      </c>
      <c r="D479" s="194" t="s">
        <v>1401</v>
      </c>
      <c r="E479" s="36"/>
      <c r="F479" s="35"/>
      <c r="G479" s="37"/>
      <c r="H479" s="36"/>
      <c r="I479" s="100"/>
      <c r="J479" s="37"/>
      <c r="K479" s="36"/>
      <c r="L479" s="35"/>
      <c r="M479" s="37"/>
      <c r="S479" s="103" t="s">
        <v>1400</v>
      </c>
      <c r="T479" s="175"/>
    </row>
    <row r="480" spans="1:20" s="58" customFormat="1">
      <c r="A480" s="32" t="s">
        <v>1404</v>
      </c>
    </row>
    <row r="481" spans="1:18">
      <c r="A481" s="70" t="s">
        <v>1405</v>
      </c>
      <c r="B481" s="70" t="s">
        <v>119</v>
      </c>
      <c r="C481" s="70"/>
      <c r="D481" s="205" t="s">
        <v>326</v>
      </c>
      <c r="E481" s="70"/>
      <c r="F481" s="70"/>
      <c r="G481" s="70"/>
      <c r="H481" s="70"/>
      <c r="I481" s="70"/>
      <c r="J481" s="70"/>
      <c r="K481" s="70"/>
      <c r="L481" s="70"/>
      <c r="M481" s="70"/>
      <c r="N481" s="70"/>
      <c r="O481" s="70"/>
      <c r="P481" s="70"/>
      <c r="Q481" s="70"/>
      <c r="R481" s="70"/>
    </row>
    <row r="482" spans="1:18">
      <c r="A482" s="32" t="s">
        <v>1405</v>
      </c>
      <c r="B482" s="32" t="s">
        <v>121</v>
      </c>
      <c r="D482" s="194" t="s">
        <v>1403</v>
      </c>
    </row>
    <row r="483" spans="1:18">
      <c r="A483" s="32" t="s">
        <v>1405</v>
      </c>
      <c r="B483" s="32" t="s">
        <v>121</v>
      </c>
      <c r="D483" s="194" t="s">
        <v>1427</v>
      </c>
    </row>
    <row r="484" spans="1:18">
      <c r="A484" s="32" t="s">
        <v>1405</v>
      </c>
    </row>
    <row r="485" spans="1:18">
      <c r="A485" s="32" t="s">
        <v>1405</v>
      </c>
      <c r="B485" s="32" t="s">
        <v>324</v>
      </c>
      <c r="D485" s="32" t="s">
        <v>515</v>
      </c>
      <c r="E485" s="32" t="s">
        <v>518</v>
      </c>
      <c r="F485" s="32" t="s">
        <v>519</v>
      </c>
      <c r="G485" s="32" t="s">
        <v>384</v>
      </c>
      <c r="H485" s="32" t="s">
        <v>385</v>
      </c>
      <c r="I485" s="32" t="s">
        <v>386</v>
      </c>
    </row>
    <row r="486" spans="1:18">
      <c r="A486" s="32" t="s">
        <v>1405</v>
      </c>
      <c r="B486" s="32" t="s">
        <v>111</v>
      </c>
      <c r="D486" s="35">
        <v>1</v>
      </c>
      <c r="E486" s="32" t="s">
        <v>387</v>
      </c>
      <c r="F486" s="32" t="s">
        <v>388</v>
      </c>
      <c r="G486" s="32" t="s">
        <v>389</v>
      </c>
      <c r="H486" s="32" t="s">
        <v>390</v>
      </c>
      <c r="I486" s="32" t="s">
        <v>391</v>
      </c>
    </row>
    <row r="487" spans="1:18">
      <c r="A487" s="32" t="s">
        <v>1405</v>
      </c>
      <c r="B487" s="32" t="s">
        <v>111</v>
      </c>
      <c r="D487" s="35">
        <v>2</v>
      </c>
      <c r="E487" s="32" t="s">
        <v>392</v>
      </c>
      <c r="F487" s="32" t="s">
        <v>393</v>
      </c>
      <c r="G487" s="32" t="s">
        <v>512</v>
      </c>
      <c r="H487" s="32" t="s">
        <v>394</v>
      </c>
      <c r="I487" s="32" t="s">
        <v>395</v>
      </c>
    </row>
    <row r="488" spans="1:18">
      <c r="A488" s="32" t="s">
        <v>1405</v>
      </c>
      <c r="B488" s="32" t="s">
        <v>111</v>
      </c>
      <c r="D488" s="35">
        <v>3</v>
      </c>
      <c r="E488" s="32" t="s">
        <v>396</v>
      </c>
      <c r="F488" s="32" t="s">
        <v>397</v>
      </c>
      <c r="G488" s="32" t="s">
        <v>398</v>
      </c>
      <c r="H488" s="32" t="s">
        <v>399</v>
      </c>
      <c r="I488" s="32" t="s">
        <v>400</v>
      </c>
    </row>
    <row r="489" spans="1:18">
      <c r="A489" s="32" t="s">
        <v>1405</v>
      </c>
      <c r="B489" s="32" t="s">
        <v>111</v>
      </c>
      <c r="D489" s="35">
        <v>4</v>
      </c>
      <c r="E489" s="32" t="s">
        <v>401</v>
      </c>
      <c r="F489" s="32" t="s">
        <v>402</v>
      </c>
      <c r="G489" s="32" t="s">
        <v>403</v>
      </c>
      <c r="H489" s="32" t="s">
        <v>404</v>
      </c>
      <c r="I489" s="32" t="s">
        <v>405</v>
      </c>
    </row>
    <row r="490" spans="1:18">
      <c r="A490" s="32" t="s">
        <v>1405</v>
      </c>
      <c r="B490" s="32" t="s">
        <v>111</v>
      </c>
      <c r="D490" s="35">
        <v>5</v>
      </c>
      <c r="E490" s="32" t="s">
        <v>406</v>
      </c>
      <c r="F490" s="32" t="s">
        <v>407</v>
      </c>
      <c r="G490" s="32" t="s">
        <v>408</v>
      </c>
      <c r="H490" s="32" t="s">
        <v>404</v>
      </c>
      <c r="I490" s="32" t="s">
        <v>513</v>
      </c>
    </row>
    <row r="491" spans="1:18">
      <c r="A491" s="32" t="s">
        <v>1405</v>
      </c>
      <c r="B491" s="32" t="s">
        <v>111</v>
      </c>
      <c r="D491" s="35">
        <v>6</v>
      </c>
      <c r="E491" s="32" t="s">
        <v>409</v>
      </c>
      <c r="F491" s="32" t="s">
        <v>410</v>
      </c>
      <c r="G491" s="32" t="s">
        <v>411</v>
      </c>
      <c r="H491" s="32" t="s">
        <v>412</v>
      </c>
      <c r="I491" s="32" t="s">
        <v>413</v>
      </c>
    </row>
    <row r="492" spans="1:18">
      <c r="A492" s="32" t="s">
        <v>1405</v>
      </c>
      <c r="B492" s="32" t="s">
        <v>111</v>
      </c>
      <c r="D492" s="35">
        <v>7</v>
      </c>
      <c r="E492" s="32" t="s">
        <v>414</v>
      </c>
      <c r="F492" s="32" t="s">
        <v>415</v>
      </c>
      <c r="G492" s="32" t="s">
        <v>416</v>
      </c>
      <c r="H492" s="32" t="s">
        <v>417</v>
      </c>
      <c r="I492" s="32" t="s">
        <v>418</v>
      </c>
    </row>
    <row r="493" spans="1:18">
      <c r="A493" s="32" t="s">
        <v>1405</v>
      </c>
      <c r="B493" s="32" t="s">
        <v>111</v>
      </c>
      <c r="D493" s="35">
        <v>8</v>
      </c>
      <c r="E493" s="32" t="s">
        <v>419</v>
      </c>
      <c r="F493" s="32" t="s">
        <v>420</v>
      </c>
      <c r="G493" s="32" t="s">
        <v>421</v>
      </c>
      <c r="H493" s="32" t="s">
        <v>422</v>
      </c>
      <c r="I493" s="32" t="s">
        <v>423</v>
      </c>
    </row>
    <row r="494" spans="1:18">
      <c r="A494" s="32" t="s">
        <v>1405</v>
      </c>
      <c r="B494" s="32" t="s">
        <v>111</v>
      </c>
      <c r="D494" s="35">
        <v>9</v>
      </c>
      <c r="E494" s="32" t="s">
        <v>424</v>
      </c>
      <c r="F494" s="32" t="s">
        <v>425</v>
      </c>
      <c r="G494" s="32" t="s">
        <v>426</v>
      </c>
      <c r="H494" s="32" t="s">
        <v>427</v>
      </c>
      <c r="I494" s="32" t="s">
        <v>428</v>
      </c>
    </row>
    <row r="495" spans="1:18">
      <c r="A495" s="32" t="s">
        <v>1405</v>
      </c>
      <c r="B495" s="32" t="s">
        <v>111</v>
      </c>
      <c r="D495" s="35">
        <v>10</v>
      </c>
      <c r="E495" s="32" t="s">
        <v>429</v>
      </c>
      <c r="F495" s="32" t="s">
        <v>430</v>
      </c>
      <c r="G495" s="32" t="s">
        <v>431</v>
      </c>
      <c r="H495" s="32" t="s">
        <v>432</v>
      </c>
      <c r="I495" s="32" t="s">
        <v>433</v>
      </c>
    </row>
    <row r="496" spans="1:18">
      <c r="A496" s="32" t="s">
        <v>1405</v>
      </c>
      <c r="B496" s="32" t="s">
        <v>111</v>
      </c>
      <c r="D496" s="35">
        <v>11</v>
      </c>
      <c r="E496" s="32" t="s">
        <v>434</v>
      </c>
      <c r="F496" s="32" t="s">
        <v>435</v>
      </c>
      <c r="G496" s="32" t="s">
        <v>436</v>
      </c>
      <c r="H496" s="32" t="s">
        <v>437</v>
      </c>
      <c r="I496" s="32" t="s">
        <v>438</v>
      </c>
    </row>
    <row r="497" spans="1:9">
      <c r="A497" s="32" t="s">
        <v>1405</v>
      </c>
      <c r="B497" s="32" t="s">
        <v>111</v>
      </c>
      <c r="D497" s="35">
        <v>12</v>
      </c>
      <c r="E497" s="32" t="s">
        <v>439</v>
      </c>
      <c r="F497" s="32" t="s">
        <v>440</v>
      </c>
      <c r="G497" s="32" t="s">
        <v>441</v>
      </c>
      <c r="H497" s="32" t="s">
        <v>442</v>
      </c>
      <c r="I497" s="32" t="s">
        <v>443</v>
      </c>
    </row>
    <row r="498" spans="1:9">
      <c r="A498" s="32" t="s">
        <v>1405</v>
      </c>
      <c r="B498" s="32" t="s">
        <v>111</v>
      </c>
      <c r="D498" s="35">
        <v>13</v>
      </c>
      <c r="E498" s="32" t="s">
        <v>444</v>
      </c>
      <c r="F498" s="32" t="s">
        <v>445</v>
      </c>
      <c r="G498" s="32" t="s">
        <v>446</v>
      </c>
      <c r="H498" s="32" t="s">
        <v>432</v>
      </c>
      <c r="I498" s="32" t="s">
        <v>447</v>
      </c>
    </row>
    <row r="499" spans="1:9">
      <c r="A499" s="32" t="s">
        <v>1405</v>
      </c>
      <c r="B499" s="32" t="s">
        <v>111</v>
      </c>
      <c r="D499" s="35">
        <v>14</v>
      </c>
      <c r="E499" s="32" t="s">
        <v>448</v>
      </c>
      <c r="F499" s="32" t="s">
        <v>449</v>
      </c>
      <c r="G499" s="32" t="s">
        <v>450</v>
      </c>
      <c r="H499" s="32" t="s">
        <v>427</v>
      </c>
      <c r="I499" s="32" t="s">
        <v>451</v>
      </c>
    </row>
    <row r="500" spans="1:9">
      <c r="A500" s="32" t="s">
        <v>1405</v>
      </c>
      <c r="B500" s="32" t="s">
        <v>111</v>
      </c>
      <c r="D500" s="35">
        <v>15</v>
      </c>
      <c r="E500" s="32" t="s">
        <v>452</v>
      </c>
      <c r="F500" s="32" t="s">
        <v>453</v>
      </c>
      <c r="G500" s="32" t="s">
        <v>514</v>
      </c>
      <c r="H500" s="32" t="s">
        <v>454</v>
      </c>
      <c r="I500" s="32" t="s">
        <v>455</v>
      </c>
    </row>
    <row r="501" spans="1:9">
      <c r="A501" s="32" t="s">
        <v>1405</v>
      </c>
      <c r="B501" s="32" t="s">
        <v>111</v>
      </c>
      <c r="D501" s="35">
        <v>16</v>
      </c>
      <c r="E501" s="32" t="s">
        <v>456</v>
      </c>
      <c r="F501" s="32" t="s">
        <v>457</v>
      </c>
      <c r="G501" s="32" t="s">
        <v>458</v>
      </c>
      <c r="H501" s="32" t="s">
        <v>459</v>
      </c>
      <c r="I501" s="32" t="s">
        <v>460</v>
      </c>
    </row>
    <row r="502" spans="1:9">
      <c r="A502" s="32" t="s">
        <v>1405</v>
      </c>
      <c r="B502" s="32" t="s">
        <v>111</v>
      </c>
      <c r="D502" s="35">
        <v>17</v>
      </c>
      <c r="E502" s="32" t="s">
        <v>461</v>
      </c>
      <c r="F502" s="32" t="s">
        <v>402</v>
      </c>
      <c r="G502" s="32" t="s">
        <v>462</v>
      </c>
      <c r="H502" s="32" t="s">
        <v>432</v>
      </c>
      <c r="I502" s="32" t="s">
        <v>460</v>
      </c>
    </row>
    <row r="503" spans="1:9">
      <c r="A503" s="32" t="s">
        <v>1405</v>
      </c>
      <c r="B503" s="32" t="s">
        <v>111</v>
      </c>
      <c r="D503" s="35">
        <v>18</v>
      </c>
      <c r="E503" s="32" t="s">
        <v>463</v>
      </c>
      <c r="F503" s="32" t="s">
        <v>449</v>
      </c>
      <c r="G503" s="32" t="s">
        <v>464</v>
      </c>
      <c r="H503" s="32" t="s">
        <v>465</v>
      </c>
      <c r="I503" s="32" t="s">
        <v>466</v>
      </c>
    </row>
    <row r="504" spans="1:9">
      <c r="A504" s="32" t="s">
        <v>1405</v>
      </c>
      <c r="B504" s="32" t="s">
        <v>111</v>
      </c>
      <c r="D504" s="35">
        <v>19</v>
      </c>
      <c r="E504" s="32" t="s">
        <v>467</v>
      </c>
      <c r="F504" s="32" t="s">
        <v>407</v>
      </c>
      <c r="G504" s="32" t="s">
        <v>468</v>
      </c>
      <c r="H504" s="32" t="s">
        <v>469</v>
      </c>
      <c r="I504" s="32" t="s">
        <v>470</v>
      </c>
    </row>
    <row r="505" spans="1:9">
      <c r="A505" s="32" t="s">
        <v>1405</v>
      </c>
      <c r="B505" s="32" t="s">
        <v>111</v>
      </c>
      <c r="D505" s="35">
        <v>20</v>
      </c>
      <c r="E505" s="32" t="s">
        <v>471</v>
      </c>
      <c r="F505" s="32" t="s">
        <v>420</v>
      </c>
      <c r="G505" s="32" t="s">
        <v>472</v>
      </c>
      <c r="H505" s="32" t="s">
        <v>469</v>
      </c>
      <c r="I505" s="32" t="s">
        <v>473</v>
      </c>
    </row>
    <row r="506" spans="1:9">
      <c r="A506" s="32" t="s">
        <v>1405</v>
      </c>
      <c r="B506" s="32" t="s">
        <v>111</v>
      </c>
      <c r="D506" s="35">
        <v>21</v>
      </c>
      <c r="E506" s="32" t="s">
        <v>474</v>
      </c>
      <c r="F506" s="32" t="s">
        <v>475</v>
      </c>
      <c r="G506" s="32" t="s">
        <v>476</v>
      </c>
      <c r="H506" s="32" t="s">
        <v>477</v>
      </c>
      <c r="I506" s="32" t="s">
        <v>478</v>
      </c>
    </row>
    <row r="507" spans="1:9">
      <c r="A507" s="32" t="s">
        <v>1405</v>
      </c>
      <c r="B507" s="32" t="s">
        <v>111</v>
      </c>
      <c r="D507" s="35">
        <v>22</v>
      </c>
      <c r="E507" s="32" t="s">
        <v>479</v>
      </c>
      <c r="F507" s="32" t="s">
        <v>480</v>
      </c>
      <c r="G507" s="32" t="s">
        <v>481</v>
      </c>
      <c r="H507" s="32" t="s">
        <v>442</v>
      </c>
      <c r="I507" s="32" t="s">
        <v>482</v>
      </c>
    </row>
    <row r="508" spans="1:9">
      <c r="A508" s="32" t="s">
        <v>1405</v>
      </c>
      <c r="B508" s="32" t="s">
        <v>111</v>
      </c>
      <c r="D508" s="35">
        <v>23</v>
      </c>
      <c r="E508" s="32" t="s">
        <v>483</v>
      </c>
      <c r="F508" s="32" t="s">
        <v>484</v>
      </c>
      <c r="G508" s="32" t="s">
        <v>485</v>
      </c>
      <c r="H508" s="32" t="s">
        <v>486</v>
      </c>
      <c r="I508" s="32" t="s">
        <v>487</v>
      </c>
    </row>
    <row r="509" spans="1:9">
      <c r="A509" s="32" t="s">
        <v>1405</v>
      </c>
      <c r="B509" s="32" t="s">
        <v>111</v>
      </c>
      <c r="D509" s="35">
        <v>24</v>
      </c>
      <c r="E509" s="32" t="s">
        <v>488</v>
      </c>
      <c r="F509" s="32" t="s">
        <v>489</v>
      </c>
      <c r="G509" s="32" t="s">
        <v>490</v>
      </c>
      <c r="H509" s="32" t="s">
        <v>404</v>
      </c>
      <c r="I509" s="32" t="s">
        <v>491</v>
      </c>
    </row>
    <row r="510" spans="1:9">
      <c r="A510" s="32" t="s">
        <v>1405</v>
      </c>
      <c r="B510" s="32" t="s">
        <v>111</v>
      </c>
      <c r="D510" s="35">
        <v>25</v>
      </c>
      <c r="E510" s="32" t="s">
        <v>492</v>
      </c>
      <c r="F510" s="32" t="s">
        <v>489</v>
      </c>
      <c r="G510" s="32" t="s">
        <v>490</v>
      </c>
      <c r="H510" s="32" t="s">
        <v>404</v>
      </c>
      <c r="I510" s="32" t="s">
        <v>491</v>
      </c>
    </row>
    <row r="511" spans="1:9">
      <c r="A511" s="32" t="s">
        <v>1405</v>
      </c>
      <c r="B511" s="32" t="s">
        <v>111</v>
      </c>
      <c r="D511" s="35">
        <v>26</v>
      </c>
      <c r="E511" s="32" t="s">
        <v>493</v>
      </c>
      <c r="F511" s="32" t="s">
        <v>489</v>
      </c>
      <c r="G511" s="32" t="s">
        <v>494</v>
      </c>
      <c r="H511" s="32" t="s">
        <v>495</v>
      </c>
      <c r="I511" s="32" t="s">
        <v>496</v>
      </c>
    </row>
    <row r="512" spans="1:9">
      <c r="A512" s="32" t="s">
        <v>1405</v>
      </c>
      <c r="B512" s="32" t="s">
        <v>111</v>
      </c>
      <c r="D512" s="35">
        <v>27</v>
      </c>
      <c r="E512" s="32" t="s">
        <v>497</v>
      </c>
      <c r="F512" s="32" t="s">
        <v>498</v>
      </c>
      <c r="G512" s="32" t="s">
        <v>499</v>
      </c>
      <c r="H512" s="32" t="s">
        <v>500</v>
      </c>
      <c r="I512" s="32" t="s">
        <v>501</v>
      </c>
    </row>
    <row r="513" spans="1:20">
      <c r="A513" s="32" t="s">
        <v>1405</v>
      </c>
      <c r="B513" s="32" t="s">
        <v>111</v>
      </c>
      <c r="D513" s="35">
        <v>28</v>
      </c>
      <c r="E513" s="32" t="s">
        <v>502</v>
      </c>
      <c r="F513" s="32" t="s">
        <v>503</v>
      </c>
      <c r="G513" s="32" t="s">
        <v>504</v>
      </c>
      <c r="H513" s="32" t="s">
        <v>505</v>
      </c>
      <c r="I513" s="32" t="s">
        <v>506</v>
      </c>
    </row>
    <row r="514" spans="1:20">
      <c r="A514" s="32" t="s">
        <v>1405</v>
      </c>
      <c r="B514" s="32" t="s">
        <v>111</v>
      </c>
      <c r="D514" s="35">
        <v>29</v>
      </c>
      <c r="E514" s="32" t="s">
        <v>982</v>
      </c>
      <c r="F514" s="32" t="s">
        <v>983</v>
      </c>
      <c r="G514" s="32" t="s">
        <v>984</v>
      </c>
      <c r="H514" s="32" t="s">
        <v>985</v>
      </c>
      <c r="I514" s="32" t="s">
        <v>986</v>
      </c>
    </row>
    <row r="515" spans="1:20">
      <c r="A515" s="32" t="s">
        <v>1405</v>
      </c>
      <c r="B515" s="32" t="s">
        <v>111</v>
      </c>
      <c r="D515" s="35">
        <v>30</v>
      </c>
      <c r="E515" s="32" t="s">
        <v>507</v>
      </c>
      <c r="F515" s="32" t="s">
        <v>508</v>
      </c>
      <c r="G515" s="32" t="s">
        <v>509</v>
      </c>
      <c r="H515" s="32" t="s">
        <v>510</v>
      </c>
      <c r="I515" s="32" t="s">
        <v>511</v>
      </c>
      <c r="J515" s="37"/>
      <c r="K515" s="36"/>
      <c r="L515" s="35"/>
      <c r="M515" s="37"/>
    </row>
    <row r="516" spans="1:20">
      <c r="A516" s="32" t="s">
        <v>1405</v>
      </c>
      <c r="B516" s="32" t="s">
        <v>111</v>
      </c>
      <c r="D516" s="201">
        <v>31</v>
      </c>
      <c r="E516" s="194" t="s">
        <v>1409</v>
      </c>
      <c r="F516" s="194" t="s">
        <v>425</v>
      </c>
      <c r="G516" s="194" t="s">
        <v>1410</v>
      </c>
      <c r="H516" s="194" t="s">
        <v>1411</v>
      </c>
      <c r="I516" s="194" t="s">
        <v>1412</v>
      </c>
      <c r="J516" s="37"/>
      <c r="K516" s="36"/>
      <c r="L516" s="35"/>
      <c r="M516" s="37"/>
    </row>
    <row r="517" spans="1:20">
      <c r="A517" s="32" t="s">
        <v>1405</v>
      </c>
      <c r="B517" s="32" t="s">
        <v>111</v>
      </c>
      <c r="D517" s="201">
        <v>32</v>
      </c>
      <c r="E517" s="194" t="s">
        <v>1413</v>
      </c>
      <c r="F517" s="194" t="s">
        <v>1414</v>
      </c>
      <c r="G517" s="194" t="s">
        <v>1415</v>
      </c>
      <c r="H517" s="194" t="s">
        <v>1416</v>
      </c>
      <c r="I517" s="194" t="s">
        <v>1417</v>
      </c>
      <c r="J517" s="37"/>
      <c r="K517" s="36"/>
      <c r="L517" s="35"/>
      <c r="M517" s="37"/>
    </row>
    <row r="518" spans="1:20">
      <c r="A518" s="32" t="s">
        <v>1405</v>
      </c>
      <c r="B518" s="32" t="s">
        <v>111</v>
      </c>
      <c r="D518" s="201">
        <v>33</v>
      </c>
      <c r="E518" s="194" t="s">
        <v>1418</v>
      </c>
      <c r="F518" s="194" t="s">
        <v>1419</v>
      </c>
      <c r="G518" s="194" t="s">
        <v>1420</v>
      </c>
      <c r="H518" s="194" t="s">
        <v>1421</v>
      </c>
      <c r="I518" s="194" t="s">
        <v>1422</v>
      </c>
      <c r="J518" s="37"/>
      <c r="K518" s="36"/>
      <c r="L518" s="35"/>
      <c r="M518" s="37"/>
    </row>
    <row r="519" spans="1:20">
      <c r="A519" s="32" t="s">
        <v>1405</v>
      </c>
      <c r="B519" s="32" t="s">
        <v>111</v>
      </c>
      <c r="D519" s="201">
        <v>34</v>
      </c>
      <c r="E519" s="194" t="s">
        <v>1423</v>
      </c>
      <c r="F519" s="194" t="s">
        <v>393</v>
      </c>
      <c r="G519" s="194" t="s">
        <v>1424</v>
      </c>
      <c r="H519" s="194" t="s">
        <v>1425</v>
      </c>
      <c r="I519" s="194" t="s">
        <v>1426</v>
      </c>
      <c r="J519" s="37"/>
      <c r="K519" s="36"/>
      <c r="L519" s="35"/>
      <c r="M519" s="37"/>
    </row>
    <row r="520" spans="1:20">
      <c r="A520" s="32" t="s">
        <v>1405</v>
      </c>
      <c r="E520" s="36"/>
      <c r="F520" s="35"/>
      <c r="G520" s="37"/>
      <c r="H520" s="36"/>
      <c r="I520" s="35"/>
      <c r="K520" s="36"/>
      <c r="L520" s="35"/>
      <c r="M520" s="37"/>
      <c r="S520" s="37"/>
      <c r="T520" s="175"/>
    </row>
    <row r="521" spans="1:20" s="58" customFormat="1">
      <c r="A521" s="32" t="s">
        <v>1405</v>
      </c>
      <c r="B521" s="32" t="s">
        <v>123</v>
      </c>
      <c r="D521" s="32" t="s">
        <v>981</v>
      </c>
    </row>
    <row r="522" spans="1:20">
      <c r="A522" s="70" t="s">
        <v>1406</v>
      </c>
      <c r="B522" s="70" t="s">
        <v>119</v>
      </c>
      <c r="C522" s="70"/>
      <c r="D522" s="205" t="s">
        <v>1429</v>
      </c>
      <c r="E522" s="94"/>
      <c r="F522" s="94"/>
      <c r="G522" s="70"/>
      <c r="H522" s="70"/>
      <c r="I522" s="70"/>
      <c r="J522" s="70"/>
      <c r="K522" s="70"/>
      <c r="L522" s="70"/>
      <c r="M522" s="70"/>
      <c r="N522" s="70"/>
      <c r="O522" s="70"/>
      <c r="P522" s="70"/>
      <c r="Q522" s="70"/>
      <c r="R522" s="70"/>
    </row>
    <row r="523" spans="1:20">
      <c r="A523" s="32" t="s">
        <v>1406</v>
      </c>
      <c r="B523" s="32" t="s">
        <v>121</v>
      </c>
      <c r="D523" s="194" t="s">
        <v>1437</v>
      </c>
    </row>
    <row r="524" spans="1:20">
      <c r="A524" s="32" t="s">
        <v>1406</v>
      </c>
      <c r="B524" s="32" t="s">
        <v>121</v>
      </c>
      <c r="D524" s="32" t="s">
        <v>882</v>
      </c>
    </row>
    <row r="525" spans="1:20">
      <c r="A525" s="32" t="s">
        <v>1406</v>
      </c>
    </row>
    <row r="526" spans="1:20">
      <c r="A526" s="32" t="s">
        <v>1406</v>
      </c>
      <c r="B526" s="32" t="s">
        <v>324</v>
      </c>
      <c r="D526" s="32" t="s">
        <v>516</v>
      </c>
      <c r="E526" s="32" t="s">
        <v>517</v>
      </c>
      <c r="F526" s="32" t="s">
        <v>1439</v>
      </c>
      <c r="G526" s="32" t="s">
        <v>520</v>
      </c>
      <c r="H526" s="32" t="s">
        <v>1449</v>
      </c>
      <c r="I526" s="32" t="s">
        <v>521</v>
      </c>
      <c r="J526" s="32" t="s">
        <v>961</v>
      </c>
    </row>
    <row r="527" spans="1:20">
      <c r="A527" s="32" t="s">
        <v>1406</v>
      </c>
      <c r="B527" s="32" t="s">
        <v>111</v>
      </c>
      <c r="D527" s="194" t="s">
        <v>674</v>
      </c>
      <c r="E527" s="204" t="s">
        <v>993</v>
      </c>
      <c r="F527" s="204" t="s">
        <v>1440</v>
      </c>
      <c r="G527" s="204" t="s">
        <v>1442</v>
      </c>
      <c r="H527" s="204" t="s">
        <v>1441</v>
      </c>
      <c r="I527" s="204" t="s">
        <v>1443</v>
      </c>
      <c r="J527" s="194"/>
      <c r="K527" s="194"/>
    </row>
    <row r="528" spans="1:20">
      <c r="A528" s="32" t="s">
        <v>1406</v>
      </c>
      <c r="B528" s="32" t="s">
        <v>111</v>
      </c>
      <c r="D528" s="194" t="s">
        <v>674</v>
      </c>
      <c r="E528" s="204" t="s">
        <v>1444</v>
      </c>
      <c r="F528" s="204" t="s">
        <v>1445</v>
      </c>
      <c r="G528" s="194" t="s">
        <v>1446</v>
      </c>
      <c r="H528" s="204" t="s">
        <v>1447</v>
      </c>
      <c r="I528" s="204" t="s">
        <v>1448</v>
      </c>
      <c r="J528" s="194"/>
      <c r="K528" s="194"/>
    </row>
    <row r="529" spans="1:20">
      <c r="A529" s="32" t="s">
        <v>1406</v>
      </c>
      <c r="B529" s="32" t="s">
        <v>111</v>
      </c>
      <c r="D529" s="194" t="s">
        <v>1560</v>
      </c>
      <c r="E529" s="204" t="s">
        <v>1000</v>
      </c>
      <c r="F529" s="204" t="s">
        <v>1450</v>
      </c>
      <c r="G529" s="204" t="s">
        <v>1451</v>
      </c>
      <c r="H529" s="204" t="s">
        <v>1452</v>
      </c>
      <c r="I529" s="204" t="s">
        <v>1453</v>
      </c>
      <c r="J529" s="194"/>
      <c r="K529" s="194"/>
    </row>
    <row r="530" spans="1:20">
      <c r="A530" s="32" t="s">
        <v>1406</v>
      </c>
      <c r="B530" s="32" t="s">
        <v>111</v>
      </c>
      <c r="D530" s="194" t="s">
        <v>1561</v>
      </c>
      <c r="E530" s="204" t="s">
        <v>300</v>
      </c>
      <c r="F530" s="204" t="s">
        <v>1454</v>
      </c>
      <c r="G530" s="194" t="s">
        <v>1455</v>
      </c>
      <c r="H530" s="204" t="s">
        <v>1456</v>
      </c>
      <c r="I530" s="204" t="s">
        <v>1457</v>
      </c>
      <c r="J530" s="194"/>
      <c r="K530" s="194"/>
    </row>
    <row r="531" spans="1:20">
      <c r="A531" s="32" t="s">
        <v>1406</v>
      </c>
      <c r="B531" s="32" t="s">
        <v>111</v>
      </c>
      <c r="D531" s="194" t="s">
        <v>1561</v>
      </c>
      <c r="E531" s="204" t="s">
        <v>1458</v>
      </c>
      <c r="F531" s="204" t="s">
        <v>1459</v>
      </c>
      <c r="G531" s="194" t="s">
        <v>1455</v>
      </c>
      <c r="H531" s="204" t="s">
        <v>1460</v>
      </c>
      <c r="I531" s="204" t="s">
        <v>1461</v>
      </c>
      <c r="J531" s="194"/>
      <c r="K531" s="194"/>
    </row>
    <row r="532" spans="1:20">
      <c r="A532" s="32" t="s">
        <v>1406</v>
      </c>
      <c r="B532" s="32" t="s">
        <v>111</v>
      </c>
      <c r="D532" s="194" t="s">
        <v>1561</v>
      </c>
      <c r="E532" s="204" t="s">
        <v>1462</v>
      </c>
      <c r="F532" s="204" t="s">
        <v>1463</v>
      </c>
      <c r="G532" s="194" t="s">
        <v>1455</v>
      </c>
      <c r="H532" s="204" t="s">
        <v>1464</v>
      </c>
      <c r="I532" s="204" t="s">
        <v>1465</v>
      </c>
      <c r="J532" s="194"/>
      <c r="K532" s="194"/>
    </row>
    <row r="533" spans="1:20">
      <c r="A533" s="32" t="s">
        <v>1406</v>
      </c>
      <c r="B533" s="32" t="s">
        <v>111</v>
      </c>
      <c r="D533" s="194" t="s">
        <v>988</v>
      </c>
      <c r="E533" s="204" t="s">
        <v>1466</v>
      </c>
      <c r="F533" s="204" t="s">
        <v>1467</v>
      </c>
      <c r="G533" s="194" t="s">
        <v>1455</v>
      </c>
      <c r="H533" s="204" t="s">
        <v>1468</v>
      </c>
      <c r="I533" s="204" t="s">
        <v>992</v>
      </c>
      <c r="J533" s="194"/>
      <c r="K533" s="194"/>
    </row>
    <row r="534" spans="1:20">
      <c r="A534" s="32" t="s">
        <v>1406</v>
      </c>
      <c r="B534" s="32" t="s">
        <v>111</v>
      </c>
      <c r="D534" s="194" t="s">
        <v>989</v>
      </c>
      <c r="E534" s="204" t="s">
        <v>1469</v>
      </c>
      <c r="F534" s="204" t="s">
        <v>1470</v>
      </c>
      <c r="G534" s="204" t="s">
        <v>1471</v>
      </c>
      <c r="H534" s="204" t="s">
        <v>1472</v>
      </c>
      <c r="I534" s="204" t="s">
        <v>1473</v>
      </c>
      <c r="J534" s="194"/>
      <c r="K534" s="194"/>
    </row>
    <row r="535" spans="1:20">
      <c r="A535" s="32" t="s">
        <v>1406</v>
      </c>
      <c r="B535" s="32" t="s">
        <v>111</v>
      </c>
      <c r="D535" s="194" t="s">
        <v>990</v>
      </c>
      <c r="E535" s="204" t="s">
        <v>300</v>
      </c>
      <c r="F535" s="204" t="s">
        <v>1474</v>
      </c>
      <c r="G535" s="204" t="s">
        <v>1446</v>
      </c>
      <c r="H535" s="204" t="s">
        <v>1475</v>
      </c>
      <c r="I535" s="204" t="s">
        <v>1476</v>
      </c>
      <c r="J535" s="194"/>
      <c r="K535" s="194"/>
    </row>
    <row r="536" spans="1:20">
      <c r="A536" s="32" t="s">
        <v>1406</v>
      </c>
      <c r="B536" s="32" t="s">
        <v>111</v>
      </c>
      <c r="D536" s="194" t="s">
        <v>990</v>
      </c>
      <c r="E536" s="204" t="s">
        <v>1477</v>
      </c>
      <c r="F536" s="204" t="s">
        <v>1478</v>
      </c>
      <c r="G536" s="204" t="s">
        <v>1479</v>
      </c>
      <c r="H536" s="204" t="s">
        <v>1480</v>
      </c>
      <c r="I536" s="204" t="s">
        <v>1481</v>
      </c>
      <c r="J536" s="194"/>
      <c r="K536" s="194"/>
    </row>
    <row r="537" spans="1:20">
      <c r="A537" s="32" t="s">
        <v>1406</v>
      </c>
      <c r="B537" s="32" t="s">
        <v>111</v>
      </c>
      <c r="D537" s="194" t="s">
        <v>990</v>
      </c>
      <c r="E537" s="204" t="s">
        <v>1482</v>
      </c>
      <c r="F537" s="204" t="s">
        <v>1483</v>
      </c>
      <c r="G537" s="204" t="s">
        <v>1484</v>
      </c>
      <c r="H537" s="204" t="s">
        <v>1485</v>
      </c>
      <c r="I537" s="204" t="s">
        <v>1486</v>
      </c>
      <c r="J537" s="194"/>
      <c r="K537" s="194"/>
    </row>
    <row r="538" spans="1:20">
      <c r="A538" s="32" t="s">
        <v>1406</v>
      </c>
      <c r="B538" s="32" t="s">
        <v>111</v>
      </c>
      <c r="D538" s="194" t="s">
        <v>990</v>
      </c>
      <c r="E538" s="204" t="s">
        <v>300</v>
      </c>
      <c r="F538" s="204" t="s">
        <v>1487</v>
      </c>
      <c r="G538" s="204" t="s">
        <v>1488</v>
      </c>
      <c r="H538" s="204" t="s">
        <v>1489</v>
      </c>
      <c r="I538" s="204" t="s">
        <v>1490</v>
      </c>
      <c r="J538" s="194"/>
      <c r="K538" s="194"/>
    </row>
    <row r="539" spans="1:20">
      <c r="A539" s="32" t="s">
        <v>1406</v>
      </c>
      <c r="B539" s="32" t="s">
        <v>111</v>
      </c>
      <c r="D539" s="194" t="s">
        <v>990</v>
      </c>
      <c r="E539" s="204" t="s">
        <v>1491</v>
      </c>
      <c r="F539" s="204" t="s">
        <v>1492</v>
      </c>
      <c r="G539" s="204" t="s">
        <v>1455</v>
      </c>
      <c r="H539" s="204" t="s">
        <v>1493</v>
      </c>
      <c r="I539" s="204" t="s">
        <v>1494</v>
      </c>
      <c r="J539" s="194"/>
      <c r="K539" s="194"/>
    </row>
    <row r="540" spans="1:20" s="58" customFormat="1">
      <c r="A540" s="32" t="s">
        <v>1406</v>
      </c>
      <c r="B540" s="32" t="s">
        <v>111</v>
      </c>
      <c r="D540" s="194" t="s">
        <v>990</v>
      </c>
      <c r="E540" s="204" t="s">
        <v>1495</v>
      </c>
      <c r="F540" s="204" t="s">
        <v>1496</v>
      </c>
      <c r="G540" s="204" t="s">
        <v>1497</v>
      </c>
      <c r="H540" s="204" t="s">
        <v>1498</v>
      </c>
      <c r="I540" s="204" t="s">
        <v>1499</v>
      </c>
      <c r="J540" s="194"/>
      <c r="K540" s="194"/>
      <c r="L540" s="32"/>
    </row>
    <row r="541" spans="1:20">
      <c r="A541" s="32" t="s">
        <v>1406</v>
      </c>
      <c r="B541" s="32" t="s">
        <v>111</v>
      </c>
      <c r="D541" s="194" t="s">
        <v>1562</v>
      </c>
      <c r="E541" s="204" t="s">
        <v>1501</v>
      </c>
      <c r="F541" s="204" t="s">
        <v>1502</v>
      </c>
      <c r="G541" s="204" t="s">
        <v>1500</v>
      </c>
      <c r="H541" s="204" t="s">
        <v>1503</v>
      </c>
      <c r="I541" s="204" t="s">
        <v>1504</v>
      </c>
      <c r="J541" s="194"/>
      <c r="K541" s="194"/>
      <c r="T541" s="175"/>
    </row>
    <row r="542" spans="1:20">
      <c r="A542" s="32" t="s">
        <v>1406</v>
      </c>
      <c r="B542" s="32" t="s">
        <v>111</v>
      </c>
      <c r="D542" s="194" t="s">
        <v>1562</v>
      </c>
      <c r="E542" s="204" t="s">
        <v>1505</v>
      </c>
      <c r="F542" s="204" t="s">
        <v>1506</v>
      </c>
      <c r="G542" s="194" t="s">
        <v>1442</v>
      </c>
      <c r="H542" s="204" t="s">
        <v>1507</v>
      </c>
      <c r="I542" s="204" t="s">
        <v>1508</v>
      </c>
      <c r="J542" s="194"/>
      <c r="K542" s="194"/>
      <c r="T542" s="175"/>
    </row>
    <row r="543" spans="1:20">
      <c r="D543" s="194" t="s">
        <v>991</v>
      </c>
      <c r="E543" s="204" t="s">
        <v>1505</v>
      </c>
      <c r="F543" s="194" t="s">
        <v>1564</v>
      </c>
      <c r="G543" s="194" t="s">
        <v>1455</v>
      </c>
      <c r="H543" s="194" t="s">
        <v>1565</v>
      </c>
      <c r="I543" s="200" t="s">
        <v>1563</v>
      </c>
      <c r="J543" s="194"/>
      <c r="K543" s="194"/>
      <c r="T543" s="175"/>
    </row>
    <row r="544" spans="1:20">
      <c r="A544" s="32" t="s">
        <v>1406</v>
      </c>
      <c r="B544" s="32" t="s">
        <v>111</v>
      </c>
      <c r="D544" s="194" t="s">
        <v>991</v>
      </c>
      <c r="E544" s="204" t="s">
        <v>1509</v>
      </c>
      <c r="F544" s="204" t="s">
        <v>1510</v>
      </c>
      <c r="G544" s="194" t="s">
        <v>1511</v>
      </c>
      <c r="H544" s="204" t="s">
        <v>1512</v>
      </c>
      <c r="I544" s="204" t="s">
        <v>1513</v>
      </c>
      <c r="J544" s="194"/>
      <c r="K544" s="194"/>
      <c r="T544" s="175"/>
    </row>
    <row r="545" spans="1:20">
      <c r="A545" s="32" t="s">
        <v>1406</v>
      </c>
      <c r="B545" s="32" t="s">
        <v>111</v>
      </c>
      <c r="D545" s="194" t="s">
        <v>994</v>
      </c>
      <c r="E545" s="204" t="s">
        <v>999</v>
      </c>
      <c r="F545" s="204" t="s">
        <v>1514</v>
      </c>
      <c r="G545" s="194" t="s">
        <v>1515</v>
      </c>
      <c r="H545" s="204" t="s">
        <v>1516</v>
      </c>
      <c r="I545" s="204" t="s">
        <v>1517</v>
      </c>
      <c r="J545" s="194"/>
      <c r="K545" s="194"/>
      <c r="T545" s="175"/>
    </row>
    <row r="546" spans="1:20">
      <c r="A546" s="32" t="s">
        <v>1406</v>
      </c>
      <c r="B546" s="32" t="s">
        <v>111</v>
      </c>
      <c r="D546" s="194" t="s">
        <v>994</v>
      </c>
      <c r="E546" s="204" t="s">
        <v>1518</v>
      </c>
      <c r="F546" s="204" t="s">
        <v>1519</v>
      </c>
      <c r="G546" s="194" t="s">
        <v>1520</v>
      </c>
      <c r="H546" s="204" t="s">
        <v>1521</v>
      </c>
      <c r="I546" s="204" t="s">
        <v>1522</v>
      </c>
      <c r="J546" s="194"/>
      <c r="K546" s="194"/>
      <c r="T546" s="175"/>
    </row>
    <row r="547" spans="1:20">
      <c r="A547" s="32" t="s">
        <v>1406</v>
      </c>
      <c r="B547" s="32" t="s">
        <v>111</v>
      </c>
      <c r="D547" s="194" t="s">
        <v>995</v>
      </c>
      <c r="E547" s="204" t="s">
        <v>997</v>
      </c>
      <c r="F547" s="204" t="s">
        <v>1524</v>
      </c>
      <c r="G547" s="194" t="s">
        <v>1520</v>
      </c>
      <c r="H547" s="204" t="s">
        <v>1523</v>
      </c>
      <c r="I547" s="299" t="s">
        <v>1525</v>
      </c>
      <c r="J547" s="194"/>
      <c r="K547" s="194"/>
      <c r="T547" s="175"/>
    </row>
    <row r="548" spans="1:20">
      <c r="A548" s="32" t="s">
        <v>1406</v>
      </c>
      <c r="B548" s="32" t="s">
        <v>111</v>
      </c>
      <c r="D548" s="194" t="s">
        <v>995</v>
      </c>
      <c r="E548" s="204" t="s">
        <v>1526</v>
      </c>
      <c r="F548" s="204" t="s">
        <v>1527</v>
      </c>
      <c r="G548" s="194" t="s">
        <v>1528</v>
      </c>
      <c r="H548" s="204" t="s">
        <v>1529</v>
      </c>
      <c r="I548" s="204" t="s">
        <v>1530</v>
      </c>
      <c r="J548" s="194"/>
      <c r="K548" s="194"/>
      <c r="T548" s="175"/>
    </row>
    <row r="549" spans="1:20">
      <c r="A549" s="32" t="s">
        <v>1406</v>
      </c>
      <c r="B549" s="32" t="s">
        <v>111</v>
      </c>
      <c r="D549" s="194" t="s">
        <v>995</v>
      </c>
      <c r="E549" s="204" t="s">
        <v>300</v>
      </c>
      <c r="F549" s="204" t="s">
        <v>1531</v>
      </c>
      <c r="G549" s="194" t="s">
        <v>1532</v>
      </c>
      <c r="H549" s="204" t="s">
        <v>1533</v>
      </c>
      <c r="I549" s="204" t="s">
        <v>1534</v>
      </c>
      <c r="J549" s="194"/>
      <c r="K549" s="194"/>
      <c r="T549" s="175"/>
    </row>
    <row r="550" spans="1:20">
      <c r="A550" s="32" t="s">
        <v>1406</v>
      </c>
      <c r="B550" s="32" t="s">
        <v>111</v>
      </c>
      <c r="D550" s="194" t="s">
        <v>995</v>
      </c>
      <c r="E550" s="204" t="s">
        <v>1535</v>
      </c>
      <c r="F550" s="204" t="s">
        <v>1536</v>
      </c>
      <c r="G550" s="194" t="s">
        <v>1500</v>
      </c>
      <c r="H550" s="204" t="s">
        <v>1537</v>
      </c>
      <c r="I550" s="204" t="s">
        <v>1538</v>
      </c>
      <c r="J550" s="194"/>
      <c r="K550" s="194"/>
      <c r="T550" s="175"/>
    </row>
    <row r="551" spans="1:20">
      <c r="A551" s="32" t="s">
        <v>1406</v>
      </c>
      <c r="B551" s="32" t="s">
        <v>111</v>
      </c>
      <c r="D551" s="194" t="s">
        <v>995</v>
      </c>
      <c r="E551" s="204" t="s">
        <v>1539</v>
      </c>
      <c r="F551" s="204" t="s">
        <v>1540</v>
      </c>
      <c r="G551" s="194" t="s">
        <v>1541</v>
      </c>
      <c r="H551" s="204" t="s">
        <v>1542</v>
      </c>
      <c r="I551" s="204" t="s">
        <v>1543</v>
      </c>
      <c r="J551" s="194"/>
      <c r="K551" s="194"/>
      <c r="T551" s="175"/>
    </row>
    <row r="552" spans="1:20">
      <c r="A552" s="32" t="s">
        <v>1406</v>
      </c>
      <c r="B552" s="32" t="s">
        <v>111</v>
      </c>
      <c r="D552" s="194" t="s">
        <v>996</v>
      </c>
      <c r="E552" s="204" t="s">
        <v>299</v>
      </c>
      <c r="F552" s="204" t="s">
        <v>1544</v>
      </c>
      <c r="G552" s="194" t="s">
        <v>1545</v>
      </c>
      <c r="H552" s="204" t="s">
        <v>1546</v>
      </c>
      <c r="I552" s="204" t="s">
        <v>1547</v>
      </c>
      <c r="J552" s="194"/>
      <c r="K552" s="194"/>
      <c r="T552" s="175"/>
    </row>
    <row r="553" spans="1:20">
      <c r="A553" s="32" t="s">
        <v>1406</v>
      </c>
      <c r="B553" s="32" t="s">
        <v>111</v>
      </c>
      <c r="D553" s="194" t="s">
        <v>996</v>
      </c>
      <c r="E553" s="277" t="s">
        <v>998</v>
      </c>
      <c r="F553" s="277" t="s">
        <v>1548</v>
      </c>
      <c r="G553" s="194" t="s">
        <v>1549</v>
      </c>
      <c r="H553" s="277" t="s">
        <v>1550</v>
      </c>
      <c r="I553" s="277" t="s">
        <v>1551</v>
      </c>
      <c r="J553" s="194"/>
      <c r="K553" s="194"/>
      <c r="T553" s="175"/>
    </row>
    <row r="554" spans="1:20">
      <c r="A554" s="32" t="s">
        <v>1406</v>
      </c>
      <c r="B554" s="32" t="s">
        <v>111</v>
      </c>
      <c r="D554" s="194" t="s">
        <v>996</v>
      </c>
      <c r="E554" s="277" t="s">
        <v>999</v>
      </c>
      <c r="F554" s="277" t="s">
        <v>1552</v>
      </c>
      <c r="G554" s="194" t="s">
        <v>1446</v>
      </c>
      <c r="H554" s="277" t="s">
        <v>1553</v>
      </c>
      <c r="I554" s="277" t="s">
        <v>1554</v>
      </c>
      <c r="J554" s="194"/>
      <c r="K554" s="194"/>
      <c r="T554" s="175"/>
    </row>
    <row r="555" spans="1:20">
      <c r="A555" s="32" t="s">
        <v>1406</v>
      </c>
      <c r="B555" s="32" t="s">
        <v>111</v>
      </c>
      <c r="D555" s="194" t="s">
        <v>996</v>
      </c>
      <c r="E555" s="277" t="s">
        <v>1555</v>
      </c>
      <c r="F555" s="277" t="s">
        <v>1556</v>
      </c>
      <c r="G555" s="194" t="s">
        <v>1557</v>
      </c>
      <c r="H555" s="277" t="s">
        <v>1558</v>
      </c>
      <c r="I555" s="277" t="s">
        <v>1559</v>
      </c>
      <c r="J555" s="194"/>
      <c r="K555" s="194"/>
      <c r="T555" s="175"/>
    </row>
    <row r="556" spans="1:20">
      <c r="A556" s="32" t="s">
        <v>1406</v>
      </c>
      <c r="B556" s="32" t="s">
        <v>111</v>
      </c>
      <c r="D556" s="194" t="s">
        <v>1566</v>
      </c>
      <c r="E556" s="277" t="s">
        <v>998</v>
      </c>
      <c r="F556" s="194" t="s">
        <v>1568</v>
      </c>
      <c r="G556" s="194" t="s">
        <v>1567</v>
      </c>
      <c r="H556" s="557" t="s">
        <v>1569</v>
      </c>
      <c r="I556" s="200" t="s">
        <v>1570</v>
      </c>
      <c r="J556" s="194"/>
      <c r="K556" s="194"/>
      <c r="T556" s="175"/>
    </row>
    <row r="557" spans="1:20">
      <c r="A557" s="32" t="s">
        <v>1406</v>
      </c>
      <c r="B557" s="32" t="s">
        <v>111</v>
      </c>
      <c r="D557" s="194" t="s">
        <v>1566</v>
      </c>
      <c r="E557" s="277" t="s">
        <v>1491</v>
      </c>
      <c r="F557" s="194" t="s">
        <v>1571</v>
      </c>
      <c r="G557" s="194" t="s">
        <v>1446</v>
      </c>
      <c r="H557" s="194" t="s">
        <v>1572</v>
      </c>
      <c r="I557" s="200" t="s">
        <v>1573</v>
      </c>
      <c r="J557" s="194"/>
      <c r="K557" s="194"/>
      <c r="T557" s="175"/>
    </row>
    <row r="558" spans="1:20">
      <c r="A558" s="32" t="s">
        <v>1406</v>
      </c>
      <c r="B558" s="32" t="s">
        <v>111</v>
      </c>
      <c r="D558" s="194" t="s">
        <v>1566</v>
      </c>
      <c r="E558" s="277" t="s">
        <v>1575</v>
      </c>
      <c r="F558" s="194" t="s">
        <v>1576</v>
      </c>
      <c r="G558" s="194" t="s">
        <v>1574</v>
      </c>
      <c r="H558" s="194" t="s">
        <v>1577</v>
      </c>
      <c r="I558" s="200" t="s">
        <v>1578</v>
      </c>
      <c r="J558" s="194"/>
      <c r="K558" s="194"/>
      <c r="T558" s="175"/>
    </row>
    <row r="559" spans="1:20">
      <c r="A559" s="32" t="s">
        <v>1406</v>
      </c>
      <c r="B559" s="32" t="s">
        <v>111</v>
      </c>
      <c r="D559" s="194" t="s">
        <v>1566</v>
      </c>
      <c r="E559" s="204" t="s">
        <v>1579</v>
      </c>
      <c r="F559" s="204" t="s">
        <v>1580</v>
      </c>
      <c r="G559" s="204" t="s">
        <v>1455</v>
      </c>
      <c r="H559" s="204" t="s">
        <v>1581</v>
      </c>
      <c r="I559" s="204" t="s">
        <v>1582</v>
      </c>
      <c r="J559" s="194"/>
      <c r="K559" s="194"/>
      <c r="S559" s="103" t="s">
        <v>1435</v>
      </c>
    </row>
    <row r="560" spans="1:20">
      <c r="A560" s="32" t="s">
        <v>1406</v>
      </c>
      <c r="B560" s="32" t="s">
        <v>111</v>
      </c>
      <c r="D560" s="300"/>
      <c r="E560" s="301"/>
      <c r="F560" s="301" t="s">
        <v>1001</v>
      </c>
      <c r="G560" s="301"/>
      <c r="H560" s="302"/>
      <c r="I560" s="303" t="s">
        <v>1583</v>
      </c>
      <c r="J560" s="304"/>
      <c r="K560" s="194"/>
      <c r="M560" s="103"/>
    </row>
    <row r="561" spans="1:22">
      <c r="A561" s="32" t="s">
        <v>1406</v>
      </c>
    </row>
    <row r="562" spans="1:22">
      <c r="A562" s="32" t="s">
        <v>1406</v>
      </c>
      <c r="B562" s="32" t="s">
        <v>123</v>
      </c>
      <c r="D562" s="194" t="s">
        <v>1438</v>
      </c>
    </row>
    <row r="563" spans="1:22">
      <c r="A563" s="32" t="s">
        <v>1406</v>
      </c>
      <c r="D563" s="194"/>
    </row>
    <row r="564" spans="1:22">
      <c r="A564" s="70" t="s">
        <v>1407</v>
      </c>
      <c r="B564" s="70" t="s">
        <v>119</v>
      </c>
      <c r="C564" s="70"/>
      <c r="D564" s="205" t="s">
        <v>1434</v>
      </c>
      <c r="E564" s="94"/>
      <c r="F564" s="94"/>
      <c r="G564" s="70"/>
      <c r="H564" s="70"/>
      <c r="I564" s="70"/>
      <c r="J564" s="70"/>
      <c r="K564" s="70"/>
      <c r="L564" s="70"/>
      <c r="M564" s="70"/>
      <c r="N564" s="70"/>
      <c r="O564" s="70"/>
      <c r="P564" s="70"/>
      <c r="Q564" s="70"/>
      <c r="R564" s="70"/>
    </row>
    <row r="565" spans="1:22">
      <c r="A565" s="32" t="s">
        <v>1408</v>
      </c>
      <c r="B565" s="32" t="s">
        <v>121</v>
      </c>
      <c r="D565" s="194" t="s">
        <v>1584</v>
      </c>
    </row>
    <row r="566" spans="1:22">
      <c r="A566" s="32" t="s">
        <v>1408</v>
      </c>
      <c r="V566" s="33"/>
    </row>
    <row r="567" spans="1:22">
      <c r="A567" s="32" t="s">
        <v>1408</v>
      </c>
      <c r="B567" s="32" t="s">
        <v>111</v>
      </c>
      <c r="D567" s="32" t="s">
        <v>19</v>
      </c>
      <c r="E567" s="192" t="s">
        <v>166</v>
      </c>
      <c r="F567" s="192" t="s">
        <v>675</v>
      </c>
      <c r="G567" s="556" t="s">
        <v>987</v>
      </c>
      <c r="H567" s="299" t="s">
        <v>1433</v>
      </c>
      <c r="I567" s="32" t="s">
        <v>1432</v>
      </c>
    </row>
    <row r="568" spans="1:22">
      <c r="A568" s="32" t="s">
        <v>1408</v>
      </c>
      <c r="B568" s="32" t="s">
        <v>111</v>
      </c>
      <c r="D568" s="32" t="s">
        <v>881</v>
      </c>
      <c r="E568" s="192">
        <v>4.7</v>
      </c>
      <c r="F568" s="192">
        <v>8.6999999999999993</v>
      </c>
      <c r="G568" s="376">
        <v>11.0595</v>
      </c>
      <c r="H568" s="198">
        <v>13.37</v>
      </c>
      <c r="I568" s="35"/>
    </row>
    <row r="569" spans="1:22">
      <c r="A569" s="32" t="s">
        <v>1408</v>
      </c>
      <c r="D569" s="35"/>
      <c r="E569" s="36"/>
      <c r="F569" s="35"/>
      <c r="G569" s="37"/>
      <c r="H569" s="36"/>
      <c r="I569" s="35"/>
      <c r="J569" s="37"/>
      <c r="T569" s="175"/>
    </row>
    <row r="570" spans="1:22">
      <c r="A570" s="32" t="s">
        <v>1408</v>
      </c>
      <c r="D570" s="181"/>
      <c r="E570" s="36"/>
      <c r="F570" s="35"/>
      <c r="G570" s="37"/>
      <c r="H570" s="36"/>
      <c r="I570" s="35"/>
      <c r="J570" s="37"/>
      <c r="T570" s="175"/>
    </row>
    <row r="571" spans="1:22">
      <c r="A571" s="32" t="s">
        <v>1408</v>
      </c>
      <c r="B571" s="32" t="s">
        <v>123</v>
      </c>
      <c r="D571" s="194" t="s">
        <v>1428</v>
      </c>
    </row>
    <row r="572" spans="1:22">
      <c r="A572" s="32" t="s">
        <v>1408</v>
      </c>
      <c r="B572" s="32" t="s">
        <v>123</v>
      </c>
      <c r="D572" s="194" t="s">
        <v>1438</v>
      </c>
    </row>
    <row r="577" spans="8:8">
      <c r="H577" s="558"/>
    </row>
  </sheetData>
  <autoFilter ref="A1:B540" xr:uid="{00000000-0009-0000-0000-000005000000}"/>
  <sortState ref="P216:R236">
    <sortCondition descending="1" ref="R216:R236"/>
  </sortState>
  <mergeCells count="3">
    <mergeCell ref="E31:G31"/>
    <mergeCell ref="H31:J31"/>
    <mergeCell ref="K31:M31"/>
  </mergeCells>
  <phoneticPr fontId="13" type="noConversion"/>
  <hyperlinks>
    <hyperlink ref="S167" r:id="rId1" display="https://www.pharmnews.com/news/articleView.html?idxno=202431" xr:uid="{00000000-0004-0000-0500-000000000000}"/>
    <hyperlink ref="P237" r:id="rId2" display="https://www.pharmexec.com/view/2022-pharm-exec-top-50-companies" xr:uid="{00000000-0004-0000-0500-000001000000}"/>
    <hyperlink ref="P264" r:id="rId3" display="https://www.pharmnews.com/news/articleView.html?idxno=202966" xr:uid="{00000000-0004-0000-0500-000002000000}"/>
    <hyperlink ref="S479" r:id="rId4" display="https://www.fda.gov/drugs/new-drugs-fda-cders-new-molecular-entities-and-new-therapeutic-biological-products/novel-drug-approvals-2021" xr:uid="{00000000-0004-0000-0500-000003000000}"/>
    <hyperlink ref="S559" r:id="rId5" display="https://medigatenews.com/news/1650330222" xr:uid="{00000000-0004-0000-0500-000004000000}"/>
    <hyperlink ref="N305" r:id="rId6" display="https://www.mfds.go.kr/wpge/m_651/de010619l0001.do" xr:uid="{00000000-0004-0000-0500-000005000000}"/>
  </hyperlinks>
  <pageMargins left="0.7" right="0.7" top="0.75" bottom="0.75" header="0.3" footer="0.3"/>
  <pageSetup paperSize="9" scale="47" fitToHeight="0" orientation="landscape" r:id="rId7"/>
  <drawing r:id="rId8"/>
  <tableParts count="22"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U274"/>
  <sheetViews>
    <sheetView topLeftCell="A249" zoomScale="80" zoomScaleNormal="80" workbookViewId="0">
      <selection activeCell="L208" sqref="L208"/>
    </sheetView>
  </sheetViews>
  <sheetFormatPr defaultColWidth="10.625" defaultRowHeight="16.5"/>
  <cols>
    <col min="1" max="2" width="15.625" style="38" customWidth="1"/>
    <col min="3" max="3" width="1.625" style="38" customWidth="1"/>
    <col min="4" max="4" width="10.625" style="38" customWidth="1"/>
    <col min="5" max="5" width="16.5" style="38" customWidth="1"/>
    <col min="6" max="6" width="16.625" style="38" customWidth="1"/>
    <col min="7" max="7" width="16.375" style="38" customWidth="1"/>
    <col min="8" max="8" width="16.75" style="38" customWidth="1"/>
    <col min="9" max="9" width="14" style="38" customWidth="1"/>
    <col min="10" max="10" width="17.5" style="38" customWidth="1"/>
    <col min="11" max="11" width="17.25" style="38" customWidth="1"/>
    <col min="12" max="12" width="13.875" style="38" customWidth="1"/>
    <col min="13" max="13" width="10.625" style="38"/>
    <col min="14" max="14" width="17" style="38" customWidth="1"/>
    <col min="15" max="15" width="16.75" style="38" bestFit="1" customWidth="1"/>
    <col min="16" max="16" width="10.625" style="38" customWidth="1"/>
    <col min="17" max="17" width="16.25" style="38" customWidth="1"/>
    <col min="18" max="18" width="13" style="38" bestFit="1" customWidth="1"/>
    <col min="19" max="16384" width="10.625" style="38"/>
  </cols>
  <sheetData>
    <row r="1" spans="1:20">
      <c r="A1" s="20" t="s">
        <v>149</v>
      </c>
      <c r="B1" s="21" t="s">
        <v>340</v>
      </c>
      <c r="C1" s="21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40"/>
      <c r="R1" s="40"/>
    </row>
    <row r="2" spans="1:20">
      <c r="A2" s="71" t="s">
        <v>160</v>
      </c>
      <c r="B2" s="71" t="s">
        <v>119</v>
      </c>
      <c r="C2" s="71"/>
      <c r="D2" s="305" t="s">
        <v>794</v>
      </c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</row>
    <row r="3" spans="1:20">
      <c r="A3" s="38" t="s">
        <v>161</v>
      </c>
      <c r="B3" s="38" t="s">
        <v>121</v>
      </c>
      <c r="D3" s="201" t="s">
        <v>1638</v>
      </c>
    </row>
    <row r="4" spans="1:20">
      <c r="A4" s="38" t="s">
        <v>161</v>
      </c>
      <c r="B4" s="38" t="s">
        <v>121</v>
      </c>
      <c r="D4" s="201" t="s">
        <v>1639</v>
      </c>
      <c r="S4" s="165"/>
      <c r="T4" s="165"/>
    </row>
    <row r="5" spans="1:20">
      <c r="A5" s="38" t="s">
        <v>162</v>
      </c>
      <c r="S5" s="565"/>
      <c r="T5" s="165"/>
    </row>
    <row r="6" spans="1:20">
      <c r="A6" s="38" t="s">
        <v>161</v>
      </c>
      <c r="B6" s="38" t="s">
        <v>110</v>
      </c>
      <c r="D6" s="38" t="s">
        <v>194</v>
      </c>
      <c r="E6" s="201" t="s">
        <v>26</v>
      </c>
      <c r="F6" s="201" t="s">
        <v>27</v>
      </c>
      <c r="G6" s="201" t="s">
        <v>696</v>
      </c>
      <c r="H6" s="201" t="s">
        <v>166</v>
      </c>
      <c r="I6" s="201" t="s">
        <v>675</v>
      </c>
      <c r="J6" s="38" t="s">
        <v>172</v>
      </c>
      <c r="S6" s="566"/>
      <c r="T6" s="165"/>
    </row>
    <row r="7" spans="1:20">
      <c r="A7" s="38" t="s">
        <v>163</v>
      </c>
      <c r="B7" s="38" t="s">
        <v>110</v>
      </c>
      <c r="D7" s="38" t="s">
        <v>219</v>
      </c>
      <c r="E7" s="201">
        <v>3260</v>
      </c>
      <c r="F7" s="201">
        <v>3421</v>
      </c>
      <c r="G7" s="201">
        <v>3615</v>
      </c>
      <c r="H7" s="201">
        <v>3897</v>
      </c>
      <c r="I7" s="201">
        <v>4094</v>
      </c>
      <c r="J7" s="202">
        <v>5.8999999999999997E-2</v>
      </c>
      <c r="K7" s="39"/>
      <c r="S7" s="165"/>
      <c r="T7" s="165"/>
    </row>
    <row r="8" spans="1:20">
      <c r="A8" s="38" t="s">
        <v>160</v>
      </c>
      <c r="K8" s="39"/>
      <c r="S8" s="165"/>
      <c r="T8" s="165"/>
    </row>
    <row r="9" spans="1:20">
      <c r="A9" s="38" t="s">
        <v>160</v>
      </c>
      <c r="B9" s="38" t="s">
        <v>341</v>
      </c>
      <c r="S9" s="165"/>
      <c r="T9" s="165"/>
    </row>
    <row r="10" spans="1:20">
      <c r="A10" s="38" t="s">
        <v>160</v>
      </c>
      <c r="B10" s="38" t="s">
        <v>341</v>
      </c>
      <c r="S10" s="567"/>
      <c r="T10" s="165"/>
    </row>
    <row r="11" spans="1:20">
      <c r="A11" s="38" t="s">
        <v>160</v>
      </c>
      <c r="B11" s="38" t="s">
        <v>341</v>
      </c>
      <c r="S11" s="165"/>
      <c r="T11" s="165"/>
    </row>
    <row r="12" spans="1:20">
      <c r="A12" s="38" t="s">
        <v>160</v>
      </c>
      <c r="B12" s="38" t="s">
        <v>341</v>
      </c>
    </row>
    <row r="13" spans="1:20">
      <c r="A13" s="38" t="s">
        <v>160</v>
      </c>
      <c r="B13" s="38" t="s">
        <v>341</v>
      </c>
    </row>
    <row r="14" spans="1:20">
      <c r="A14" s="38" t="s">
        <v>160</v>
      </c>
      <c r="B14" s="38" t="s">
        <v>341</v>
      </c>
    </row>
    <row r="15" spans="1:20">
      <c r="A15" s="38" t="s">
        <v>160</v>
      </c>
      <c r="B15" s="38" t="s">
        <v>341</v>
      </c>
    </row>
    <row r="16" spans="1:20">
      <c r="A16" s="38" t="s">
        <v>160</v>
      </c>
      <c r="B16" s="38" t="s">
        <v>341</v>
      </c>
    </row>
    <row r="17" spans="1:20">
      <c r="A17" s="38" t="s">
        <v>160</v>
      </c>
      <c r="B17" s="38" t="s">
        <v>341</v>
      </c>
    </row>
    <row r="18" spans="1:20">
      <c r="A18" s="38" t="s">
        <v>160</v>
      </c>
      <c r="B18" s="38" t="s">
        <v>341</v>
      </c>
    </row>
    <row r="19" spans="1:20">
      <c r="A19" s="38" t="s">
        <v>160</v>
      </c>
      <c r="B19" s="38" t="s">
        <v>341</v>
      </c>
    </row>
    <row r="20" spans="1:20">
      <c r="A20" s="38" t="s">
        <v>160</v>
      </c>
      <c r="B20" s="38" t="s">
        <v>341</v>
      </c>
    </row>
    <row r="21" spans="1:20">
      <c r="A21" s="38" t="s">
        <v>160</v>
      </c>
      <c r="B21" s="38" t="s">
        <v>341</v>
      </c>
    </row>
    <row r="22" spans="1:20">
      <c r="A22" s="38" t="s">
        <v>160</v>
      </c>
      <c r="B22" s="38" t="s">
        <v>341</v>
      </c>
    </row>
    <row r="23" spans="1:20">
      <c r="A23" s="38" t="s">
        <v>160</v>
      </c>
      <c r="B23" s="38" t="s">
        <v>341</v>
      </c>
    </row>
    <row r="24" spans="1:20">
      <c r="A24" s="38" t="s">
        <v>160</v>
      </c>
      <c r="S24" s="38" t="s">
        <v>1641</v>
      </c>
    </row>
    <row r="25" spans="1:20">
      <c r="A25" s="41" t="s">
        <v>160</v>
      </c>
      <c r="B25" s="38" t="s">
        <v>123</v>
      </c>
      <c r="D25" s="201" t="s">
        <v>2001</v>
      </c>
      <c r="O25" s="67"/>
      <c r="P25" s="217"/>
      <c r="R25" s="171"/>
      <c r="S25" s="103" t="s">
        <v>1637</v>
      </c>
      <c r="T25" s="171"/>
    </row>
    <row r="26" spans="1:20" s="41" customFormat="1">
      <c r="A26" s="41" t="s">
        <v>160</v>
      </c>
      <c r="Q26" s="75"/>
      <c r="R26" s="75"/>
    </row>
    <row r="27" spans="1:20">
      <c r="A27" s="71" t="s">
        <v>342</v>
      </c>
      <c r="B27" s="71" t="s">
        <v>119</v>
      </c>
      <c r="C27" s="71"/>
      <c r="D27" s="305" t="s">
        <v>795</v>
      </c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</row>
    <row r="28" spans="1:20">
      <c r="A28" s="38" t="s">
        <v>342</v>
      </c>
      <c r="B28" s="38" t="s">
        <v>121</v>
      </c>
      <c r="D28" s="201" t="s">
        <v>1640</v>
      </c>
    </row>
    <row r="29" spans="1:20">
      <c r="A29" s="38" t="s">
        <v>342</v>
      </c>
      <c r="B29" s="38" t="s">
        <v>121</v>
      </c>
      <c r="D29" s="571" t="s">
        <v>1645</v>
      </c>
    </row>
    <row r="30" spans="1:20">
      <c r="A30" s="38" t="s">
        <v>342</v>
      </c>
    </row>
    <row r="31" spans="1:20">
      <c r="A31" s="38" t="s">
        <v>342</v>
      </c>
      <c r="B31" s="38" t="s">
        <v>110</v>
      </c>
      <c r="D31" s="38" t="s">
        <v>648</v>
      </c>
      <c r="E31" s="38" t="s">
        <v>649</v>
      </c>
      <c r="F31" s="38" t="s">
        <v>817</v>
      </c>
      <c r="G31" s="38" t="s">
        <v>650</v>
      </c>
      <c r="H31" s="38" t="s">
        <v>651</v>
      </c>
      <c r="I31" s="38" t="s">
        <v>816</v>
      </c>
      <c r="J31" s="38" t="s">
        <v>796</v>
      </c>
      <c r="K31" s="38" t="s">
        <v>815</v>
      </c>
      <c r="L31" s="38" t="s">
        <v>1642</v>
      </c>
      <c r="M31" s="38" t="s">
        <v>220</v>
      </c>
    </row>
    <row r="32" spans="1:20">
      <c r="A32" s="38" t="s">
        <v>342</v>
      </c>
      <c r="B32" s="38" t="s">
        <v>110</v>
      </c>
      <c r="D32" s="201">
        <v>1</v>
      </c>
      <c r="E32" s="245" t="s">
        <v>792</v>
      </c>
      <c r="F32" s="236">
        <v>1397</v>
      </c>
      <c r="G32" s="236">
        <v>1473</v>
      </c>
      <c r="H32" s="236">
        <v>1556</v>
      </c>
      <c r="I32" s="236">
        <v>1650</v>
      </c>
      <c r="J32" s="236">
        <v>1772</v>
      </c>
      <c r="K32" s="245">
        <v>43.3</v>
      </c>
      <c r="L32" s="245">
        <v>6.1</v>
      </c>
      <c r="P32" s="98"/>
    </row>
    <row r="33" spans="1:12">
      <c r="A33" s="38" t="s">
        <v>342</v>
      </c>
      <c r="B33" s="38" t="s">
        <v>110</v>
      </c>
      <c r="D33" s="201">
        <v>2</v>
      </c>
      <c r="E33" s="245" t="s">
        <v>797</v>
      </c>
      <c r="F33" s="245">
        <v>228</v>
      </c>
      <c r="G33" s="245">
        <v>253</v>
      </c>
      <c r="H33" s="245">
        <v>256</v>
      </c>
      <c r="I33" s="245">
        <v>273</v>
      </c>
      <c r="J33" s="245">
        <v>285</v>
      </c>
      <c r="K33" s="245">
        <v>7</v>
      </c>
      <c r="L33" s="245">
        <v>5.7</v>
      </c>
    </row>
    <row r="34" spans="1:12">
      <c r="A34" s="38" t="s">
        <v>342</v>
      </c>
      <c r="B34" s="38" t="s">
        <v>110</v>
      </c>
      <c r="D34" s="201">
        <v>3</v>
      </c>
      <c r="E34" s="245" t="s">
        <v>798</v>
      </c>
      <c r="F34" s="245">
        <v>240</v>
      </c>
      <c r="G34" s="245">
        <v>251</v>
      </c>
      <c r="H34" s="245">
        <v>261</v>
      </c>
      <c r="I34" s="245">
        <v>284</v>
      </c>
      <c r="J34" s="245">
        <v>284</v>
      </c>
      <c r="K34" s="245">
        <v>6.9</v>
      </c>
      <c r="L34" s="245">
        <v>4.3</v>
      </c>
    </row>
    <row r="35" spans="1:12">
      <c r="A35" s="38" t="s">
        <v>342</v>
      </c>
      <c r="B35" s="38" t="s">
        <v>110</v>
      </c>
      <c r="D35" s="201">
        <v>4</v>
      </c>
      <c r="E35" s="245" t="s">
        <v>799</v>
      </c>
      <c r="F35" s="245">
        <v>183</v>
      </c>
      <c r="G35" s="245">
        <v>195</v>
      </c>
      <c r="H35" s="245">
        <v>218</v>
      </c>
      <c r="I35" s="245">
        <v>251</v>
      </c>
      <c r="J35" s="245">
        <v>280</v>
      </c>
      <c r="K35" s="245">
        <v>6.8</v>
      </c>
      <c r="L35" s="245">
        <v>11.2</v>
      </c>
    </row>
    <row r="36" spans="1:12">
      <c r="A36" s="38" t="s">
        <v>342</v>
      </c>
      <c r="B36" s="38" t="s">
        <v>110</v>
      </c>
      <c r="D36" s="201">
        <v>5</v>
      </c>
      <c r="E36" s="245" t="s">
        <v>800</v>
      </c>
      <c r="F36" s="245">
        <v>130</v>
      </c>
      <c r="G36" s="245">
        <v>138</v>
      </c>
      <c r="H36" s="245">
        <v>144</v>
      </c>
      <c r="I36" s="245">
        <v>153</v>
      </c>
      <c r="J36" s="245">
        <v>156</v>
      </c>
      <c r="K36" s="245">
        <v>3.8</v>
      </c>
      <c r="L36" s="245">
        <v>4.7</v>
      </c>
    </row>
    <row r="37" spans="1:12">
      <c r="A37" s="38" t="s">
        <v>342</v>
      </c>
      <c r="B37" s="38" t="s">
        <v>110</v>
      </c>
      <c r="D37" s="201">
        <v>6</v>
      </c>
      <c r="E37" s="245" t="s">
        <v>801</v>
      </c>
      <c r="F37" s="245">
        <v>111</v>
      </c>
      <c r="G37" s="245">
        <v>105</v>
      </c>
      <c r="H37" s="245">
        <v>106</v>
      </c>
      <c r="I37" s="245">
        <v>116</v>
      </c>
      <c r="J37" s="245">
        <v>118</v>
      </c>
      <c r="K37" s="245">
        <v>2.9</v>
      </c>
      <c r="L37" s="245">
        <v>1.6</v>
      </c>
    </row>
    <row r="38" spans="1:12">
      <c r="A38" s="38" t="s">
        <v>342</v>
      </c>
      <c r="B38" s="38" t="s">
        <v>110</v>
      </c>
      <c r="D38" s="201">
        <v>7</v>
      </c>
      <c r="E38" s="245" t="s">
        <v>793</v>
      </c>
      <c r="F38" s="245">
        <v>90</v>
      </c>
      <c r="G38" s="245">
        <v>93</v>
      </c>
      <c r="H38" s="245">
        <v>99</v>
      </c>
      <c r="I38" s="245">
        <v>108</v>
      </c>
      <c r="J38" s="245">
        <v>102</v>
      </c>
      <c r="K38" s="245">
        <v>2.5</v>
      </c>
      <c r="L38" s="245">
        <v>3.4</v>
      </c>
    </row>
    <row r="39" spans="1:12">
      <c r="A39" s="38" t="s">
        <v>342</v>
      </c>
      <c r="B39" s="38" t="s">
        <v>110</v>
      </c>
      <c r="D39" s="201">
        <v>8</v>
      </c>
      <c r="E39" s="245" t="s">
        <v>802</v>
      </c>
      <c r="F39" s="245">
        <v>65</v>
      </c>
      <c r="G39" s="245">
        <v>64</v>
      </c>
      <c r="H39" s="245">
        <v>68</v>
      </c>
      <c r="I39" s="245">
        <v>71</v>
      </c>
      <c r="J39" s="245">
        <v>73</v>
      </c>
      <c r="K39" s="245">
        <v>1.8</v>
      </c>
      <c r="L39" s="245">
        <v>3</v>
      </c>
    </row>
    <row r="40" spans="1:12">
      <c r="A40" s="38" t="s">
        <v>342</v>
      </c>
      <c r="B40" s="38" t="s">
        <v>110</v>
      </c>
      <c r="D40" s="201">
        <v>9</v>
      </c>
      <c r="E40" s="245" t="s">
        <v>803</v>
      </c>
      <c r="F40" s="245">
        <v>49</v>
      </c>
      <c r="G40" s="245">
        <v>54</v>
      </c>
      <c r="H40" s="245">
        <v>57</v>
      </c>
      <c r="I40" s="245">
        <v>64</v>
      </c>
      <c r="J40" s="245">
        <v>65</v>
      </c>
      <c r="K40" s="245">
        <v>1.6</v>
      </c>
      <c r="L40" s="245">
        <v>7.2</v>
      </c>
    </row>
    <row r="41" spans="1:12">
      <c r="A41" s="38" t="s">
        <v>342</v>
      </c>
      <c r="B41" s="38" t="s">
        <v>110</v>
      </c>
      <c r="D41" s="201">
        <v>10</v>
      </c>
      <c r="E41" s="245" t="s">
        <v>804</v>
      </c>
      <c r="F41" s="245">
        <v>50</v>
      </c>
      <c r="G41" s="245">
        <v>54</v>
      </c>
      <c r="H41" s="245">
        <v>60</v>
      </c>
      <c r="I41" s="245">
        <v>65</v>
      </c>
      <c r="J41" s="245">
        <v>65</v>
      </c>
      <c r="K41" s="245">
        <v>1.6</v>
      </c>
      <c r="L41" s="245">
        <v>6.5</v>
      </c>
    </row>
    <row r="42" spans="1:12">
      <c r="A42" s="38" t="s">
        <v>342</v>
      </c>
      <c r="B42" s="38" t="s">
        <v>110</v>
      </c>
      <c r="D42" s="201">
        <v>11</v>
      </c>
      <c r="E42" s="201" t="s">
        <v>809</v>
      </c>
      <c r="F42" s="245">
        <v>38</v>
      </c>
      <c r="G42" s="245">
        <v>41</v>
      </c>
      <c r="H42" s="245">
        <v>45</v>
      </c>
      <c r="I42" s="245">
        <v>50</v>
      </c>
      <c r="J42" s="245">
        <v>58</v>
      </c>
      <c r="K42" s="245">
        <v>1.4</v>
      </c>
      <c r="L42" s="245">
        <v>11.6</v>
      </c>
    </row>
    <row r="43" spans="1:12">
      <c r="A43" s="38" t="s">
        <v>342</v>
      </c>
      <c r="B43" s="38" t="s">
        <v>110</v>
      </c>
      <c r="D43" s="201">
        <v>12</v>
      </c>
      <c r="E43" s="201" t="s">
        <v>805</v>
      </c>
      <c r="F43" s="245">
        <v>44</v>
      </c>
      <c r="G43" s="245">
        <v>47</v>
      </c>
      <c r="H43" s="245">
        <v>50</v>
      </c>
      <c r="I43" s="245">
        <v>54</v>
      </c>
      <c r="J43" s="245">
        <v>54</v>
      </c>
      <c r="K43" s="245">
        <v>1.3</v>
      </c>
      <c r="L43" s="245">
        <v>5.4</v>
      </c>
    </row>
    <row r="44" spans="1:12">
      <c r="A44" s="38" t="s">
        <v>342</v>
      </c>
      <c r="B44" s="38" t="s">
        <v>110</v>
      </c>
      <c r="D44" s="201">
        <v>13</v>
      </c>
      <c r="E44" s="201" t="s">
        <v>806</v>
      </c>
      <c r="F44" s="245">
        <v>47</v>
      </c>
      <c r="G44" s="245">
        <v>45</v>
      </c>
      <c r="H44" s="245">
        <v>50</v>
      </c>
      <c r="I44" s="245">
        <v>52</v>
      </c>
      <c r="J44" s="245">
        <v>52</v>
      </c>
      <c r="K44" s="245">
        <v>1.3</v>
      </c>
      <c r="L44" s="245">
        <v>2.5</v>
      </c>
    </row>
    <row r="45" spans="1:12">
      <c r="A45" s="38" t="s">
        <v>342</v>
      </c>
      <c r="B45" s="38" t="s">
        <v>110</v>
      </c>
      <c r="D45" s="201">
        <v>14</v>
      </c>
      <c r="E45" s="201" t="s">
        <v>808</v>
      </c>
      <c r="F45" s="245">
        <v>36</v>
      </c>
      <c r="G45" s="245">
        <v>38</v>
      </c>
      <c r="H45" s="245">
        <v>43</v>
      </c>
      <c r="I45" s="245">
        <v>49</v>
      </c>
      <c r="J45" s="245">
        <v>51</v>
      </c>
      <c r="K45" s="245">
        <v>1.2</v>
      </c>
      <c r="L45" s="245">
        <v>9</v>
      </c>
    </row>
    <row r="46" spans="1:12">
      <c r="A46" s="38" t="s">
        <v>342</v>
      </c>
      <c r="B46" s="38" t="s">
        <v>110</v>
      </c>
      <c r="D46" s="201">
        <v>15</v>
      </c>
      <c r="E46" s="201" t="s">
        <v>807</v>
      </c>
      <c r="F46" s="245">
        <v>47</v>
      </c>
      <c r="G46" s="245">
        <v>49</v>
      </c>
      <c r="H46" s="245">
        <v>49</v>
      </c>
      <c r="I46" s="245">
        <v>52</v>
      </c>
      <c r="J46" s="245">
        <v>50</v>
      </c>
      <c r="K46" s="245">
        <v>1.2</v>
      </c>
      <c r="L46" s="245">
        <v>1.8</v>
      </c>
    </row>
    <row r="47" spans="1:12">
      <c r="A47" s="38" t="s">
        <v>342</v>
      </c>
      <c r="B47" s="38" t="s">
        <v>110</v>
      </c>
      <c r="D47" s="201">
        <v>16</v>
      </c>
      <c r="E47" s="201" t="s">
        <v>810</v>
      </c>
      <c r="F47" s="245">
        <v>34</v>
      </c>
      <c r="G47" s="245">
        <v>40</v>
      </c>
      <c r="H47" s="245">
        <v>42</v>
      </c>
      <c r="I47" s="245">
        <v>45</v>
      </c>
      <c r="J47" s="245">
        <v>42</v>
      </c>
      <c r="K47" s="245">
        <v>1</v>
      </c>
      <c r="L47" s="245">
        <v>5.9</v>
      </c>
    </row>
    <row r="48" spans="1:12">
      <c r="A48" s="38" t="s">
        <v>342</v>
      </c>
      <c r="B48" s="38" t="s">
        <v>110</v>
      </c>
      <c r="D48" s="201">
        <v>17</v>
      </c>
      <c r="E48" s="201" t="s">
        <v>811</v>
      </c>
      <c r="F48" s="245">
        <v>35</v>
      </c>
      <c r="G48" s="245">
        <v>36</v>
      </c>
      <c r="H48" s="245">
        <v>37</v>
      </c>
      <c r="I48" s="245">
        <v>39</v>
      </c>
      <c r="J48" s="245">
        <v>42</v>
      </c>
      <c r="K48" s="245">
        <v>1</v>
      </c>
      <c r="L48" s="245">
        <v>4.5999999999999996</v>
      </c>
    </row>
    <row r="49" spans="1:20">
      <c r="A49" s="38" t="s">
        <v>342</v>
      </c>
      <c r="B49" s="38" t="s">
        <v>110</v>
      </c>
      <c r="D49" s="201">
        <v>18</v>
      </c>
      <c r="E49" s="201" t="s">
        <v>812</v>
      </c>
      <c r="F49" s="245">
        <v>23</v>
      </c>
      <c r="G49" s="245">
        <v>25</v>
      </c>
      <c r="H49" s="245">
        <v>27</v>
      </c>
      <c r="I49" s="245">
        <v>29</v>
      </c>
      <c r="J49" s="245">
        <v>34</v>
      </c>
      <c r="K49" s="245">
        <v>0.8</v>
      </c>
      <c r="L49" s="245">
        <v>10</v>
      </c>
      <c r="T49" s="38" t="s">
        <v>1026</v>
      </c>
    </row>
    <row r="50" spans="1:20">
      <c r="A50" s="38" t="s">
        <v>342</v>
      </c>
      <c r="B50" s="38" t="s">
        <v>110</v>
      </c>
      <c r="D50" s="201">
        <v>19</v>
      </c>
      <c r="E50" s="245" t="s">
        <v>814</v>
      </c>
      <c r="F50" s="245">
        <v>20</v>
      </c>
      <c r="G50" s="245">
        <v>21</v>
      </c>
      <c r="H50" s="245">
        <v>22</v>
      </c>
      <c r="I50" s="245">
        <v>27</v>
      </c>
      <c r="J50" s="245">
        <v>28</v>
      </c>
      <c r="K50" s="245">
        <v>0.7</v>
      </c>
      <c r="L50" s="245">
        <v>9</v>
      </c>
    </row>
    <row r="51" spans="1:20">
      <c r="A51" s="38" t="s">
        <v>342</v>
      </c>
      <c r="B51" s="38" t="s">
        <v>110</v>
      </c>
      <c r="D51" s="201">
        <v>20</v>
      </c>
      <c r="E51" s="201" t="s">
        <v>813</v>
      </c>
      <c r="F51" s="245">
        <v>21</v>
      </c>
      <c r="G51" s="245">
        <v>22</v>
      </c>
      <c r="H51" s="245">
        <v>24</v>
      </c>
      <c r="I51" s="245">
        <v>25</v>
      </c>
      <c r="J51" s="245">
        <v>26</v>
      </c>
      <c r="K51" s="245">
        <v>0.6</v>
      </c>
      <c r="L51" s="245">
        <v>5.3</v>
      </c>
    </row>
    <row r="52" spans="1:20">
      <c r="A52" s="38" t="s">
        <v>342</v>
      </c>
      <c r="D52" s="201"/>
      <c r="E52" s="201" t="s">
        <v>1643</v>
      </c>
      <c r="F52" s="201">
        <v>2887</v>
      </c>
      <c r="G52" s="201">
        <v>3004</v>
      </c>
      <c r="H52" s="201">
        <v>3213</v>
      </c>
      <c r="I52" s="201">
        <v>3458</v>
      </c>
      <c r="J52" s="201">
        <v>3637</v>
      </c>
      <c r="K52" s="568">
        <v>88.8</v>
      </c>
      <c r="L52" s="569">
        <v>5.9</v>
      </c>
    </row>
    <row r="53" spans="1:20">
      <c r="A53" s="38" t="s">
        <v>342</v>
      </c>
      <c r="B53" s="38" t="s">
        <v>110</v>
      </c>
      <c r="D53" s="201"/>
      <c r="E53" s="201" t="s">
        <v>1644</v>
      </c>
      <c r="F53" s="201">
        <v>3260</v>
      </c>
      <c r="G53" s="201">
        <v>3421</v>
      </c>
      <c r="H53" s="201">
        <v>3615</v>
      </c>
      <c r="I53" s="201">
        <v>3897</v>
      </c>
      <c r="J53" s="201">
        <v>4094</v>
      </c>
      <c r="K53" s="570">
        <v>100</v>
      </c>
      <c r="L53" s="569">
        <v>5.9</v>
      </c>
    </row>
    <row r="54" spans="1:20">
      <c r="A54" s="38" t="s">
        <v>342</v>
      </c>
      <c r="G54" s="39"/>
      <c r="I54" s="39"/>
      <c r="K54" s="39"/>
      <c r="S54" s="38" t="s">
        <v>1641</v>
      </c>
    </row>
    <row r="55" spans="1:20">
      <c r="A55" s="38" t="s">
        <v>342</v>
      </c>
      <c r="B55" s="38" t="s">
        <v>123</v>
      </c>
      <c r="D55" s="201" t="s">
        <v>2000</v>
      </c>
      <c r="G55" s="39"/>
      <c r="I55" s="39"/>
      <c r="K55" s="39"/>
      <c r="Q55" s="67"/>
      <c r="S55" s="103" t="s">
        <v>1637</v>
      </c>
      <c r="T55" s="171"/>
    </row>
    <row r="56" spans="1:20">
      <c r="A56" s="38" t="s">
        <v>342</v>
      </c>
      <c r="B56" s="41"/>
      <c r="C56" s="41"/>
      <c r="D56" s="97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75"/>
    </row>
    <row r="57" spans="1:20">
      <c r="A57" s="71" t="s">
        <v>215</v>
      </c>
      <c r="B57" s="71" t="s">
        <v>119</v>
      </c>
      <c r="C57" s="71"/>
      <c r="D57" s="305" t="s">
        <v>2005</v>
      </c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</row>
    <row r="58" spans="1:20">
      <c r="A58" s="38" t="s">
        <v>2016</v>
      </c>
      <c r="B58" s="38" t="s">
        <v>121</v>
      </c>
      <c r="C58" s="41"/>
      <c r="D58" s="201" t="s">
        <v>2024</v>
      </c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75"/>
    </row>
    <row r="59" spans="1:20">
      <c r="A59" s="38" t="s">
        <v>2016</v>
      </c>
      <c r="B59" s="38" t="s">
        <v>121</v>
      </c>
      <c r="C59" s="41"/>
      <c r="D59" s="311" t="s">
        <v>2015</v>
      </c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75"/>
    </row>
    <row r="60" spans="1:20">
      <c r="A60" s="38" t="s">
        <v>2016</v>
      </c>
      <c r="C60" s="41"/>
      <c r="O60" s="41"/>
      <c r="P60" s="41"/>
      <c r="Q60" s="75"/>
    </row>
    <row r="61" spans="1:20">
      <c r="A61" s="38" t="s">
        <v>2016</v>
      </c>
      <c r="B61" s="38" t="s">
        <v>110</v>
      </c>
      <c r="C61" s="41"/>
      <c r="D61" s="651" t="s">
        <v>19</v>
      </c>
      <c r="E61" s="656" t="s">
        <v>2022</v>
      </c>
      <c r="F61" s="650" t="s">
        <v>707</v>
      </c>
      <c r="G61" s="650" t="s">
        <v>1208</v>
      </c>
      <c r="H61" s="650" t="s">
        <v>170</v>
      </c>
      <c r="I61" s="650" t="s">
        <v>171</v>
      </c>
      <c r="J61" s="650" t="s">
        <v>183</v>
      </c>
      <c r="K61" s="650" t="s">
        <v>184</v>
      </c>
      <c r="L61" s="650" t="s">
        <v>1047</v>
      </c>
      <c r="M61" s="650" t="s">
        <v>2023</v>
      </c>
      <c r="N61" s="41" t="s">
        <v>2013</v>
      </c>
      <c r="O61" s="41"/>
      <c r="P61" s="41"/>
      <c r="Q61" s="75"/>
    </row>
    <row r="62" spans="1:20">
      <c r="A62" s="38" t="s">
        <v>2016</v>
      </c>
      <c r="B62" s="38" t="s">
        <v>110</v>
      </c>
      <c r="C62" s="41"/>
      <c r="D62" s="653" t="s">
        <v>2014</v>
      </c>
      <c r="E62" s="655">
        <v>414</v>
      </c>
      <c r="F62" s="654">
        <v>394.44000000000005</v>
      </c>
      <c r="G62" s="654">
        <v>425.23</v>
      </c>
      <c r="H62" s="654">
        <v>464.53999999999996</v>
      </c>
      <c r="I62" s="654">
        <v>503.60000000000008</v>
      </c>
      <c r="J62" s="654">
        <v>545.61000000000013</v>
      </c>
      <c r="K62" s="654">
        <v>594.9899999999999</v>
      </c>
      <c r="L62" s="654">
        <v>639.61999999999989</v>
      </c>
      <c r="M62" s="173">
        <f>RATE(5,0,-G62,L62)</f>
        <v>8.5074675750677273E-2</v>
      </c>
      <c r="N62" s="41"/>
      <c r="O62" s="41"/>
      <c r="P62" s="41"/>
      <c r="Q62" s="75"/>
    </row>
    <row r="63" spans="1:20">
      <c r="A63" s="38" t="s">
        <v>2016</v>
      </c>
      <c r="C63" s="41"/>
      <c r="M63" s="41"/>
      <c r="N63" s="41"/>
      <c r="O63" s="41"/>
      <c r="P63" s="41"/>
      <c r="Q63" s="75"/>
    </row>
    <row r="64" spans="1:20">
      <c r="A64" s="38" t="s">
        <v>2016</v>
      </c>
      <c r="C64" s="41"/>
      <c r="M64" s="41"/>
      <c r="N64" s="41"/>
      <c r="O64" s="41"/>
      <c r="P64" s="41"/>
      <c r="Q64" s="75"/>
    </row>
    <row r="65" spans="1:17">
      <c r="A65" s="38" t="s">
        <v>2016</v>
      </c>
      <c r="B65" s="38" t="s">
        <v>2017</v>
      </c>
      <c r="C65" s="41"/>
      <c r="M65" s="41"/>
      <c r="N65" s="41"/>
      <c r="O65" s="41"/>
      <c r="P65" s="41"/>
      <c r="Q65" s="75"/>
    </row>
    <row r="66" spans="1:17">
      <c r="A66" s="38" t="s">
        <v>2016</v>
      </c>
      <c r="B66" s="38" t="s">
        <v>2017</v>
      </c>
      <c r="C66" s="41"/>
      <c r="M66" s="41"/>
      <c r="N66" s="41"/>
      <c r="O66" s="41"/>
      <c r="P66" s="41"/>
      <c r="Q66" s="75"/>
    </row>
    <row r="67" spans="1:17">
      <c r="A67" s="38" t="s">
        <v>2016</v>
      </c>
      <c r="B67" s="38" t="s">
        <v>2017</v>
      </c>
      <c r="C67" s="41"/>
      <c r="M67" s="41"/>
      <c r="N67" s="41"/>
      <c r="O67" s="41"/>
      <c r="P67" s="41"/>
      <c r="Q67" s="75"/>
    </row>
    <row r="68" spans="1:17">
      <c r="A68" s="38" t="s">
        <v>2016</v>
      </c>
      <c r="B68" s="38" t="s">
        <v>2017</v>
      </c>
      <c r="C68" s="41"/>
      <c r="M68" s="41"/>
      <c r="N68" s="41"/>
      <c r="O68" s="41"/>
      <c r="P68" s="41"/>
      <c r="Q68" s="75"/>
    </row>
    <row r="69" spans="1:17">
      <c r="A69" s="38" t="s">
        <v>2016</v>
      </c>
      <c r="B69" s="38" t="s">
        <v>2017</v>
      </c>
      <c r="C69" s="41"/>
      <c r="M69" s="41"/>
      <c r="N69" s="41"/>
      <c r="O69" s="41"/>
      <c r="P69" s="41"/>
      <c r="Q69" s="75"/>
    </row>
    <row r="70" spans="1:17">
      <c r="A70" s="38" t="s">
        <v>2016</v>
      </c>
      <c r="B70" s="38" t="s">
        <v>2017</v>
      </c>
      <c r="C70" s="41"/>
      <c r="M70" s="41"/>
      <c r="N70" s="41"/>
      <c r="O70" s="41"/>
      <c r="P70" s="41"/>
      <c r="Q70" s="75"/>
    </row>
    <row r="71" spans="1:17">
      <c r="A71" s="38" t="s">
        <v>2016</v>
      </c>
      <c r="B71" s="38" t="s">
        <v>2017</v>
      </c>
      <c r="C71" s="41"/>
      <c r="M71" s="41"/>
      <c r="N71" s="41"/>
      <c r="O71" s="41"/>
      <c r="P71" s="41"/>
      <c r="Q71" s="75"/>
    </row>
    <row r="72" spans="1:17">
      <c r="A72" s="38" t="s">
        <v>2016</v>
      </c>
      <c r="B72" s="38" t="s">
        <v>2017</v>
      </c>
      <c r="C72" s="41"/>
      <c r="M72" s="41"/>
      <c r="N72" s="41"/>
      <c r="O72" s="41"/>
      <c r="P72" s="41"/>
      <c r="Q72" s="75"/>
    </row>
    <row r="73" spans="1:17">
      <c r="A73" s="38" t="s">
        <v>2016</v>
      </c>
      <c r="B73" s="38" t="s">
        <v>2017</v>
      </c>
      <c r="C73" s="41"/>
      <c r="D73" s="97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75"/>
    </row>
    <row r="74" spans="1:17">
      <c r="A74" s="38" t="s">
        <v>2016</v>
      </c>
      <c r="B74" s="38" t="s">
        <v>2017</v>
      </c>
      <c r="C74" s="41"/>
      <c r="L74" s="41"/>
      <c r="M74" s="41"/>
      <c r="N74" s="41"/>
      <c r="O74" s="41"/>
      <c r="P74" s="41"/>
      <c r="Q74" s="75"/>
    </row>
    <row r="75" spans="1:17">
      <c r="A75" s="38" t="s">
        <v>2016</v>
      </c>
      <c r="B75" s="38" t="s">
        <v>2017</v>
      </c>
      <c r="C75" s="41"/>
      <c r="L75" s="41"/>
      <c r="M75" s="41"/>
      <c r="N75" s="41"/>
      <c r="O75" s="41"/>
      <c r="P75" s="41"/>
      <c r="Q75" s="75"/>
    </row>
    <row r="76" spans="1:17">
      <c r="A76" s="38" t="s">
        <v>2016</v>
      </c>
      <c r="B76" s="38" t="s">
        <v>2017</v>
      </c>
      <c r="C76" s="41"/>
      <c r="L76" s="41"/>
      <c r="M76" s="41"/>
      <c r="N76" s="41"/>
      <c r="O76" s="41"/>
      <c r="P76" s="41"/>
      <c r="Q76" s="75"/>
    </row>
    <row r="77" spans="1:17">
      <c r="A77" s="38" t="s">
        <v>2016</v>
      </c>
      <c r="B77" s="38" t="s">
        <v>2017</v>
      </c>
      <c r="C77" s="41"/>
      <c r="L77" s="41"/>
      <c r="M77" s="41"/>
      <c r="N77" s="41"/>
      <c r="O77" s="41"/>
      <c r="P77" s="41"/>
      <c r="Q77" s="75"/>
    </row>
    <row r="78" spans="1:17">
      <c r="A78" s="38" t="s">
        <v>2016</v>
      </c>
      <c r="C78" s="41"/>
      <c r="L78" s="41"/>
      <c r="M78" s="41"/>
      <c r="N78" s="41"/>
      <c r="O78" s="41"/>
      <c r="P78" s="41"/>
      <c r="Q78" s="75"/>
    </row>
    <row r="79" spans="1:17">
      <c r="A79" s="38" t="s">
        <v>2016</v>
      </c>
      <c r="C79" s="41"/>
      <c r="L79" s="41"/>
      <c r="M79" s="41"/>
      <c r="N79" s="41"/>
      <c r="O79" s="41"/>
      <c r="P79" s="41"/>
      <c r="Q79" s="75"/>
    </row>
    <row r="80" spans="1:17">
      <c r="A80" s="38" t="s">
        <v>2016</v>
      </c>
      <c r="B80" s="38" t="s">
        <v>123</v>
      </c>
      <c r="C80" s="41"/>
      <c r="D80" s="201" t="s">
        <v>2020</v>
      </c>
      <c r="L80" s="41"/>
      <c r="M80" s="41"/>
      <c r="N80" s="41"/>
      <c r="O80" s="41"/>
      <c r="P80" s="41"/>
      <c r="Q80" s="75"/>
    </row>
    <row r="81" spans="1:18">
      <c r="A81" s="38" t="s">
        <v>2016</v>
      </c>
      <c r="C81" s="41"/>
      <c r="L81" s="41"/>
      <c r="M81" s="41"/>
      <c r="N81" s="41"/>
      <c r="O81" s="41"/>
      <c r="P81" s="41"/>
      <c r="Q81" s="75"/>
    </row>
    <row r="82" spans="1:18">
      <c r="A82" s="71" t="s">
        <v>2018</v>
      </c>
      <c r="B82" s="71" t="s">
        <v>119</v>
      </c>
      <c r="C82" s="71"/>
      <c r="D82" s="305" t="s">
        <v>2036</v>
      </c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</row>
    <row r="83" spans="1:18">
      <c r="A83" s="38" t="s">
        <v>2028</v>
      </c>
      <c r="B83" s="38" t="s">
        <v>121</v>
      </c>
      <c r="C83" s="41"/>
      <c r="D83" s="201" t="s">
        <v>2035</v>
      </c>
      <c r="L83" s="41"/>
      <c r="M83" s="41"/>
      <c r="N83" s="41"/>
      <c r="O83" s="41"/>
      <c r="P83" s="41"/>
      <c r="Q83" s="75"/>
    </row>
    <row r="84" spans="1:18">
      <c r="A84" s="38" t="s">
        <v>2028</v>
      </c>
      <c r="B84" s="38" t="s">
        <v>121</v>
      </c>
      <c r="C84" s="41"/>
      <c r="L84" s="41"/>
      <c r="M84" s="41"/>
      <c r="N84" s="41"/>
      <c r="O84" s="41"/>
      <c r="P84" s="41"/>
      <c r="Q84" s="75"/>
    </row>
    <row r="85" spans="1:18">
      <c r="A85" s="38" t="s">
        <v>2028</v>
      </c>
      <c r="C85" s="41"/>
      <c r="L85" s="41"/>
      <c r="M85" s="41"/>
      <c r="N85" s="41"/>
      <c r="O85" s="41"/>
      <c r="P85" s="41"/>
      <c r="Q85" s="75"/>
    </row>
    <row r="86" spans="1:18">
      <c r="A86" s="38" t="s">
        <v>2028</v>
      </c>
      <c r="B86" s="38" t="s">
        <v>110</v>
      </c>
      <c r="C86" s="41"/>
      <c r="D86" s="651" t="s">
        <v>19</v>
      </c>
      <c r="E86" s="651" t="s">
        <v>2021</v>
      </c>
      <c r="F86" s="651" t="s">
        <v>707</v>
      </c>
      <c r="G86" s="651" t="s">
        <v>1208</v>
      </c>
      <c r="H86" s="651" t="s">
        <v>170</v>
      </c>
      <c r="I86" s="651" t="s">
        <v>171</v>
      </c>
      <c r="J86" s="651" t="s">
        <v>183</v>
      </c>
      <c r="K86" s="651" t="s">
        <v>184</v>
      </c>
      <c r="L86" s="651" t="s">
        <v>1047</v>
      </c>
      <c r="M86" s="41" t="s">
        <v>2030</v>
      </c>
      <c r="N86" s="41"/>
      <c r="O86" s="41"/>
      <c r="P86" s="41"/>
      <c r="Q86" s="75"/>
    </row>
    <row r="87" spans="1:18">
      <c r="A87" s="38" t="s">
        <v>2028</v>
      </c>
      <c r="B87" s="38" t="s">
        <v>110</v>
      </c>
      <c r="C87" s="41"/>
      <c r="D87" s="653" t="s">
        <v>2027</v>
      </c>
      <c r="E87" s="661">
        <v>22.9</v>
      </c>
      <c r="F87" s="662">
        <v>56.18</v>
      </c>
      <c r="G87" s="662">
        <v>22.49</v>
      </c>
      <c r="H87" s="662">
        <v>23.41</v>
      </c>
      <c r="I87" s="661">
        <v>24.68</v>
      </c>
      <c r="J87" s="662">
        <v>26.95</v>
      </c>
      <c r="K87" s="662">
        <v>29.9</v>
      </c>
      <c r="L87" s="661">
        <v>33.6</v>
      </c>
      <c r="M87" s="41"/>
      <c r="N87" s="41"/>
      <c r="O87" s="41"/>
      <c r="P87" s="41"/>
      <c r="Q87" s="75"/>
    </row>
    <row r="88" spans="1:18">
      <c r="A88" s="38" t="s">
        <v>2028</v>
      </c>
      <c r="B88" s="38" t="s">
        <v>110</v>
      </c>
      <c r="C88" s="41"/>
      <c r="D88" s="44" t="s">
        <v>2026</v>
      </c>
      <c r="E88" s="658">
        <v>54.2</v>
      </c>
      <c r="F88" s="659">
        <v>24.4</v>
      </c>
      <c r="G88" s="659">
        <v>26.49</v>
      </c>
      <c r="H88" s="659">
        <v>28.83</v>
      </c>
      <c r="I88" s="658">
        <v>31.06</v>
      </c>
      <c r="J88" s="659">
        <v>34.03</v>
      </c>
      <c r="K88" s="659">
        <v>36.700000000000003</v>
      </c>
      <c r="L88" s="658">
        <v>40.49</v>
      </c>
      <c r="M88" s="41"/>
      <c r="N88" s="41"/>
      <c r="O88" s="41"/>
      <c r="P88" s="41"/>
      <c r="Q88" s="75"/>
    </row>
    <row r="89" spans="1:18">
      <c r="A89" s="38" t="s">
        <v>2028</v>
      </c>
      <c r="B89" s="38" t="s">
        <v>110</v>
      </c>
      <c r="C89" s="41"/>
      <c r="D89" s="657" t="s">
        <v>2031</v>
      </c>
      <c r="E89" s="661">
        <v>41.8</v>
      </c>
      <c r="F89" s="662">
        <v>29.27</v>
      </c>
      <c r="G89" s="662">
        <v>51.72</v>
      </c>
      <c r="H89" s="662">
        <v>57.69</v>
      </c>
      <c r="I89" s="661">
        <v>65.63</v>
      </c>
      <c r="J89" s="662">
        <v>71.62</v>
      </c>
      <c r="K89" s="662">
        <v>78.209999999999994</v>
      </c>
      <c r="L89" s="661">
        <v>83.89</v>
      </c>
      <c r="M89" s="41"/>
      <c r="N89" s="41"/>
      <c r="O89" s="41"/>
      <c r="P89" s="41"/>
      <c r="Q89" s="75"/>
    </row>
    <row r="90" spans="1:18">
      <c r="A90" s="38" t="s">
        <v>2028</v>
      </c>
      <c r="B90" s="38" t="s">
        <v>110</v>
      </c>
      <c r="C90" s="41"/>
      <c r="D90" s="292" t="s">
        <v>2032</v>
      </c>
      <c r="E90" s="658">
        <v>45.7</v>
      </c>
      <c r="F90" s="659">
        <v>31.1</v>
      </c>
      <c r="G90" s="659">
        <v>42.21</v>
      </c>
      <c r="H90" s="659">
        <v>49.91</v>
      </c>
      <c r="I90" s="658">
        <v>56.01</v>
      </c>
      <c r="J90" s="659">
        <v>62.49</v>
      </c>
      <c r="K90" s="659">
        <v>70.33</v>
      </c>
      <c r="L90" s="658">
        <v>77.52</v>
      </c>
      <c r="M90" s="41"/>
      <c r="N90" s="41"/>
      <c r="O90" s="41"/>
      <c r="P90" s="41"/>
      <c r="Q90" s="75"/>
    </row>
    <row r="91" spans="1:18">
      <c r="A91" s="38" t="s">
        <v>2028</v>
      </c>
      <c r="B91" s="38" t="s">
        <v>110</v>
      </c>
      <c r="C91" s="41"/>
      <c r="D91" s="653" t="s">
        <v>2034</v>
      </c>
      <c r="E91" s="661">
        <v>34.6</v>
      </c>
      <c r="F91" s="662">
        <v>25.92</v>
      </c>
      <c r="G91" s="662">
        <v>34.39</v>
      </c>
      <c r="H91" s="662">
        <v>37.130000000000003</v>
      </c>
      <c r="I91" s="661">
        <v>40.229999999999997</v>
      </c>
      <c r="J91" s="662">
        <v>42.49</v>
      </c>
      <c r="K91" s="662">
        <v>46.8</v>
      </c>
      <c r="L91" s="661">
        <v>49.28</v>
      </c>
      <c r="M91" s="41"/>
      <c r="N91" s="41"/>
      <c r="O91" s="41"/>
      <c r="P91" s="41"/>
      <c r="Q91" s="75"/>
    </row>
    <row r="92" spans="1:18">
      <c r="A92" s="38" t="s">
        <v>2028</v>
      </c>
      <c r="B92" s="38" t="s">
        <v>110</v>
      </c>
      <c r="C92" s="41"/>
      <c r="D92" s="292" t="s">
        <v>2006</v>
      </c>
      <c r="E92" s="658">
        <v>23.6</v>
      </c>
      <c r="F92" s="659">
        <v>21.11</v>
      </c>
      <c r="G92" s="659">
        <v>22.71</v>
      </c>
      <c r="H92" s="659">
        <v>25.16</v>
      </c>
      <c r="I92" s="658">
        <v>27.19</v>
      </c>
      <c r="J92" s="659">
        <v>29.17</v>
      </c>
      <c r="K92" s="659">
        <v>31.2</v>
      </c>
      <c r="L92" s="658">
        <v>32.700000000000003</v>
      </c>
      <c r="M92" s="41"/>
      <c r="N92" s="41"/>
      <c r="O92" s="41"/>
      <c r="P92" s="41"/>
      <c r="Q92" s="75"/>
    </row>
    <row r="93" spans="1:18">
      <c r="A93" s="38" t="s">
        <v>2028</v>
      </c>
      <c r="B93" s="38" t="s">
        <v>110</v>
      </c>
      <c r="C93" s="41"/>
      <c r="D93" s="657" t="s">
        <v>2007</v>
      </c>
      <c r="E93" s="661">
        <v>19</v>
      </c>
      <c r="F93" s="662">
        <v>8.5299999999999994</v>
      </c>
      <c r="G93" s="662">
        <v>13.86</v>
      </c>
      <c r="H93" s="662">
        <v>15.33</v>
      </c>
      <c r="I93" s="661">
        <v>17.63</v>
      </c>
      <c r="J93" s="662">
        <v>20.46</v>
      </c>
      <c r="K93" s="662">
        <v>24.09</v>
      </c>
      <c r="L93" s="661">
        <v>26.97</v>
      </c>
      <c r="M93" s="41"/>
      <c r="N93" s="41"/>
      <c r="O93" s="41"/>
      <c r="P93" s="41"/>
      <c r="Q93" s="75"/>
    </row>
    <row r="94" spans="1:18">
      <c r="A94" s="38" t="s">
        <v>2028</v>
      </c>
      <c r="B94" s="38" t="s">
        <v>110</v>
      </c>
      <c r="C94" s="41"/>
      <c r="D94" s="44" t="s">
        <v>2033</v>
      </c>
      <c r="E94" s="658">
        <v>19.7</v>
      </c>
      <c r="F94" s="659">
        <v>81.59</v>
      </c>
      <c r="G94" s="659">
        <v>40.229999999999997</v>
      </c>
      <c r="H94" s="659">
        <v>41.94</v>
      </c>
      <c r="I94" s="658">
        <v>43.98</v>
      </c>
      <c r="J94" s="659">
        <v>45.81</v>
      </c>
      <c r="K94" s="659">
        <v>48.01</v>
      </c>
      <c r="L94" s="658">
        <v>49.19</v>
      </c>
      <c r="M94" s="41"/>
      <c r="N94" s="41"/>
      <c r="O94" s="41"/>
      <c r="P94" s="41"/>
      <c r="Q94" s="75"/>
    </row>
    <row r="95" spans="1:18">
      <c r="A95" s="38" t="s">
        <v>2028</v>
      </c>
      <c r="B95" s="38" t="s">
        <v>110</v>
      </c>
      <c r="C95" s="41"/>
      <c r="D95" s="657" t="s">
        <v>2009</v>
      </c>
      <c r="E95" s="661">
        <v>7.7</v>
      </c>
      <c r="F95" s="662">
        <v>4.92</v>
      </c>
      <c r="G95" s="662">
        <v>6.09</v>
      </c>
      <c r="H95" s="662">
        <v>7.18</v>
      </c>
      <c r="I95" s="661">
        <v>8.2200000000000006</v>
      </c>
      <c r="J95" s="662">
        <v>9.66</v>
      </c>
      <c r="K95" s="662">
        <v>10.83</v>
      </c>
      <c r="L95" s="662">
        <v>12.49</v>
      </c>
      <c r="M95" s="41"/>
      <c r="N95" s="41"/>
      <c r="O95" s="41"/>
      <c r="P95" s="41"/>
      <c r="Q95" s="75"/>
    </row>
    <row r="96" spans="1:18">
      <c r="A96" s="38" t="s">
        <v>2028</v>
      </c>
      <c r="B96" s="38" t="s">
        <v>110</v>
      </c>
      <c r="C96" s="41"/>
      <c r="D96" s="44" t="s">
        <v>2008</v>
      </c>
      <c r="E96" s="658">
        <v>7.7</v>
      </c>
      <c r="F96" s="659">
        <v>1.52</v>
      </c>
      <c r="G96" s="659">
        <v>2.62</v>
      </c>
      <c r="H96" s="659">
        <v>3.06</v>
      </c>
      <c r="I96" s="658">
        <v>3.84</v>
      </c>
      <c r="J96" s="659">
        <v>4.88</v>
      </c>
      <c r="K96" s="659">
        <v>8.1999999999999993</v>
      </c>
      <c r="L96" s="658">
        <v>10.52</v>
      </c>
      <c r="M96" s="41"/>
      <c r="N96" s="41"/>
      <c r="O96" s="41"/>
      <c r="P96" s="41"/>
      <c r="Q96" s="75"/>
    </row>
    <row r="97" spans="1:17">
      <c r="A97" s="38" t="s">
        <v>2028</v>
      </c>
      <c r="B97" s="38" t="s">
        <v>110</v>
      </c>
      <c r="C97" s="41"/>
      <c r="D97" s="657" t="s">
        <v>2010</v>
      </c>
      <c r="E97" s="661">
        <v>11.9</v>
      </c>
      <c r="F97" s="662">
        <v>8.32</v>
      </c>
      <c r="G97" s="662">
        <v>10.43</v>
      </c>
      <c r="H97" s="662">
        <v>12.39</v>
      </c>
      <c r="I97" s="661">
        <v>14.54</v>
      </c>
      <c r="J97" s="662">
        <v>17.25</v>
      </c>
      <c r="K97" s="662">
        <v>19.68</v>
      </c>
      <c r="L97" s="661">
        <v>22.3</v>
      </c>
      <c r="M97" s="41"/>
      <c r="N97" s="41"/>
      <c r="O97" s="41"/>
      <c r="P97" s="41"/>
      <c r="Q97" s="75"/>
    </row>
    <row r="98" spans="1:17">
      <c r="A98" s="38" t="s">
        <v>2028</v>
      </c>
      <c r="B98" s="38" t="s">
        <v>110</v>
      </c>
      <c r="C98" s="41"/>
      <c r="D98" s="44" t="s">
        <v>2011</v>
      </c>
      <c r="E98" s="658">
        <v>8.3000000000000007</v>
      </c>
      <c r="F98" s="659">
        <v>6.11</v>
      </c>
      <c r="G98" s="659">
        <v>7.51</v>
      </c>
      <c r="H98" s="659">
        <v>8.89</v>
      </c>
      <c r="I98" s="658">
        <v>10.41</v>
      </c>
      <c r="J98" s="659">
        <v>12.18</v>
      </c>
      <c r="K98" s="659">
        <v>13.84</v>
      </c>
      <c r="L98" s="658">
        <v>15.81</v>
      </c>
      <c r="M98" s="41"/>
      <c r="N98" s="41"/>
      <c r="O98" s="41"/>
      <c r="P98" s="41"/>
      <c r="Q98" s="75"/>
    </row>
    <row r="99" spans="1:17">
      <c r="A99" s="38" t="s">
        <v>2028</v>
      </c>
      <c r="B99" s="38" t="s">
        <v>110</v>
      </c>
      <c r="C99" s="41"/>
      <c r="D99" s="657" t="s">
        <v>2012</v>
      </c>
      <c r="E99" s="661">
        <v>116.9</v>
      </c>
      <c r="F99" s="662">
        <v>95.47</v>
      </c>
      <c r="G99" s="662">
        <v>144.47999999999999</v>
      </c>
      <c r="H99" s="662">
        <v>153.62</v>
      </c>
      <c r="I99" s="661">
        <v>160.18</v>
      </c>
      <c r="J99" s="662">
        <v>168.62</v>
      </c>
      <c r="K99" s="662">
        <v>177.2</v>
      </c>
      <c r="L99" s="661">
        <v>184.86</v>
      </c>
      <c r="M99" s="41"/>
      <c r="N99" s="41"/>
      <c r="O99" s="41"/>
      <c r="P99" s="41"/>
      <c r="Q99" s="75"/>
    </row>
    <row r="100" spans="1:17">
      <c r="A100" s="38" t="s">
        <v>2028</v>
      </c>
      <c r="C100" s="41"/>
      <c r="L100" s="41"/>
      <c r="M100" s="41"/>
      <c r="N100" s="41"/>
      <c r="O100" s="41"/>
      <c r="P100" s="41"/>
      <c r="Q100" s="75"/>
    </row>
    <row r="101" spans="1:17">
      <c r="A101" s="38" t="s">
        <v>2028</v>
      </c>
      <c r="B101" s="38" t="s">
        <v>2017</v>
      </c>
      <c r="C101" s="41"/>
      <c r="L101" s="41"/>
      <c r="M101" s="41"/>
      <c r="N101" s="41"/>
      <c r="O101" s="41"/>
      <c r="P101" s="41"/>
      <c r="Q101" s="75"/>
    </row>
    <row r="102" spans="1:17">
      <c r="A102" s="38" t="s">
        <v>2028</v>
      </c>
      <c r="B102" s="38" t="s">
        <v>2017</v>
      </c>
      <c r="C102" s="41"/>
      <c r="M102" s="41"/>
      <c r="O102" s="41"/>
      <c r="P102" s="41"/>
      <c r="Q102" s="75"/>
    </row>
    <row r="103" spans="1:17">
      <c r="A103" s="38" t="s">
        <v>2028</v>
      </c>
      <c r="B103" s="38" t="s">
        <v>2017</v>
      </c>
      <c r="C103" s="41"/>
      <c r="E103" s="663"/>
      <c r="F103" s="663"/>
      <c r="G103" s="663"/>
      <c r="H103" s="663"/>
      <c r="I103" s="663"/>
      <c r="J103" s="663"/>
      <c r="K103" s="663"/>
      <c r="L103" s="663"/>
      <c r="M103" s="41"/>
      <c r="N103" s="41"/>
      <c r="O103" s="41"/>
      <c r="P103" s="41"/>
      <c r="Q103" s="75"/>
    </row>
    <row r="104" spans="1:17">
      <c r="A104" s="38" t="s">
        <v>2028</v>
      </c>
      <c r="B104" s="38" t="s">
        <v>2017</v>
      </c>
      <c r="C104" s="41"/>
      <c r="E104" s="663"/>
      <c r="F104" s="663"/>
      <c r="G104" s="663"/>
      <c r="H104" s="663"/>
      <c r="I104" s="663"/>
      <c r="J104" s="663"/>
      <c r="K104" s="663"/>
      <c r="L104" s="663"/>
      <c r="M104" s="41"/>
      <c r="N104" s="635"/>
      <c r="O104" s="41"/>
      <c r="P104" s="41"/>
      <c r="Q104" s="75"/>
    </row>
    <row r="105" spans="1:17">
      <c r="A105" s="38" t="s">
        <v>2028</v>
      </c>
      <c r="B105" s="38" t="s">
        <v>2017</v>
      </c>
      <c r="C105" s="41"/>
      <c r="E105" s="663"/>
      <c r="F105" s="663"/>
      <c r="G105" s="663"/>
      <c r="H105" s="663"/>
      <c r="I105" s="663"/>
      <c r="J105" s="663"/>
      <c r="K105" s="663"/>
      <c r="L105" s="663"/>
      <c r="M105" s="41"/>
      <c r="N105" s="635"/>
      <c r="O105" s="41"/>
      <c r="P105" s="41"/>
      <c r="Q105" s="75"/>
    </row>
    <row r="106" spans="1:17">
      <c r="A106" s="38" t="s">
        <v>2028</v>
      </c>
      <c r="B106" s="38" t="s">
        <v>2017</v>
      </c>
      <c r="C106" s="41"/>
      <c r="E106" s="663"/>
      <c r="F106" s="663"/>
      <c r="G106" s="663"/>
      <c r="H106" s="663"/>
      <c r="I106" s="663"/>
      <c r="J106" s="663"/>
      <c r="K106" s="663"/>
      <c r="L106" s="663"/>
      <c r="M106" s="41"/>
      <c r="N106" s="41"/>
      <c r="O106" s="41"/>
      <c r="P106" s="41"/>
      <c r="Q106" s="75"/>
    </row>
    <row r="107" spans="1:17">
      <c r="A107" s="38" t="s">
        <v>2028</v>
      </c>
      <c r="B107" s="38" t="s">
        <v>2017</v>
      </c>
      <c r="C107" s="41"/>
      <c r="E107" s="663"/>
      <c r="F107" s="663"/>
      <c r="G107" s="663"/>
      <c r="H107" s="663"/>
      <c r="I107" s="663"/>
      <c r="J107" s="663"/>
      <c r="K107" s="663"/>
      <c r="L107" s="663"/>
      <c r="M107" s="41"/>
      <c r="N107" s="41"/>
      <c r="O107" s="41"/>
      <c r="P107" s="41"/>
      <c r="Q107" s="75"/>
    </row>
    <row r="108" spans="1:17">
      <c r="A108" s="38" t="s">
        <v>2028</v>
      </c>
      <c r="B108" s="38" t="s">
        <v>2017</v>
      </c>
      <c r="C108" s="41"/>
      <c r="E108" s="663"/>
      <c r="F108" s="663"/>
      <c r="G108" s="663"/>
      <c r="H108" s="663"/>
      <c r="I108" s="663"/>
      <c r="J108" s="663"/>
      <c r="K108" s="663"/>
      <c r="L108" s="663"/>
      <c r="M108" s="41"/>
      <c r="N108" s="41"/>
      <c r="O108" s="41"/>
      <c r="P108" s="41"/>
      <c r="Q108" s="75"/>
    </row>
    <row r="109" spans="1:17">
      <c r="A109" s="38" t="s">
        <v>2028</v>
      </c>
      <c r="B109" s="38" t="s">
        <v>2017</v>
      </c>
      <c r="C109" s="41"/>
      <c r="E109" s="663"/>
      <c r="F109" s="663"/>
      <c r="G109" s="663"/>
      <c r="H109" s="663"/>
      <c r="I109" s="663"/>
      <c r="J109" s="663"/>
      <c r="K109" s="663"/>
      <c r="L109" s="663"/>
      <c r="M109" s="41"/>
      <c r="N109" s="41"/>
      <c r="O109" s="41"/>
      <c r="P109" s="41"/>
      <c r="Q109" s="75"/>
    </row>
    <row r="110" spans="1:17">
      <c r="A110" s="38" t="s">
        <v>2028</v>
      </c>
      <c r="B110" s="38" t="s">
        <v>2017</v>
      </c>
      <c r="C110" s="41"/>
      <c r="E110" s="663"/>
      <c r="F110" s="663"/>
      <c r="G110" s="663"/>
      <c r="H110" s="663"/>
      <c r="I110" s="663"/>
      <c r="J110" s="663"/>
      <c r="K110" s="663"/>
      <c r="L110" s="663"/>
      <c r="M110" s="41"/>
      <c r="N110" s="41"/>
      <c r="O110" s="41"/>
      <c r="P110" s="41"/>
      <c r="Q110" s="75"/>
    </row>
    <row r="111" spans="1:17">
      <c r="A111" s="38" t="s">
        <v>2028</v>
      </c>
      <c r="B111" s="38" t="s">
        <v>2017</v>
      </c>
      <c r="C111" s="41"/>
      <c r="E111" s="663"/>
      <c r="F111" s="663"/>
      <c r="G111" s="663"/>
      <c r="H111" s="663"/>
      <c r="I111" s="663"/>
      <c r="J111" s="663"/>
      <c r="K111" s="663"/>
      <c r="L111" s="663"/>
      <c r="M111" s="41"/>
      <c r="N111" s="41"/>
      <c r="O111" s="41"/>
      <c r="P111" s="41"/>
      <c r="Q111" s="75"/>
    </row>
    <row r="112" spans="1:17">
      <c r="A112" s="38" t="s">
        <v>2028</v>
      </c>
      <c r="B112" s="38" t="s">
        <v>2017</v>
      </c>
      <c r="C112" s="41"/>
      <c r="E112" s="663"/>
      <c r="F112" s="663"/>
      <c r="G112" s="663"/>
      <c r="H112" s="663"/>
      <c r="I112" s="663"/>
      <c r="J112" s="663"/>
      <c r="K112" s="663"/>
      <c r="L112" s="663"/>
      <c r="M112" s="41"/>
      <c r="N112" s="41"/>
      <c r="O112" s="41"/>
      <c r="P112" s="41"/>
      <c r="Q112" s="75"/>
    </row>
    <row r="113" spans="1:21">
      <c r="A113" s="38" t="s">
        <v>2028</v>
      </c>
      <c r="B113" s="38" t="s">
        <v>2017</v>
      </c>
      <c r="C113" s="41"/>
      <c r="E113" s="663"/>
      <c r="F113" s="663"/>
      <c r="G113" s="663"/>
      <c r="H113" s="663"/>
      <c r="I113" s="663"/>
      <c r="J113" s="663"/>
      <c r="K113" s="663"/>
      <c r="L113" s="663"/>
      <c r="M113" s="41"/>
      <c r="N113" s="41"/>
      <c r="O113" s="41"/>
      <c r="P113" s="41"/>
      <c r="Q113" s="75"/>
    </row>
    <row r="114" spans="1:21">
      <c r="A114" s="38" t="s">
        <v>2028</v>
      </c>
      <c r="B114" s="38" t="s">
        <v>2017</v>
      </c>
      <c r="C114" s="41"/>
      <c r="E114" s="663"/>
      <c r="F114" s="663"/>
      <c r="G114" s="663"/>
      <c r="H114" s="663"/>
      <c r="I114" s="663"/>
      <c r="J114" s="663"/>
      <c r="K114" s="663"/>
      <c r="L114" s="663"/>
      <c r="M114" s="41"/>
      <c r="N114" s="41"/>
      <c r="O114" s="41"/>
      <c r="P114" s="41"/>
      <c r="Q114" s="75"/>
    </row>
    <row r="115" spans="1:21">
      <c r="A115" s="38" t="s">
        <v>2028</v>
      </c>
      <c r="B115" s="38" t="s">
        <v>2017</v>
      </c>
      <c r="C115" s="41"/>
      <c r="E115" s="663"/>
      <c r="F115" s="663"/>
      <c r="G115" s="663"/>
      <c r="H115" s="663"/>
      <c r="I115" s="663"/>
      <c r="J115" s="663"/>
      <c r="K115" s="663"/>
      <c r="L115" s="663"/>
      <c r="M115" s="41"/>
      <c r="N115" s="41"/>
      <c r="O115" s="41"/>
      <c r="P115" s="41"/>
      <c r="Q115" s="75"/>
    </row>
    <row r="116" spans="1:21">
      <c r="A116" s="38" t="s">
        <v>2028</v>
      </c>
      <c r="B116" s="38" t="s">
        <v>2017</v>
      </c>
      <c r="C116" s="41"/>
      <c r="D116" s="41"/>
      <c r="E116" s="660"/>
      <c r="F116" s="660"/>
      <c r="G116" s="660"/>
      <c r="H116" s="660"/>
      <c r="I116" s="660"/>
      <c r="J116" s="660"/>
      <c r="K116" s="660"/>
      <c r="L116" s="660"/>
      <c r="M116" s="41"/>
      <c r="N116" s="41"/>
      <c r="O116" s="41"/>
      <c r="P116" s="41"/>
      <c r="Q116" s="75"/>
    </row>
    <row r="117" spans="1:21">
      <c r="A117" s="38" t="s">
        <v>2028</v>
      </c>
      <c r="B117" s="41"/>
      <c r="C117" s="41"/>
      <c r="D117" s="97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75"/>
    </row>
    <row r="118" spans="1:21">
      <c r="A118" s="38" t="s">
        <v>2028</v>
      </c>
      <c r="B118" s="38" t="s">
        <v>123</v>
      </c>
      <c r="C118" s="41"/>
      <c r="D118" s="201" t="s">
        <v>2020</v>
      </c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75"/>
    </row>
    <row r="119" spans="1:21">
      <c r="A119" s="38" t="s">
        <v>2028</v>
      </c>
      <c r="B119" s="41"/>
      <c r="C119" s="41"/>
      <c r="D119" s="97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75"/>
    </row>
    <row r="120" spans="1:21">
      <c r="A120" s="71" t="s">
        <v>2039</v>
      </c>
      <c r="B120" s="71" t="s">
        <v>2040</v>
      </c>
      <c r="C120" s="71"/>
      <c r="D120" s="305" t="s">
        <v>1646</v>
      </c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</row>
    <row r="121" spans="1:21">
      <c r="A121" s="38" t="s">
        <v>2039</v>
      </c>
      <c r="B121" s="38" t="s">
        <v>121</v>
      </c>
      <c r="D121" s="201" t="s">
        <v>1649</v>
      </c>
      <c r="L121" s="173"/>
    </row>
    <row r="122" spans="1:21">
      <c r="A122" s="38" t="s">
        <v>2039</v>
      </c>
      <c r="B122" s="38" t="s">
        <v>121</v>
      </c>
      <c r="D122" s="9" t="s">
        <v>278</v>
      </c>
      <c r="M122" s="165"/>
      <c r="N122" s="332"/>
      <c r="O122" s="165"/>
    </row>
    <row r="123" spans="1:21">
      <c r="A123" s="38" t="s">
        <v>2039</v>
      </c>
      <c r="M123" s="353"/>
      <c r="N123" s="353"/>
      <c r="O123" s="354"/>
      <c r="P123" s="355"/>
      <c r="Q123" s="339"/>
    </row>
    <row r="124" spans="1:21">
      <c r="A124" s="38" t="s">
        <v>2039</v>
      </c>
      <c r="B124" s="38" t="s">
        <v>110</v>
      </c>
      <c r="D124" s="38" t="s">
        <v>194</v>
      </c>
      <c r="E124" s="38" t="s">
        <v>28</v>
      </c>
      <c r="F124" s="38" t="s">
        <v>166</v>
      </c>
      <c r="G124" s="38" t="s">
        <v>675</v>
      </c>
      <c r="H124" s="38" t="s">
        <v>707</v>
      </c>
      <c r="I124" s="201" t="s">
        <v>1648</v>
      </c>
      <c r="J124" s="38" t="s">
        <v>222</v>
      </c>
      <c r="M124" s="339"/>
      <c r="N124" s="332"/>
      <c r="O124" s="279"/>
      <c r="P124" s="279"/>
      <c r="Q124" s="279"/>
      <c r="R124" s="32"/>
      <c r="S124" s="32"/>
      <c r="T124" s="32"/>
      <c r="U124" s="32"/>
    </row>
    <row r="125" spans="1:21">
      <c r="A125" s="38" t="s">
        <v>2039</v>
      </c>
      <c r="B125" s="38" t="s">
        <v>110</v>
      </c>
      <c r="D125" s="38" t="s">
        <v>1030</v>
      </c>
      <c r="E125" s="38">
        <v>58231.55</v>
      </c>
      <c r="F125" s="38">
        <v>65111.35</v>
      </c>
      <c r="G125" s="38">
        <v>72793.84</v>
      </c>
      <c r="H125" s="38">
        <v>101357.85</v>
      </c>
      <c r="I125" s="200">
        <v>128831.06</v>
      </c>
      <c r="J125" s="39"/>
      <c r="K125" s="287"/>
      <c r="L125" s="358"/>
      <c r="M125" s="339"/>
      <c r="N125" s="332"/>
      <c r="O125" s="32"/>
      <c r="P125" s="36"/>
      <c r="Q125" s="36"/>
      <c r="R125" s="36"/>
      <c r="S125" s="36"/>
      <c r="T125" s="197"/>
      <c r="U125" s="36"/>
    </row>
    <row r="126" spans="1:21">
      <c r="A126" s="38" t="s">
        <v>2039</v>
      </c>
      <c r="B126" s="38" t="s">
        <v>110</v>
      </c>
      <c r="D126" s="38" t="s">
        <v>1031</v>
      </c>
      <c r="E126" s="38">
        <v>35782.152364000001</v>
      </c>
      <c r="F126" s="38">
        <v>39723.173639000001</v>
      </c>
      <c r="G126" s="38">
        <v>43244.787388500001</v>
      </c>
      <c r="H126" s="38">
        <v>78314.903287499998</v>
      </c>
      <c r="I126" s="200">
        <v>98746.43</v>
      </c>
      <c r="K126" s="572"/>
      <c r="L126" s="287"/>
      <c r="M126" s="339"/>
      <c r="N126" s="333"/>
      <c r="O126" s="32"/>
      <c r="P126" s="36"/>
      <c r="Q126" s="36"/>
      <c r="R126" s="36"/>
      <c r="S126" s="36"/>
      <c r="T126" s="197"/>
      <c r="U126" s="36"/>
    </row>
    <row r="127" spans="1:21">
      <c r="A127" s="38" t="s">
        <v>2039</v>
      </c>
      <c r="D127" s="38" t="s">
        <v>1032</v>
      </c>
      <c r="E127" s="38">
        <v>39528.806218399994</v>
      </c>
      <c r="F127" s="38">
        <v>42790.567972999997</v>
      </c>
      <c r="G127" s="38">
        <v>48490.049197500004</v>
      </c>
      <c r="H127" s="38">
        <v>52273.989095286001</v>
      </c>
      <c r="I127" s="200">
        <v>61256.84</v>
      </c>
      <c r="K127" s="572"/>
      <c r="L127" s="287"/>
      <c r="M127" s="339"/>
      <c r="O127" s="32"/>
      <c r="P127" s="36"/>
      <c r="Q127" s="36"/>
      <c r="R127" s="36"/>
      <c r="S127" s="36"/>
      <c r="T127" s="197"/>
      <c r="U127" s="36"/>
    </row>
    <row r="128" spans="1:21">
      <c r="A128" s="38" t="s">
        <v>2039</v>
      </c>
      <c r="B128" s="38" t="s">
        <v>341</v>
      </c>
      <c r="D128" s="38" t="s">
        <v>1033</v>
      </c>
      <c r="E128" s="573">
        <v>-3746.6538543999986</v>
      </c>
      <c r="F128" s="573">
        <v>-3067.3943339999996</v>
      </c>
      <c r="G128" s="573">
        <v>-5245.2618090000005</v>
      </c>
      <c r="H128" s="38">
        <v>26040.914192214004</v>
      </c>
      <c r="I128" s="200">
        <v>37489.599999999999</v>
      </c>
      <c r="K128" s="572"/>
      <c r="L128" s="287"/>
      <c r="M128" s="339"/>
      <c r="O128" s="32"/>
      <c r="P128" s="36"/>
      <c r="Q128" s="36"/>
      <c r="R128" s="36"/>
      <c r="S128" s="36"/>
      <c r="T128" s="197"/>
      <c r="U128" s="36"/>
    </row>
    <row r="129" spans="1:21">
      <c r="A129" s="38" t="s">
        <v>2039</v>
      </c>
      <c r="B129" s="38" t="s">
        <v>341</v>
      </c>
      <c r="D129" s="38" t="s">
        <v>1029</v>
      </c>
      <c r="E129" s="38">
        <v>61978</v>
      </c>
      <c r="F129" s="38">
        <v>68179</v>
      </c>
      <c r="G129" s="38">
        <v>78039</v>
      </c>
      <c r="H129" s="38">
        <v>75317</v>
      </c>
      <c r="I129" s="200">
        <v>91341.46</v>
      </c>
      <c r="K129" s="574"/>
      <c r="L129" s="575">
        <f>RATE(4,0,-표24[[#This Row],[2017년]],표24[[#This Row],[2021년]])</f>
        <v>0.10181225326078402</v>
      </c>
      <c r="M129" s="339"/>
      <c r="O129" s="32"/>
      <c r="P129" s="36"/>
      <c r="Q129" s="36"/>
      <c r="R129" s="36"/>
      <c r="S129" s="36"/>
      <c r="T129" s="197"/>
      <c r="U129" s="36"/>
    </row>
    <row r="130" spans="1:21">
      <c r="A130" s="38" t="s">
        <v>2039</v>
      </c>
      <c r="B130" s="38" t="s">
        <v>341</v>
      </c>
      <c r="D130" s="38" t="s">
        <v>635</v>
      </c>
      <c r="E130" s="39">
        <v>5.5300000000000002E-2</v>
      </c>
      <c r="F130" s="39">
        <v>0.1</v>
      </c>
      <c r="G130" s="39">
        <v>0.14460000000000001</v>
      </c>
      <c r="H130" s="39">
        <v>-3.49E-2</v>
      </c>
      <c r="I130" s="244">
        <v>0.21279999999999999</v>
      </c>
    </row>
    <row r="131" spans="1:21">
      <c r="A131" s="38" t="s">
        <v>2039</v>
      </c>
      <c r="B131" s="38" t="s">
        <v>341</v>
      </c>
      <c r="I131" s="201"/>
    </row>
    <row r="132" spans="1:21">
      <c r="A132" s="38" t="s">
        <v>2039</v>
      </c>
      <c r="B132" s="38" t="s">
        <v>341</v>
      </c>
    </row>
    <row r="133" spans="1:21">
      <c r="A133" s="38" t="s">
        <v>2039</v>
      </c>
      <c r="B133" s="38" t="s">
        <v>341</v>
      </c>
    </row>
    <row r="134" spans="1:21">
      <c r="A134" s="38" t="s">
        <v>2039</v>
      </c>
      <c r="B134" s="38" t="s">
        <v>341</v>
      </c>
    </row>
    <row r="135" spans="1:21">
      <c r="A135" s="38" t="s">
        <v>2039</v>
      </c>
      <c r="B135" s="38" t="s">
        <v>341</v>
      </c>
    </row>
    <row r="136" spans="1:21">
      <c r="A136" s="38" t="s">
        <v>2039</v>
      </c>
      <c r="B136" s="38" t="s">
        <v>341</v>
      </c>
    </row>
    <row r="137" spans="1:21">
      <c r="A137" s="38" t="s">
        <v>2039</v>
      </c>
      <c r="B137" s="38" t="s">
        <v>341</v>
      </c>
    </row>
    <row r="138" spans="1:21">
      <c r="A138" s="38" t="s">
        <v>2039</v>
      </c>
      <c r="B138" s="38" t="s">
        <v>341</v>
      </c>
    </row>
    <row r="139" spans="1:21">
      <c r="A139" s="38" t="s">
        <v>2039</v>
      </c>
      <c r="B139" s="38" t="s">
        <v>341</v>
      </c>
    </row>
    <row r="140" spans="1:21">
      <c r="A140" s="38" t="s">
        <v>2039</v>
      </c>
      <c r="B140" s="38" t="s">
        <v>341</v>
      </c>
    </row>
    <row r="141" spans="1:21">
      <c r="A141" s="38" t="s">
        <v>2039</v>
      </c>
      <c r="B141" s="38" t="s">
        <v>341</v>
      </c>
    </row>
    <row r="142" spans="1:21">
      <c r="A142" s="38" t="s">
        <v>2039</v>
      </c>
      <c r="B142" s="38" t="s">
        <v>341</v>
      </c>
    </row>
    <row r="143" spans="1:21">
      <c r="A143" s="38" t="s">
        <v>2039</v>
      </c>
    </row>
    <row r="144" spans="1:21">
      <c r="A144" s="38" t="s">
        <v>2039</v>
      </c>
      <c r="B144" s="38" t="s">
        <v>123</v>
      </c>
      <c r="D144" s="201" t="s">
        <v>1650</v>
      </c>
      <c r="J144" s="98"/>
      <c r="M144" s="171"/>
      <c r="T144" s="171"/>
    </row>
    <row r="145" spans="1:18" s="41" customFormat="1">
      <c r="A145" s="38" t="s">
        <v>2029</v>
      </c>
      <c r="B145" s="38"/>
      <c r="C145" s="38"/>
      <c r="D145" s="38"/>
      <c r="E145" s="38"/>
      <c r="F145" s="38"/>
      <c r="G145" s="38"/>
      <c r="H145" s="38"/>
      <c r="I145" s="38"/>
      <c r="J145" s="38"/>
      <c r="K145" s="38"/>
      <c r="L145" s="38"/>
      <c r="M145" s="38"/>
      <c r="N145" s="38"/>
      <c r="O145" s="38"/>
      <c r="P145" s="38"/>
      <c r="Q145" s="38"/>
      <c r="R145" s="38"/>
    </row>
    <row r="146" spans="1:18">
      <c r="A146" s="71" t="s">
        <v>2041</v>
      </c>
      <c r="B146" s="71" t="s">
        <v>2042</v>
      </c>
      <c r="C146" s="71"/>
      <c r="D146" s="305" t="s">
        <v>1651</v>
      </c>
      <c r="E146" s="305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</row>
    <row r="147" spans="1:18">
      <c r="A147" s="38" t="s">
        <v>2043</v>
      </c>
      <c r="B147" s="38" t="s">
        <v>121</v>
      </c>
      <c r="D147" s="201" t="s">
        <v>1658</v>
      </c>
    </row>
    <row r="148" spans="1:18">
      <c r="A148" s="38" t="s">
        <v>2043</v>
      </c>
      <c r="B148" s="38" t="s">
        <v>121</v>
      </c>
      <c r="D148" s="201" t="s">
        <v>1659</v>
      </c>
    </row>
    <row r="149" spans="1:18">
      <c r="A149" s="38" t="s">
        <v>2043</v>
      </c>
    </row>
    <row r="150" spans="1:18">
      <c r="A150" s="38" t="s">
        <v>2043</v>
      </c>
      <c r="B150" s="38" t="s">
        <v>110</v>
      </c>
      <c r="D150" s="38" t="s">
        <v>223</v>
      </c>
      <c r="E150" s="38" t="s">
        <v>226</v>
      </c>
      <c r="F150" s="38" t="s">
        <v>204</v>
      </c>
      <c r="G150" s="201" t="s">
        <v>1652</v>
      </c>
      <c r="H150" s="38" t="s">
        <v>195</v>
      </c>
      <c r="J150" s="41"/>
      <c r="K150" s="577"/>
      <c r="L150" s="41"/>
    </row>
    <row r="151" spans="1:18" ht="17.25">
      <c r="A151" s="38" t="s">
        <v>2043</v>
      </c>
      <c r="B151" s="38" t="s">
        <v>110</v>
      </c>
      <c r="D151" s="38">
        <v>1</v>
      </c>
      <c r="E151" s="201" t="s">
        <v>227</v>
      </c>
      <c r="F151" s="201" t="s">
        <v>213</v>
      </c>
      <c r="G151" s="239">
        <v>30117</v>
      </c>
      <c r="J151" s="578"/>
      <c r="K151" s="41"/>
      <c r="L151" s="41"/>
      <c r="M151" s="42"/>
    </row>
    <row r="152" spans="1:18">
      <c r="A152" s="38" t="s">
        <v>2043</v>
      </c>
      <c r="B152" s="38" t="s">
        <v>110</v>
      </c>
      <c r="D152" s="38">
        <v>2</v>
      </c>
      <c r="E152" s="201" t="s">
        <v>228</v>
      </c>
      <c r="F152" s="201" t="s">
        <v>213</v>
      </c>
      <c r="G152" s="239">
        <v>22959</v>
      </c>
      <c r="J152" s="579"/>
      <c r="K152" s="353"/>
      <c r="L152" s="41"/>
      <c r="M152" s="42"/>
    </row>
    <row r="153" spans="1:18">
      <c r="A153" s="38" t="s">
        <v>2043</v>
      </c>
      <c r="B153" s="38" t="s">
        <v>110</v>
      </c>
      <c r="D153" s="38">
        <v>3</v>
      </c>
      <c r="E153" s="201" t="s">
        <v>1654</v>
      </c>
      <c r="F153" s="201" t="s">
        <v>1660</v>
      </c>
      <c r="G153" s="239">
        <v>20516.580000000002</v>
      </c>
      <c r="H153" s="165"/>
      <c r="I153" s="41"/>
      <c r="K153" s="39"/>
      <c r="M153" s="42"/>
    </row>
    <row r="154" spans="1:18">
      <c r="A154" s="38" t="s">
        <v>2043</v>
      </c>
      <c r="B154" s="38" t="s">
        <v>110</v>
      </c>
      <c r="D154" s="38">
        <v>4</v>
      </c>
      <c r="E154" s="201" t="s">
        <v>1662</v>
      </c>
      <c r="F154" s="201" t="s">
        <v>1661</v>
      </c>
      <c r="G154" s="239">
        <v>19736.82</v>
      </c>
      <c r="H154" s="165"/>
      <c r="I154" s="41"/>
      <c r="K154" s="39"/>
      <c r="M154" s="42"/>
    </row>
    <row r="155" spans="1:18">
      <c r="A155" s="38" t="s">
        <v>2043</v>
      </c>
      <c r="B155" s="38" t="s">
        <v>110</v>
      </c>
      <c r="D155" s="38">
        <v>5</v>
      </c>
      <c r="E155" s="200" t="s">
        <v>1663</v>
      </c>
      <c r="F155" s="201" t="s">
        <v>1664</v>
      </c>
      <c r="G155" s="239">
        <v>17979</v>
      </c>
      <c r="H155" s="165"/>
      <c r="I155" s="41"/>
      <c r="K155" s="39"/>
      <c r="L155" s="61"/>
      <c r="M155" s="42"/>
    </row>
    <row r="156" spans="1:18">
      <c r="A156" s="38" t="s">
        <v>2043</v>
      </c>
      <c r="B156" s="38" t="s">
        <v>110</v>
      </c>
      <c r="D156" s="38">
        <v>6</v>
      </c>
      <c r="E156" s="201" t="s">
        <v>1665</v>
      </c>
      <c r="F156" s="201" t="s">
        <v>1666</v>
      </c>
      <c r="G156" s="239">
        <v>17500</v>
      </c>
      <c r="H156" s="165"/>
      <c r="I156" s="576"/>
      <c r="K156" s="39"/>
      <c r="M156" s="42"/>
    </row>
    <row r="157" spans="1:18">
      <c r="A157" s="38" t="s">
        <v>2043</v>
      </c>
      <c r="B157" s="38" t="s">
        <v>110</v>
      </c>
      <c r="D157" s="38">
        <v>7</v>
      </c>
      <c r="E157" s="285" t="s">
        <v>1667</v>
      </c>
      <c r="F157" s="201" t="s">
        <v>1668</v>
      </c>
      <c r="G157" s="239">
        <v>17000</v>
      </c>
      <c r="H157" s="165"/>
      <c r="I157" s="41"/>
      <c r="K157" s="39"/>
      <c r="L157" s="61"/>
      <c r="M157" s="42"/>
    </row>
    <row r="158" spans="1:18">
      <c r="A158" s="38" t="s">
        <v>2043</v>
      </c>
      <c r="B158" s="38" t="s">
        <v>110</v>
      </c>
      <c r="D158" s="38">
        <v>8</v>
      </c>
      <c r="E158" s="201" t="s">
        <v>1669</v>
      </c>
      <c r="F158" s="201" t="s">
        <v>1668</v>
      </c>
      <c r="G158" s="239">
        <v>16687</v>
      </c>
      <c r="H158" s="165"/>
      <c r="I158" s="41"/>
      <c r="K158" s="39"/>
      <c r="L158" s="61"/>
      <c r="M158" s="42"/>
    </row>
    <row r="159" spans="1:18">
      <c r="A159" s="38" t="s">
        <v>2043</v>
      </c>
      <c r="B159" s="38" t="s">
        <v>110</v>
      </c>
      <c r="D159" s="38">
        <v>9</v>
      </c>
      <c r="E159" s="201" t="s">
        <v>1670</v>
      </c>
      <c r="F159" s="201" t="s">
        <v>1671</v>
      </c>
      <c r="G159" s="239">
        <v>16449.060000000001</v>
      </c>
      <c r="H159" s="165"/>
      <c r="I159" s="576"/>
      <c r="K159" s="39"/>
      <c r="M159" s="42"/>
    </row>
    <row r="160" spans="1:18">
      <c r="A160" s="38" t="s">
        <v>2043</v>
      </c>
      <c r="B160" s="38" t="s">
        <v>110</v>
      </c>
      <c r="D160" s="38">
        <v>10</v>
      </c>
      <c r="E160" s="263" t="s">
        <v>1672</v>
      </c>
      <c r="F160" s="201" t="s">
        <v>1668</v>
      </c>
      <c r="G160" s="239">
        <v>14351</v>
      </c>
      <c r="H160" s="165"/>
      <c r="I160" s="576"/>
      <c r="K160" s="39"/>
      <c r="M160" s="42"/>
    </row>
    <row r="161" spans="1:20">
      <c r="A161" s="38" t="s">
        <v>2043</v>
      </c>
      <c r="B161" s="38" t="s">
        <v>110</v>
      </c>
      <c r="D161" s="38">
        <v>11</v>
      </c>
      <c r="E161" s="200" t="s">
        <v>698</v>
      </c>
      <c r="F161" s="201" t="s">
        <v>1673</v>
      </c>
      <c r="G161" s="239">
        <v>11787</v>
      </c>
      <c r="H161" s="165"/>
      <c r="I161" s="41"/>
      <c r="K161" s="39"/>
      <c r="M161" s="42"/>
    </row>
    <row r="162" spans="1:20">
      <c r="A162" s="38" t="s">
        <v>2043</v>
      </c>
      <c r="B162" s="38" t="s">
        <v>110</v>
      </c>
      <c r="D162" s="38">
        <v>12</v>
      </c>
      <c r="E162" s="200" t="s">
        <v>1674</v>
      </c>
      <c r="F162" s="201" t="s">
        <v>1675</v>
      </c>
      <c r="G162" s="239">
        <v>11673</v>
      </c>
      <c r="H162" s="165"/>
      <c r="I162" s="41"/>
      <c r="K162" s="39"/>
      <c r="M162" s="42"/>
    </row>
    <row r="163" spans="1:20">
      <c r="A163" s="38" t="s">
        <v>2043</v>
      </c>
      <c r="B163" s="38" t="s">
        <v>110</v>
      </c>
      <c r="D163" s="38">
        <v>13</v>
      </c>
      <c r="E163" s="201" t="s">
        <v>1676</v>
      </c>
      <c r="F163" s="201" t="s">
        <v>1668</v>
      </c>
      <c r="G163" s="239">
        <v>10119.141</v>
      </c>
      <c r="H163" s="165"/>
      <c r="I163" s="41"/>
      <c r="K163" s="39"/>
      <c r="M163" s="42"/>
    </row>
    <row r="164" spans="1:20">
      <c r="A164" s="38" t="s">
        <v>2043</v>
      </c>
      <c r="B164" s="38" t="s">
        <v>110</v>
      </c>
      <c r="D164" s="38">
        <v>14</v>
      </c>
      <c r="E164" s="263" t="s">
        <v>1655</v>
      </c>
      <c r="F164" s="201" t="s">
        <v>1677</v>
      </c>
      <c r="G164" s="239">
        <v>9913</v>
      </c>
      <c r="H164" s="165"/>
      <c r="I164" s="41"/>
      <c r="K164" s="39"/>
      <c r="M164" s="42"/>
    </row>
    <row r="165" spans="1:20">
      <c r="A165" s="38" t="s">
        <v>2043</v>
      </c>
      <c r="B165" s="38" t="s">
        <v>110</v>
      </c>
      <c r="D165" s="38">
        <v>15</v>
      </c>
      <c r="E165" s="285" t="s">
        <v>1656</v>
      </c>
      <c r="F165" s="201" t="s">
        <v>1677</v>
      </c>
      <c r="G165" s="239">
        <v>9479</v>
      </c>
      <c r="H165" s="165"/>
      <c r="I165" s="576"/>
      <c r="K165" s="39"/>
      <c r="M165" s="42"/>
    </row>
    <row r="166" spans="1:20">
      <c r="A166" s="38" t="s">
        <v>2043</v>
      </c>
      <c r="B166" s="38" t="s">
        <v>110</v>
      </c>
      <c r="D166" s="38">
        <v>16</v>
      </c>
      <c r="E166" s="201" t="s">
        <v>1678</v>
      </c>
      <c r="F166" s="201" t="s">
        <v>1679</v>
      </c>
      <c r="G166" s="239">
        <v>8480.1769999999997</v>
      </c>
      <c r="H166" s="165"/>
      <c r="I166" s="41"/>
      <c r="K166" s="39"/>
      <c r="M166" s="42"/>
    </row>
    <row r="167" spans="1:20">
      <c r="A167" s="38" t="s">
        <v>2043</v>
      </c>
      <c r="B167" s="38" t="s">
        <v>110</v>
      </c>
      <c r="D167" s="38">
        <v>17</v>
      </c>
      <c r="E167" s="201" t="s">
        <v>1680</v>
      </c>
      <c r="F167" s="201" t="s">
        <v>1681</v>
      </c>
      <c r="G167" s="239">
        <v>8465.982</v>
      </c>
      <c r="H167" s="165"/>
      <c r="I167" s="576"/>
      <c r="K167" s="39"/>
      <c r="M167" s="42"/>
    </row>
    <row r="168" spans="1:20">
      <c r="A168" s="38" t="s">
        <v>2043</v>
      </c>
      <c r="B168" s="38" t="s">
        <v>110</v>
      </c>
      <c r="D168" s="38">
        <v>18</v>
      </c>
      <c r="E168" s="200" t="s">
        <v>1682</v>
      </c>
      <c r="F168" s="201" t="s">
        <v>1677</v>
      </c>
      <c r="G168" s="239">
        <v>8345</v>
      </c>
      <c r="H168" s="165"/>
      <c r="I168" s="41"/>
      <c r="K168" s="39"/>
      <c r="M168" s="42"/>
    </row>
    <row r="169" spans="1:20">
      <c r="A169" s="38" t="s">
        <v>2043</v>
      </c>
      <c r="B169" s="38" t="s">
        <v>110</v>
      </c>
      <c r="D169" s="38">
        <v>19</v>
      </c>
      <c r="E169" s="200" t="s">
        <v>1683</v>
      </c>
      <c r="F169" s="201" t="s">
        <v>1677</v>
      </c>
      <c r="G169" s="239">
        <v>7024.5</v>
      </c>
      <c r="H169" s="165"/>
      <c r="I169" s="576"/>
      <c r="K169" s="39"/>
      <c r="M169" s="42"/>
    </row>
    <row r="170" spans="1:20">
      <c r="A170" s="38" t="s">
        <v>2043</v>
      </c>
      <c r="B170" s="38" t="s">
        <v>110</v>
      </c>
      <c r="D170" s="38">
        <v>20</v>
      </c>
      <c r="E170" s="201" t="s">
        <v>1684</v>
      </c>
      <c r="F170" s="201" t="s">
        <v>1685</v>
      </c>
      <c r="G170" s="239">
        <v>6763</v>
      </c>
      <c r="H170" s="165"/>
      <c r="I170" s="576"/>
      <c r="K170" s="39"/>
      <c r="M170" s="42"/>
    </row>
    <row r="171" spans="1:20">
      <c r="A171" s="38" t="s">
        <v>2043</v>
      </c>
      <c r="B171" s="38" t="s">
        <v>110</v>
      </c>
      <c r="E171" s="38" t="s">
        <v>1002</v>
      </c>
      <c r="G171" s="581">
        <f>SUM(G151:G170)</f>
        <v>285345.26</v>
      </c>
      <c r="H171" s="165"/>
      <c r="I171" s="576"/>
      <c r="K171" s="39"/>
      <c r="M171" s="42"/>
    </row>
    <row r="172" spans="1:20">
      <c r="A172" s="38" t="s">
        <v>2043</v>
      </c>
      <c r="B172" s="38" t="s">
        <v>110</v>
      </c>
      <c r="K172" s="39"/>
      <c r="M172" s="42"/>
    </row>
    <row r="173" spans="1:20">
      <c r="A173" s="38" t="s">
        <v>2043</v>
      </c>
      <c r="B173" s="38" t="s">
        <v>110</v>
      </c>
      <c r="K173" s="39"/>
      <c r="L173" s="61"/>
      <c r="M173" s="42"/>
    </row>
    <row r="174" spans="1:20">
      <c r="A174" s="38" t="s">
        <v>2043</v>
      </c>
      <c r="I174" s="39"/>
      <c r="J174" s="39"/>
      <c r="K174" s="39"/>
      <c r="M174" s="42"/>
      <c r="R174" s="103" t="s">
        <v>1653</v>
      </c>
      <c r="T174" s="171"/>
    </row>
    <row r="175" spans="1:20">
      <c r="A175" s="38" t="s">
        <v>2043</v>
      </c>
      <c r="B175" s="38" t="s">
        <v>123</v>
      </c>
      <c r="D175" s="240" t="s">
        <v>1657</v>
      </c>
      <c r="E175" s="245"/>
      <c r="F175" s="245"/>
      <c r="G175" s="245"/>
      <c r="H175" s="245"/>
      <c r="I175" s="245"/>
      <c r="J175" s="245"/>
      <c r="K175" s="39"/>
      <c r="M175" s="307"/>
    </row>
    <row r="176" spans="1:20" s="41" customFormat="1">
      <c r="A176" s="38" t="s">
        <v>2043</v>
      </c>
      <c r="Q176" s="75"/>
      <c r="R176" s="75"/>
    </row>
    <row r="177" spans="1:18">
      <c r="A177" s="71" t="s">
        <v>2044</v>
      </c>
      <c r="B177" s="71" t="s">
        <v>2045</v>
      </c>
      <c r="C177" s="71"/>
      <c r="D177" s="305" t="s">
        <v>1686</v>
      </c>
      <c r="E177" s="308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</row>
    <row r="178" spans="1:18">
      <c r="A178" s="38" t="s">
        <v>2046</v>
      </c>
      <c r="B178" s="38" t="s">
        <v>121</v>
      </c>
      <c r="D178" s="201" t="s">
        <v>1696</v>
      </c>
    </row>
    <row r="179" spans="1:18">
      <c r="A179" s="38" t="s">
        <v>2046</v>
      </c>
      <c r="B179" s="38" t="s">
        <v>121</v>
      </c>
      <c r="D179" s="201" t="s">
        <v>1699</v>
      </c>
    </row>
    <row r="180" spans="1:18">
      <c r="A180" s="38" t="s">
        <v>2046</v>
      </c>
      <c r="B180" s="38" t="s">
        <v>121</v>
      </c>
      <c r="D180" s="201" t="s">
        <v>1028</v>
      </c>
    </row>
    <row r="181" spans="1:18">
      <c r="A181" s="38" t="s">
        <v>2046</v>
      </c>
      <c r="B181" s="38" t="s">
        <v>121</v>
      </c>
      <c r="D181" s="201" t="s">
        <v>1027</v>
      </c>
      <c r="M181" s="339" t="s">
        <v>1026</v>
      </c>
      <c r="N181" s="339"/>
      <c r="O181" s="339"/>
      <c r="P181" s="339"/>
      <c r="Q181" s="339"/>
      <c r="R181" s="339"/>
    </row>
    <row r="182" spans="1:18">
      <c r="A182" s="38" t="s">
        <v>2046</v>
      </c>
      <c r="D182" s="38" t="s">
        <v>10</v>
      </c>
      <c r="M182" s="339"/>
      <c r="N182" s="339"/>
      <c r="O182" s="339"/>
      <c r="P182" s="339"/>
      <c r="Q182" s="339"/>
      <c r="R182" s="339"/>
    </row>
    <row r="183" spans="1:18">
      <c r="A183" s="38" t="s">
        <v>2046</v>
      </c>
      <c r="M183" s="339"/>
      <c r="N183" s="339"/>
      <c r="O183" s="339"/>
      <c r="P183" s="339"/>
      <c r="Q183" s="339"/>
      <c r="R183" s="339"/>
    </row>
    <row r="184" spans="1:18">
      <c r="A184" s="38" t="s">
        <v>2046</v>
      </c>
      <c r="B184" s="38" t="s">
        <v>201</v>
      </c>
      <c r="D184" s="38" t="s">
        <v>224</v>
      </c>
      <c r="E184" s="201" t="s">
        <v>234</v>
      </c>
      <c r="F184" s="201" t="s">
        <v>1687</v>
      </c>
      <c r="G184" s="201" t="s">
        <v>1688</v>
      </c>
      <c r="H184" s="201" t="s">
        <v>1689</v>
      </c>
      <c r="I184" s="201" t="s">
        <v>1690</v>
      </c>
      <c r="J184" s="201" t="s">
        <v>1691</v>
      </c>
      <c r="K184" s="201" t="s">
        <v>1692</v>
      </c>
      <c r="L184" s="201" t="s">
        <v>1016</v>
      </c>
      <c r="M184" s="339" t="s">
        <v>1025</v>
      </c>
      <c r="N184" s="340"/>
      <c r="O184" s="339"/>
      <c r="P184" s="340"/>
      <c r="Q184" s="340"/>
      <c r="R184" s="339"/>
    </row>
    <row r="185" spans="1:18">
      <c r="A185" s="38" t="s">
        <v>2046</v>
      </c>
      <c r="B185" s="38" t="s">
        <v>201</v>
      </c>
      <c r="D185" s="38">
        <v>1</v>
      </c>
      <c r="E185" s="352" t="s">
        <v>818</v>
      </c>
      <c r="F185" s="270">
        <v>1150621.2849999999</v>
      </c>
      <c r="G185" s="583">
        <v>11.35</v>
      </c>
      <c r="H185" s="581">
        <v>1</v>
      </c>
      <c r="I185" s="270">
        <v>1639456.696</v>
      </c>
      <c r="J185" s="583">
        <v>12.73</v>
      </c>
      <c r="K185" s="344">
        <v>1</v>
      </c>
      <c r="L185" s="312">
        <v>42.48</v>
      </c>
      <c r="M185" s="351"/>
      <c r="N185" s="342"/>
      <c r="O185" s="339"/>
      <c r="P185" s="340"/>
      <c r="Q185" s="340"/>
      <c r="R185" s="339"/>
    </row>
    <row r="186" spans="1:18">
      <c r="A186" s="38" t="s">
        <v>2046</v>
      </c>
      <c r="B186" s="38" t="s">
        <v>201</v>
      </c>
      <c r="D186" s="38">
        <v>2</v>
      </c>
      <c r="E186" s="245" t="s">
        <v>1018</v>
      </c>
      <c r="F186" s="270">
        <v>481593.21600000001</v>
      </c>
      <c r="G186" s="583">
        <v>4.75</v>
      </c>
      <c r="H186" s="581">
        <v>3</v>
      </c>
      <c r="I186" s="270">
        <v>1333425.243</v>
      </c>
      <c r="J186" s="583">
        <v>10.35</v>
      </c>
      <c r="K186" s="344">
        <v>2</v>
      </c>
      <c r="L186" s="312">
        <v>176.88</v>
      </c>
      <c r="M186" s="351"/>
      <c r="N186" s="342"/>
      <c r="O186" s="339"/>
      <c r="P186" s="340"/>
      <c r="Q186" s="340"/>
      <c r="R186" s="339"/>
    </row>
    <row r="187" spans="1:18">
      <c r="A187" s="38" t="s">
        <v>2046</v>
      </c>
      <c r="B187" s="38" t="s">
        <v>201</v>
      </c>
      <c r="D187" s="38">
        <v>3</v>
      </c>
      <c r="E187" s="245" t="s">
        <v>1017</v>
      </c>
      <c r="F187" s="270">
        <v>1139659.1100000001</v>
      </c>
      <c r="G187" s="583">
        <v>11.24</v>
      </c>
      <c r="H187" s="581">
        <v>2</v>
      </c>
      <c r="I187" s="270">
        <v>933639</v>
      </c>
      <c r="J187" s="583">
        <v>7.25</v>
      </c>
      <c r="K187" s="344">
        <v>3</v>
      </c>
      <c r="L187" s="312">
        <v>-18.079999999999998</v>
      </c>
      <c r="M187" s="351"/>
      <c r="N187" s="342"/>
      <c r="O187" s="339"/>
      <c r="P187" s="340"/>
      <c r="Q187" s="340"/>
      <c r="R187" s="339"/>
    </row>
    <row r="188" spans="1:18">
      <c r="A188" s="38" t="s">
        <v>2046</v>
      </c>
      <c r="B188" s="38" t="s">
        <v>201</v>
      </c>
      <c r="D188" s="38">
        <v>4</v>
      </c>
      <c r="E188" s="245" t="s">
        <v>1019</v>
      </c>
      <c r="F188" s="270">
        <v>403825.391</v>
      </c>
      <c r="G188" s="583">
        <v>3.98</v>
      </c>
      <c r="H188" s="581">
        <v>4</v>
      </c>
      <c r="I188" s="270">
        <v>606380.89099999995</v>
      </c>
      <c r="J188" s="583">
        <v>4.71</v>
      </c>
      <c r="K188" s="344">
        <v>4</v>
      </c>
      <c r="L188" s="312">
        <v>50.16</v>
      </c>
      <c r="M188" s="351"/>
      <c r="N188" s="342"/>
      <c r="O188" s="339"/>
      <c r="P188" s="340"/>
      <c r="Q188" s="340"/>
      <c r="R188" s="339"/>
    </row>
    <row r="189" spans="1:18">
      <c r="A189" s="38" t="s">
        <v>2046</v>
      </c>
      <c r="B189" s="38" t="s">
        <v>201</v>
      </c>
      <c r="D189" s="38">
        <v>5</v>
      </c>
      <c r="E189" s="245" t="s">
        <v>1020</v>
      </c>
      <c r="F189" s="270">
        <v>255996.02600000001</v>
      </c>
      <c r="G189" s="583">
        <v>2.5299999999999998</v>
      </c>
      <c r="H189" s="581">
        <v>5</v>
      </c>
      <c r="I189" s="270">
        <v>340262.38</v>
      </c>
      <c r="J189" s="583">
        <v>2.64</v>
      </c>
      <c r="K189" s="344">
        <v>5</v>
      </c>
      <c r="L189" s="312">
        <v>32.92</v>
      </c>
      <c r="M189" s="351"/>
      <c r="N189" s="342"/>
      <c r="O189" s="339"/>
      <c r="P189" s="340"/>
      <c r="Q189" s="340"/>
      <c r="R189" s="339"/>
    </row>
    <row r="190" spans="1:18">
      <c r="A190" s="38" t="s">
        <v>2046</v>
      </c>
      <c r="B190" s="38" t="s">
        <v>201</v>
      </c>
      <c r="D190" s="38">
        <v>6</v>
      </c>
      <c r="E190" s="245" t="s">
        <v>1693</v>
      </c>
      <c r="F190" s="270">
        <v>151456.973</v>
      </c>
      <c r="G190" s="583">
        <v>1.49</v>
      </c>
      <c r="H190" s="581">
        <v>6</v>
      </c>
      <c r="I190" s="270">
        <v>277446.60800000001</v>
      </c>
      <c r="J190" s="583">
        <v>2.15</v>
      </c>
      <c r="K190" s="344">
        <v>6</v>
      </c>
      <c r="L190" s="312">
        <v>83.19</v>
      </c>
      <c r="M190" s="351"/>
      <c r="N190" s="342"/>
      <c r="O190" s="339"/>
      <c r="P190" s="340"/>
      <c r="Q190" s="340"/>
      <c r="R190" s="339"/>
    </row>
    <row r="191" spans="1:18">
      <c r="A191" s="38" t="s">
        <v>2046</v>
      </c>
      <c r="B191" s="38" t="s">
        <v>201</v>
      </c>
      <c r="D191" s="38">
        <v>7</v>
      </c>
      <c r="E191" s="245" t="s">
        <v>1694</v>
      </c>
      <c r="F191" s="270">
        <v>69969.55</v>
      </c>
      <c r="G191" s="583">
        <v>0.69</v>
      </c>
      <c r="H191" s="581">
        <v>20</v>
      </c>
      <c r="I191" s="270">
        <v>156565.14000000001</v>
      </c>
      <c r="J191" s="583">
        <v>1.22</v>
      </c>
      <c r="K191" s="344">
        <v>7</v>
      </c>
      <c r="L191" s="345">
        <v>123.76</v>
      </c>
      <c r="M191" s="351"/>
      <c r="N191" s="342"/>
      <c r="O191" s="339"/>
      <c r="P191" s="340"/>
      <c r="Q191" s="340"/>
      <c r="R191" s="339"/>
    </row>
    <row r="192" spans="1:18">
      <c r="A192" s="38" t="s">
        <v>2046</v>
      </c>
      <c r="B192" s="38" t="s">
        <v>201</v>
      </c>
      <c r="D192" s="38">
        <v>8</v>
      </c>
      <c r="E192" s="245" t="s">
        <v>1022</v>
      </c>
      <c r="F192" s="270">
        <v>105523.537</v>
      </c>
      <c r="G192" s="583">
        <v>1.04</v>
      </c>
      <c r="H192" s="581">
        <v>10</v>
      </c>
      <c r="I192" s="270">
        <v>154660.71100000001</v>
      </c>
      <c r="J192" s="583">
        <v>1.2</v>
      </c>
      <c r="K192" s="344">
        <v>8</v>
      </c>
      <c r="L192" s="345">
        <v>46.57</v>
      </c>
      <c r="M192" s="351"/>
      <c r="N192" s="342"/>
      <c r="O192" s="339"/>
      <c r="P192" s="340"/>
      <c r="Q192" s="340"/>
      <c r="R192" s="339"/>
    </row>
    <row r="193" spans="1:18">
      <c r="A193" s="38" t="s">
        <v>2046</v>
      </c>
      <c r="B193" s="38" t="s">
        <v>201</v>
      </c>
      <c r="D193" s="38">
        <v>9</v>
      </c>
      <c r="E193" s="245" t="s">
        <v>1695</v>
      </c>
      <c r="F193" s="270">
        <v>83673.577999999994</v>
      </c>
      <c r="G193" s="583">
        <v>0.83</v>
      </c>
      <c r="H193" s="581">
        <v>18</v>
      </c>
      <c r="I193" s="270">
        <v>125745.476</v>
      </c>
      <c r="J193" s="583">
        <v>0.98</v>
      </c>
      <c r="K193" s="344">
        <v>9</v>
      </c>
      <c r="L193" s="345">
        <v>50.28</v>
      </c>
      <c r="M193" s="351"/>
      <c r="N193" s="342"/>
      <c r="O193" s="339"/>
      <c r="P193" s="340"/>
      <c r="Q193" s="340"/>
      <c r="R193" s="339"/>
    </row>
    <row r="194" spans="1:18">
      <c r="A194" s="38" t="s">
        <v>2046</v>
      </c>
      <c r="B194" s="38" t="s">
        <v>201</v>
      </c>
      <c r="D194" s="38">
        <v>10</v>
      </c>
      <c r="E194" s="245" t="s">
        <v>1021</v>
      </c>
      <c r="F194" s="270">
        <v>114972.36900000001</v>
      </c>
      <c r="G194" s="583">
        <v>1.1299999999999999</v>
      </c>
      <c r="H194" s="581">
        <v>7</v>
      </c>
      <c r="I194" s="270">
        <v>123681.481</v>
      </c>
      <c r="J194" s="583">
        <v>0.96</v>
      </c>
      <c r="K194" s="344">
        <v>10</v>
      </c>
      <c r="L194" s="346">
        <v>7.57</v>
      </c>
      <c r="M194" s="351"/>
      <c r="N194" s="343"/>
      <c r="O194" s="339"/>
      <c r="P194" s="339"/>
      <c r="Q194" s="339"/>
      <c r="R194" s="339"/>
    </row>
    <row r="195" spans="1:18">
      <c r="A195" s="38" t="s">
        <v>2046</v>
      </c>
      <c r="B195" s="38" t="s">
        <v>201</v>
      </c>
      <c r="D195" s="334" t="s">
        <v>1023</v>
      </c>
      <c r="E195" s="347"/>
      <c r="F195" s="347">
        <f>SUM(F185:F194)</f>
        <v>3957291.0350000001</v>
      </c>
      <c r="G195" s="348"/>
      <c r="H195" s="347"/>
      <c r="I195" s="347">
        <f>SUM(I185:I194)</f>
        <v>5691263.6259999992</v>
      </c>
      <c r="J195" s="349">
        <v>44.18</v>
      </c>
      <c r="K195" s="347"/>
      <c r="L195" s="582">
        <v>43.82</v>
      </c>
      <c r="M195" s="351"/>
      <c r="N195" s="343"/>
      <c r="O195" s="339"/>
      <c r="P195" s="339"/>
      <c r="Q195" s="339"/>
      <c r="R195" s="339"/>
    </row>
    <row r="196" spans="1:18">
      <c r="A196" s="38" t="s">
        <v>2046</v>
      </c>
      <c r="B196" s="38" t="s">
        <v>201</v>
      </c>
      <c r="D196" s="334" t="s">
        <v>1024</v>
      </c>
      <c r="E196" s="347"/>
      <c r="F196" s="347">
        <v>10135785</v>
      </c>
      <c r="G196" s="348"/>
      <c r="H196" s="347"/>
      <c r="I196" s="347">
        <v>12883106</v>
      </c>
      <c r="J196" s="350">
        <v>100</v>
      </c>
      <c r="K196" s="347"/>
      <c r="L196" s="582">
        <v>27.11</v>
      </c>
      <c r="M196" s="351"/>
      <c r="N196" s="343"/>
      <c r="O196" s="339"/>
      <c r="P196" s="341"/>
      <c r="Q196" s="339"/>
      <c r="R196" s="339"/>
    </row>
    <row r="197" spans="1:18">
      <c r="A197" s="38" t="s">
        <v>2046</v>
      </c>
      <c r="D197" s="335"/>
      <c r="E197" s="335"/>
      <c r="F197" s="335"/>
      <c r="G197" s="336"/>
      <c r="H197" s="335"/>
      <c r="I197" s="335"/>
      <c r="J197" s="337"/>
      <c r="K197" s="335"/>
      <c r="L197" s="338"/>
      <c r="M197" s="81"/>
      <c r="N197" s="339"/>
      <c r="O197" s="339"/>
      <c r="P197" s="339"/>
      <c r="Q197" s="339"/>
      <c r="R197" s="339"/>
    </row>
    <row r="198" spans="1:18">
      <c r="A198" s="38" t="s">
        <v>2046</v>
      </c>
      <c r="G198" s="39"/>
      <c r="I198" s="201"/>
      <c r="J198" s="39"/>
      <c r="M198" s="339"/>
      <c r="N198" s="339"/>
      <c r="O198" s="339"/>
      <c r="P198" s="339"/>
      <c r="Q198" s="339"/>
      <c r="R198" s="339"/>
    </row>
    <row r="199" spans="1:18">
      <c r="A199" s="38" t="s">
        <v>2046</v>
      </c>
      <c r="G199" s="39"/>
      <c r="J199" s="39"/>
      <c r="M199" s="339"/>
      <c r="N199" s="339"/>
      <c r="O199" s="339"/>
      <c r="P199" s="339"/>
      <c r="Q199" s="339"/>
      <c r="R199" s="339"/>
    </row>
    <row r="200" spans="1:18">
      <c r="A200" s="38" t="s">
        <v>2046</v>
      </c>
      <c r="G200" s="39"/>
      <c r="I200" s="172"/>
      <c r="J200" s="39"/>
      <c r="M200" s="339"/>
      <c r="N200" s="339"/>
      <c r="O200" s="339"/>
      <c r="P200" s="339"/>
      <c r="Q200" s="339"/>
      <c r="R200" s="339"/>
    </row>
    <row r="201" spans="1:18">
      <c r="A201" s="38" t="s">
        <v>2046</v>
      </c>
      <c r="B201" s="38" t="s">
        <v>123</v>
      </c>
      <c r="D201" s="201" t="s">
        <v>1650</v>
      </c>
      <c r="G201" s="39"/>
      <c r="J201" s="39"/>
      <c r="K201" s="165"/>
      <c r="L201" s="165"/>
      <c r="M201" s="339"/>
      <c r="N201" s="339"/>
      <c r="O201" s="339"/>
      <c r="P201" s="339"/>
      <c r="Q201" s="339"/>
      <c r="R201" s="339"/>
    </row>
    <row r="202" spans="1:18">
      <c r="A202" s="38" t="s">
        <v>2046</v>
      </c>
      <c r="G202" s="39"/>
      <c r="J202" s="39"/>
      <c r="K202" s="165"/>
      <c r="L202" s="165"/>
      <c r="M202" s="339"/>
      <c r="N202" s="339"/>
      <c r="O202" s="339"/>
      <c r="P202" s="339"/>
      <c r="Q202" s="339"/>
      <c r="R202" s="339"/>
    </row>
    <row r="203" spans="1:18">
      <c r="A203" s="71" t="s">
        <v>819</v>
      </c>
      <c r="B203" s="71" t="s">
        <v>119</v>
      </c>
      <c r="C203" s="71"/>
      <c r="D203" s="305" t="s">
        <v>1700</v>
      </c>
      <c r="E203" s="71"/>
      <c r="F203" s="71"/>
      <c r="G203" s="71"/>
      <c r="H203" s="589" t="s">
        <v>1706</v>
      </c>
      <c r="I203" s="71"/>
      <c r="J203" s="71"/>
      <c r="K203" s="71"/>
      <c r="L203" s="71"/>
      <c r="M203" s="71"/>
      <c r="N203" s="71"/>
      <c r="O203" s="71"/>
      <c r="P203" s="71"/>
      <c r="Q203" s="71"/>
      <c r="R203" s="71"/>
    </row>
    <row r="204" spans="1:18">
      <c r="A204" s="38" t="s">
        <v>819</v>
      </c>
      <c r="B204" s="38" t="s">
        <v>121</v>
      </c>
      <c r="D204" s="201" t="s">
        <v>1704</v>
      </c>
    </row>
    <row r="205" spans="1:18">
      <c r="A205" s="38" t="s">
        <v>819</v>
      </c>
      <c r="B205" s="38" t="s">
        <v>121</v>
      </c>
      <c r="D205" s="201" t="s">
        <v>1705</v>
      </c>
    </row>
    <row r="206" spans="1:18">
      <c r="A206" s="38" t="s">
        <v>819</v>
      </c>
      <c r="B206" s="38" t="s">
        <v>121</v>
      </c>
      <c r="D206" s="38" t="s">
        <v>216</v>
      </c>
    </row>
    <row r="207" spans="1:18">
      <c r="A207" s="38" t="s">
        <v>819</v>
      </c>
      <c r="B207" s="38" t="s">
        <v>121</v>
      </c>
      <c r="D207" s="38" t="s">
        <v>217</v>
      </c>
    </row>
    <row r="208" spans="1:18">
      <c r="A208" s="38" t="s">
        <v>819</v>
      </c>
    </row>
    <row r="209" spans="1:16">
      <c r="A209" s="38" t="s">
        <v>819</v>
      </c>
      <c r="B209" s="38" t="s">
        <v>201</v>
      </c>
      <c r="D209" s="38" t="s">
        <v>236</v>
      </c>
      <c r="E209" s="38" t="s">
        <v>697</v>
      </c>
      <c r="F209" s="38" t="s">
        <v>1003</v>
      </c>
      <c r="G209" s="38" t="s">
        <v>1035</v>
      </c>
      <c r="H209" s="201" t="s">
        <v>1702</v>
      </c>
      <c r="I209" s="201" t="s">
        <v>1703</v>
      </c>
      <c r="J209" s="38" t="s">
        <v>241</v>
      </c>
      <c r="P209" s="172"/>
    </row>
    <row r="210" spans="1:16">
      <c r="A210" s="38" t="s">
        <v>819</v>
      </c>
      <c r="B210" s="38" t="s">
        <v>201</v>
      </c>
      <c r="D210" s="38" t="s">
        <v>237</v>
      </c>
      <c r="E210" s="38">
        <v>816153</v>
      </c>
      <c r="F210" s="585">
        <v>887700</v>
      </c>
      <c r="G210" s="586">
        <v>1342310.4680000001</v>
      </c>
      <c r="H210" s="440">
        <v>1636412</v>
      </c>
      <c r="I210" s="587">
        <v>12.7</v>
      </c>
      <c r="J210" s="172"/>
      <c r="K210" s="172"/>
    </row>
    <row r="211" spans="1:16">
      <c r="A211" s="38" t="s">
        <v>819</v>
      </c>
      <c r="B211" s="38" t="s">
        <v>201</v>
      </c>
      <c r="D211" s="38" t="s">
        <v>238</v>
      </c>
      <c r="E211" s="38">
        <v>3457799</v>
      </c>
      <c r="F211" s="585">
        <v>3836356</v>
      </c>
      <c r="G211" s="586">
        <v>3842890.8259999999</v>
      </c>
      <c r="H211" s="440">
        <v>4604343</v>
      </c>
      <c r="I211" s="277">
        <v>35.74</v>
      </c>
      <c r="J211" s="172"/>
      <c r="K211" s="172"/>
    </row>
    <row r="212" spans="1:16">
      <c r="A212" s="38" t="s">
        <v>819</v>
      </c>
      <c r="B212" s="38" t="s">
        <v>201</v>
      </c>
      <c r="D212" s="38" t="s">
        <v>239</v>
      </c>
      <c r="E212" s="38">
        <v>1779044</v>
      </c>
      <c r="F212" s="585">
        <v>2050923</v>
      </c>
      <c r="G212" s="586">
        <v>4503699.9790000003</v>
      </c>
      <c r="H212" s="440">
        <v>6049958</v>
      </c>
      <c r="I212" s="277">
        <v>46.96</v>
      </c>
      <c r="J212" s="172"/>
      <c r="K212" s="172"/>
    </row>
    <row r="213" spans="1:16">
      <c r="A213" s="38" t="s">
        <v>819</v>
      </c>
      <c r="B213" s="38" t="s">
        <v>201</v>
      </c>
      <c r="D213" s="38" t="s">
        <v>240</v>
      </c>
      <c r="E213" s="38">
        <v>458205</v>
      </c>
      <c r="F213" s="585">
        <v>504406</v>
      </c>
      <c r="G213" s="586">
        <v>446884.10499999998</v>
      </c>
      <c r="H213" s="440">
        <v>592391</v>
      </c>
      <c r="I213" s="277">
        <v>4.5999999999999996</v>
      </c>
      <c r="J213" s="172"/>
      <c r="K213" s="172"/>
    </row>
    <row r="214" spans="1:16">
      <c r="A214" s="38" t="s">
        <v>819</v>
      </c>
      <c r="B214" s="38" t="s">
        <v>201</v>
      </c>
      <c r="D214" s="38" t="s">
        <v>235</v>
      </c>
      <c r="E214" s="38">
        <v>6511135</v>
      </c>
      <c r="F214" s="585">
        <v>7279384</v>
      </c>
      <c r="G214" s="586">
        <v>10135785.378</v>
      </c>
      <c r="H214" s="440">
        <v>12883105</v>
      </c>
      <c r="I214" s="588">
        <f>SUM(I210:I213)</f>
        <v>100</v>
      </c>
      <c r="J214" s="172"/>
      <c r="K214" s="172"/>
    </row>
    <row r="215" spans="1:16">
      <c r="A215" s="38" t="s">
        <v>819</v>
      </c>
    </row>
    <row r="216" spans="1:16">
      <c r="A216" s="38" t="s">
        <v>819</v>
      </c>
      <c r="B216" s="38" t="s">
        <v>112</v>
      </c>
    </row>
    <row r="217" spans="1:16">
      <c r="A217" s="38" t="s">
        <v>819</v>
      </c>
      <c r="B217" s="38" t="s">
        <v>112</v>
      </c>
    </row>
    <row r="218" spans="1:16">
      <c r="A218" s="38" t="s">
        <v>819</v>
      </c>
      <c r="B218" s="38" t="s">
        <v>112</v>
      </c>
    </row>
    <row r="219" spans="1:16">
      <c r="A219" s="38" t="s">
        <v>819</v>
      </c>
      <c r="B219" s="38" t="s">
        <v>112</v>
      </c>
    </row>
    <row r="220" spans="1:16">
      <c r="A220" s="38" t="s">
        <v>819</v>
      </c>
      <c r="B220" s="38" t="s">
        <v>112</v>
      </c>
    </row>
    <row r="221" spans="1:16">
      <c r="A221" s="38" t="s">
        <v>819</v>
      </c>
      <c r="B221" s="38" t="s">
        <v>112</v>
      </c>
    </row>
    <row r="222" spans="1:16">
      <c r="A222" s="38" t="s">
        <v>819</v>
      </c>
      <c r="B222" s="38" t="s">
        <v>112</v>
      </c>
    </row>
    <row r="223" spans="1:16">
      <c r="A223" s="38" t="s">
        <v>819</v>
      </c>
      <c r="B223" s="38" t="s">
        <v>112</v>
      </c>
    </row>
    <row r="224" spans="1:16">
      <c r="A224" s="38" t="s">
        <v>819</v>
      </c>
      <c r="B224" s="38" t="s">
        <v>112</v>
      </c>
    </row>
    <row r="225" spans="1:20">
      <c r="A225" s="38" t="s">
        <v>819</v>
      </c>
      <c r="B225" s="38" t="s">
        <v>112</v>
      </c>
    </row>
    <row r="226" spans="1:20">
      <c r="A226" s="38" t="s">
        <v>819</v>
      </c>
      <c r="B226" s="38" t="s">
        <v>112</v>
      </c>
    </row>
    <row r="227" spans="1:20">
      <c r="A227" s="38" t="s">
        <v>819</v>
      </c>
      <c r="B227" s="38" t="s">
        <v>112</v>
      </c>
    </row>
    <row r="228" spans="1:20">
      <c r="A228" s="38" t="s">
        <v>819</v>
      </c>
      <c r="B228" s="38" t="s">
        <v>112</v>
      </c>
    </row>
    <row r="229" spans="1:20">
      <c r="A229" s="38" t="s">
        <v>819</v>
      </c>
      <c r="B229" s="38" t="s">
        <v>112</v>
      </c>
    </row>
    <row r="230" spans="1:20">
      <c r="A230" s="38" t="s">
        <v>819</v>
      </c>
      <c r="B230" s="38" t="s">
        <v>112</v>
      </c>
    </row>
    <row r="231" spans="1:20">
      <c r="A231" s="38" t="s">
        <v>819</v>
      </c>
    </row>
    <row r="232" spans="1:20">
      <c r="A232" s="38" t="s">
        <v>819</v>
      </c>
      <c r="B232" s="38" t="s">
        <v>123</v>
      </c>
      <c r="D232" s="201" t="s">
        <v>1650</v>
      </c>
      <c r="Q232" s="174"/>
      <c r="T232" s="171"/>
    </row>
    <row r="233" spans="1:20" s="41" customFormat="1">
      <c r="A233" s="38" t="s">
        <v>819</v>
      </c>
      <c r="D233" s="201"/>
      <c r="Q233" s="75"/>
      <c r="R233" s="75"/>
    </row>
    <row r="234" spans="1:20">
      <c r="A234" s="71" t="s">
        <v>2047</v>
      </c>
      <c r="B234" s="71" t="s">
        <v>119</v>
      </c>
      <c r="C234" s="71"/>
      <c r="D234" s="305" t="s">
        <v>1708</v>
      </c>
      <c r="E234" s="71"/>
      <c r="F234" s="71"/>
      <c r="G234" s="71"/>
      <c r="H234" s="595" t="s">
        <v>1733</v>
      </c>
      <c r="I234" s="71"/>
      <c r="J234" s="71"/>
      <c r="K234" s="71"/>
      <c r="L234" s="71"/>
      <c r="M234" s="71"/>
      <c r="N234" s="71"/>
      <c r="O234" s="71"/>
      <c r="P234" s="71"/>
      <c r="Q234" s="71"/>
      <c r="R234" s="71"/>
    </row>
    <row r="235" spans="1:20">
      <c r="A235" s="38" t="s">
        <v>2048</v>
      </c>
      <c r="B235" s="38" t="s">
        <v>121</v>
      </c>
      <c r="D235" s="201" t="s">
        <v>1719</v>
      </c>
    </row>
    <row r="236" spans="1:20">
      <c r="A236" s="38" t="s">
        <v>2048</v>
      </c>
      <c r="B236" s="38" t="s">
        <v>121</v>
      </c>
      <c r="D236" s="201" t="s">
        <v>1721</v>
      </c>
    </row>
    <row r="237" spans="1:20">
      <c r="A237" s="38" t="s">
        <v>2048</v>
      </c>
      <c r="B237" s="38" t="s">
        <v>121</v>
      </c>
    </row>
    <row r="238" spans="1:20">
      <c r="A238" s="38" t="s">
        <v>2048</v>
      </c>
      <c r="K238" s="38" t="s">
        <v>1036</v>
      </c>
    </row>
    <row r="239" spans="1:20">
      <c r="A239" s="38" t="s">
        <v>2048</v>
      </c>
      <c r="B239" s="38" t="s">
        <v>218</v>
      </c>
      <c r="E239" s="201" t="s">
        <v>242</v>
      </c>
      <c r="F239" s="309" t="s">
        <v>1709</v>
      </c>
      <c r="G239" s="310" t="s">
        <v>1710</v>
      </c>
      <c r="H239" s="356" t="s">
        <v>1712</v>
      </c>
      <c r="I239" s="201" t="s">
        <v>1713</v>
      </c>
      <c r="J239" s="201" t="s">
        <v>1711</v>
      </c>
      <c r="K239" s="339"/>
      <c r="L239" s="339"/>
      <c r="M239" s="339"/>
      <c r="N239" s="339"/>
      <c r="O239" s="339"/>
      <c r="P239" s="339"/>
      <c r="Q239" s="339"/>
      <c r="R239" s="339"/>
      <c r="S239" s="339"/>
    </row>
    <row r="240" spans="1:20">
      <c r="A240" s="38" t="s">
        <v>2048</v>
      </c>
      <c r="B240" s="38" t="s">
        <v>218</v>
      </c>
      <c r="D240" s="38">
        <v>1</v>
      </c>
      <c r="E240" s="240" t="s">
        <v>1718</v>
      </c>
      <c r="F240" s="590">
        <v>1042847.352</v>
      </c>
      <c r="G240" s="200">
        <v>2</v>
      </c>
      <c r="H240" s="584">
        <v>2012459.5989999999</v>
      </c>
      <c r="I240" s="201">
        <v>1</v>
      </c>
      <c r="J240" s="593">
        <v>92.98</v>
      </c>
      <c r="K240" s="339"/>
      <c r="L240" s="363"/>
      <c r="M240" s="339"/>
      <c r="N240" s="339"/>
      <c r="O240" s="361"/>
      <c r="P240" s="339"/>
      <c r="Q240" s="362"/>
      <c r="R240" s="339"/>
      <c r="S240" s="339"/>
    </row>
    <row r="241" spans="1:20">
      <c r="A241" s="38" t="s">
        <v>2048</v>
      </c>
      <c r="B241" s="38" t="s">
        <v>218</v>
      </c>
      <c r="D241" s="38">
        <v>2</v>
      </c>
      <c r="E241" s="240" t="s">
        <v>1720</v>
      </c>
      <c r="F241" s="591">
        <v>1028733.113</v>
      </c>
      <c r="G241" s="200">
        <v>3</v>
      </c>
      <c r="H241" s="584">
        <v>1444681.676</v>
      </c>
      <c r="I241" s="311">
        <v>2</v>
      </c>
      <c r="J241" s="593">
        <v>40.43</v>
      </c>
      <c r="K241" s="339"/>
      <c r="L241" s="363"/>
      <c r="M241" s="339"/>
      <c r="N241" s="339"/>
      <c r="O241" s="361"/>
      <c r="P241" s="339"/>
      <c r="Q241" s="362"/>
      <c r="R241" s="339"/>
      <c r="S241" s="339"/>
    </row>
    <row r="242" spans="1:20">
      <c r="A242" s="38" t="s">
        <v>2048</v>
      </c>
      <c r="B242" s="38" t="s">
        <v>218</v>
      </c>
      <c r="D242" s="38">
        <v>3</v>
      </c>
      <c r="E242" s="240" t="s">
        <v>1714</v>
      </c>
      <c r="F242" s="459">
        <v>1426705.8430000001</v>
      </c>
      <c r="G242" s="200">
        <v>1</v>
      </c>
      <c r="H242" s="584">
        <v>1153384.8829999999</v>
      </c>
      <c r="I242" s="311">
        <v>3</v>
      </c>
      <c r="J242" s="593">
        <v>-19.16</v>
      </c>
      <c r="K242" s="339"/>
      <c r="L242" s="363"/>
      <c r="M242" s="339"/>
      <c r="N242" s="339"/>
      <c r="O242" s="361"/>
      <c r="P242" s="339"/>
      <c r="Q242" s="362"/>
      <c r="R242" s="339"/>
      <c r="S242" s="339"/>
    </row>
    <row r="243" spans="1:20">
      <c r="A243" s="38" t="s">
        <v>2048</v>
      </c>
      <c r="B243" s="38" t="s">
        <v>218</v>
      </c>
      <c r="D243" s="38">
        <v>4</v>
      </c>
      <c r="E243" s="240" t="s">
        <v>1038</v>
      </c>
      <c r="F243" s="459">
        <v>431546.95299999998</v>
      </c>
      <c r="G243" s="200">
        <v>4</v>
      </c>
      <c r="H243" s="584">
        <v>569278.82799999998</v>
      </c>
      <c r="I243" s="311">
        <v>4</v>
      </c>
      <c r="J243" s="593">
        <v>31.92</v>
      </c>
      <c r="K243" s="339"/>
      <c r="L243" s="363"/>
      <c r="M243" s="339"/>
      <c r="N243" s="339"/>
      <c r="O243" s="361"/>
      <c r="P243" s="339"/>
      <c r="Q243" s="362"/>
      <c r="R243" s="339"/>
      <c r="S243" s="339"/>
    </row>
    <row r="244" spans="1:20">
      <c r="A244" s="38" t="s">
        <v>2048</v>
      </c>
      <c r="B244" s="38" t="s">
        <v>218</v>
      </c>
      <c r="D244" s="38">
        <v>5</v>
      </c>
      <c r="E244" s="240" t="s">
        <v>1039</v>
      </c>
      <c r="F244" s="590">
        <v>341429.54700000002</v>
      </c>
      <c r="G244" s="200">
        <v>5</v>
      </c>
      <c r="H244" s="584">
        <v>551898.49300000002</v>
      </c>
      <c r="I244" s="201">
        <v>5</v>
      </c>
      <c r="J244" s="593">
        <v>61.64</v>
      </c>
      <c r="K244" s="339"/>
      <c r="L244" s="363"/>
      <c r="M244" s="339"/>
      <c r="N244" s="339"/>
      <c r="O244" s="361"/>
      <c r="P244" s="339"/>
      <c r="Q244" s="362"/>
      <c r="R244" s="339"/>
      <c r="S244" s="339"/>
    </row>
    <row r="245" spans="1:20">
      <c r="A245" s="38" t="s">
        <v>2048</v>
      </c>
      <c r="B245" s="38" t="s">
        <v>218</v>
      </c>
      <c r="D245" s="38">
        <v>6</v>
      </c>
      <c r="E245" s="240" t="s">
        <v>1042</v>
      </c>
      <c r="F245" s="590">
        <v>193621.136</v>
      </c>
      <c r="G245" s="200">
        <v>7</v>
      </c>
      <c r="H245" s="584">
        <v>301160.33299999998</v>
      </c>
      <c r="I245" s="201">
        <v>6</v>
      </c>
      <c r="J245" s="593">
        <v>55.54</v>
      </c>
      <c r="K245" s="339"/>
      <c r="L245" s="363"/>
      <c r="M245" s="339"/>
      <c r="N245" s="339"/>
      <c r="O245" s="361"/>
      <c r="P245" s="339"/>
      <c r="Q245" s="362"/>
      <c r="R245" s="339"/>
      <c r="S245" s="339"/>
    </row>
    <row r="246" spans="1:20">
      <c r="A246" s="38" t="s">
        <v>2048</v>
      </c>
      <c r="B246" s="38" t="s">
        <v>218</v>
      </c>
      <c r="D246" s="38">
        <v>7</v>
      </c>
      <c r="E246" s="240" t="s">
        <v>1715</v>
      </c>
      <c r="F246" s="590">
        <v>0</v>
      </c>
      <c r="G246" s="592" t="s">
        <v>1716</v>
      </c>
      <c r="H246" s="584">
        <v>274364.37599999999</v>
      </c>
      <c r="I246" s="201">
        <v>7</v>
      </c>
      <c r="J246" s="594" t="s">
        <v>1717</v>
      </c>
      <c r="K246" s="339"/>
      <c r="L246" s="363"/>
      <c r="M246" s="339"/>
      <c r="N246" s="339"/>
      <c r="O246" s="361"/>
      <c r="P246" s="339"/>
      <c r="Q246" s="362"/>
      <c r="R246" s="339"/>
      <c r="S246" s="339"/>
    </row>
    <row r="247" spans="1:20">
      <c r="A247" s="38" t="s">
        <v>2048</v>
      </c>
      <c r="B247" s="38" t="s">
        <v>218</v>
      </c>
      <c r="D247" s="38">
        <v>8</v>
      </c>
      <c r="E247" s="240" t="s">
        <v>1040</v>
      </c>
      <c r="F247" s="590">
        <v>265444.28000000003</v>
      </c>
      <c r="G247" s="200">
        <v>6</v>
      </c>
      <c r="H247" s="584">
        <v>231580.04300000001</v>
      </c>
      <c r="I247" s="201">
        <v>8</v>
      </c>
      <c r="J247" s="594">
        <v>-12.76</v>
      </c>
      <c r="K247" s="339"/>
      <c r="L247" s="363"/>
      <c r="M247" s="339"/>
      <c r="N247" s="339"/>
      <c r="O247" s="361"/>
      <c r="P247" s="339"/>
      <c r="Q247" s="362"/>
      <c r="R247" s="339"/>
      <c r="S247" s="339"/>
    </row>
    <row r="248" spans="1:20">
      <c r="A248" s="38" t="s">
        <v>2048</v>
      </c>
      <c r="B248" s="38" t="s">
        <v>218</v>
      </c>
      <c r="D248" s="38">
        <v>9</v>
      </c>
      <c r="E248" s="240" t="s">
        <v>1041</v>
      </c>
      <c r="F248" s="590">
        <v>196058.285</v>
      </c>
      <c r="G248" s="200">
        <v>7</v>
      </c>
      <c r="H248" s="584">
        <v>216081.19200000001</v>
      </c>
      <c r="I248" s="201">
        <v>9</v>
      </c>
      <c r="J248" s="593">
        <v>10.210000000000001</v>
      </c>
      <c r="K248" s="339"/>
      <c r="L248" s="363"/>
      <c r="M248" s="339"/>
      <c r="N248" s="339"/>
      <c r="O248" s="361"/>
      <c r="P248" s="339"/>
      <c r="Q248" s="362"/>
      <c r="R248" s="339"/>
      <c r="S248" s="339"/>
    </row>
    <row r="249" spans="1:20">
      <c r="A249" s="38" t="s">
        <v>2048</v>
      </c>
      <c r="B249" s="38" t="s">
        <v>218</v>
      </c>
      <c r="D249" s="38">
        <v>10</v>
      </c>
      <c r="E249" s="240" t="s">
        <v>1043</v>
      </c>
      <c r="F249" s="590">
        <v>151020.394</v>
      </c>
      <c r="G249" s="200">
        <v>10</v>
      </c>
      <c r="H249" s="584">
        <v>209281.33799999999</v>
      </c>
      <c r="I249" s="201">
        <v>10</v>
      </c>
      <c r="J249" s="593">
        <v>38.58</v>
      </c>
      <c r="K249" s="339"/>
      <c r="L249" s="363"/>
      <c r="M249" s="339"/>
      <c r="N249" s="339"/>
      <c r="O249" s="361"/>
      <c r="P249" s="339"/>
      <c r="Q249" s="362"/>
      <c r="R249" s="339"/>
      <c r="S249" s="339"/>
    </row>
    <row r="250" spans="1:20" s="41" customFormat="1">
      <c r="A250" s="38" t="s">
        <v>2048</v>
      </c>
      <c r="D250" s="201"/>
      <c r="E250" s="311" t="s">
        <v>1044</v>
      </c>
      <c r="F250" s="311">
        <v>5077407</v>
      </c>
      <c r="G250" s="359"/>
      <c r="H250" s="440">
        <v>6964171</v>
      </c>
      <c r="I250" s="311"/>
      <c r="J250" s="277">
        <v>37.159999999999997</v>
      </c>
      <c r="K250" s="339"/>
      <c r="L250" s="363"/>
      <c r="M250" s="339"/>
      <c r="N250" s="339"/>
      <c r="O250" s="339"/>
      <c r="P250" s="339"/>
      <c r="Q250" s="360"/>
      <c r="R250" s="360"/>
      <c r="S250" s="339"/>
    </row>
    <row r="251" spans="1:20">
      <c r="A251" s="38" t="s">
        <v>2048</v>
      </c>
      <c r="E251" s="201" t="s">
        <v>1045</v>
      </c>
      <c r="F251" s="201">
        <v>10135785.378</v>
      </c>
      <c r="G251" s="201"/>
      <c r="H251" s="358">
        <v>12883106</v>
      </c>
      <c r="I251" s="201"/>
      <c r="J251" s="277">
        <v>27.11</v>
      </c>
      <c r="K251" s="339"/>
      <c r="L251" s="363"/>
      <c r="M251" s="339"/>
      <c r="N251" s="339"/>
      <c r="O251" s="339"/>
      <c r="P251" s="339"/>
      <c r="Q251" s="339"/>
      <c r="R251" s="339"/>
      <c r="S251" s="339"/>
      <c r="T251" s="171"/>
    </row>
    <row r="252" spans="1:20">
      <c r="A252" s="38" t="s">
        <v>2048</v>
      </c>
      <c r="K252" s="339"/>
      <c r="L252" s="339"/>
      <c r="M252" s="339"/>
      <c r="N252" s="339"/>
      <c r="O252" s="339"/>
      <c r="P252" s="339"/>
      <c r="Q252" s="339"/>
      <c r="R252" s="339"/>
      <c r="S252" s="339"/>
    </row>
    <row r="253" spans="1:20">
      <c r="A253" s="38" t="s">
        <v>2048</v>
      </c>
      <c r="B253" s="38" t="s">
        <v>123</v>
      </c>
      <c r="D253" s="201" t="s">
        <v>1650</v>
      </c>
      <c r="K253" s="339"/>
      <c r="L253" s="339"/>
      <c r="M253" s="339"/>
      <c r="N253" s="339"/>
      <c r="O253" s="339"/>
      <c r="P253" s="339"/>
      <c r="Q253" s="339"/>
      <c r="R253" s="339"/>
      <c r="S253" s="339"/>
    </row>
    <row r="254" spans="1:20">
      <c r="A254" s="38" t="s">
        <v>2048</v>
      </c>
      <c r="D254" s="201"/>
      <c r="K254" s="339"/>
      <c r="L254" s="339"/>
      <c r="M254" s="339"/>
      <c r="N254" s="339"/>
      <c r="O254" s="339"/>
      <c r="P254" s="339"/>
      <c r="Q254" s="339"/>
      <c r="R254" s="339"/>
      <c r="S254" s="339"/>
    </row>
    <row r="255" spans="1:20" s="367" customFormat="1">
      <c r="A255" s="365" t="s">
        <v>2049</v>
      </c>
      <c r="B255" s="364" t="s">
        <v>119</v>
      </c>
      <c r="C255" s="365"/>
      <c r="D255" s="366" t="s">
        <v>1722</v>
      </c>
      <c r="E255" s="365"/>
      <c r="H255" s="595" t="s">
        <v>1733</v>
      </c>
    </row>
    <row r="256" spans="1:20">
      <c r="A256" s="38" t="s">
        <v>2050</v>
      </c>
      <c r="B256" s="38" t="s">
        <v>121</v>
      </c>
      <c r="D256" s="201" t="s">
        <v>1732</v>
      </c>
    </row>
    <row r="257" spans="1:11">
      <c r="A257" s="38" t="s">
        <v>2050</v>
      </c>
      <c r="B257" s="38" t="s">
        <v>121</v>
      </c>
      <c r="D257" s="201" t="s">
        <v>1731</v>
      </c>
    </row>
    <row r="258" spans="1:11">
      <c r="A258" s="38" t="s">
        <v>2050</v>
      </c>
      <c r="B258" s="38" t="s">
        <v>121</v>
      </c>
    </row>
    <row r="259" spans="1:11">
      <c r="A259" s="38" t="s">
        <v>2050</v>
      </c>
    </row>
    <row r="260" spans="1:11">
      <c r="A260" s="38" t="s">
        <v>2050</v>
      </c>
      <c r="B260" s="38" t="s">
        <v>111</v>
      </c>
      <c r="E260" s="201" t="s">
        <v>242</v>
      </c>
      <c r="F260" s="309" t="s">
        <v>1724</v>
      </c>
      <c r="G260" s="310" t="s">
        <v>1725</v>
      </c>
      <c r="H260" s="356" t="s">
        <v>1726</v>
      </c>
      <c r="I260" s="201" t="s">
        <v>1727</v>
      </c>
      <c r="J260" s="201" t="s">
        <v>1711</v>
      </c>
      <c r="K260" s="201" t="s">
        <v>1728</v>
      </c>
    </row>
    <row r="261" spans="1:11">
      <c r="A261" s="38" t="s">
        <v>2050</v>
      </c>
      <c r="B261" s="38" t="s">
        <v>111</v>
      </c>
      <c r="D261" s="38">
        <v>1</v>
      </c>
      <c r="E261" s="240" t="s">
        <v>1729</v>
      </c>
      <c r="F261" s="306">
        <v>1856.1243750000001</v>
      </c>
      <c r="G261" s="240">
        <v>1</v>
      </c>
      <c r="H261" s="358">
        <v>2650.9424410000001</v>
      </c>
      <c r="I261" s="240">
        <v>1</v>
      </c>
      <c r="J261" s="240">
        <v>42.82</v>
      </c>
    </row>
    <row r="262" spans="1:11">
      <c r="A262" s="38" t="s">
        <v>2050</v>
      </c>
      <c r="B262" s="38" t="s">
        <v>111</v>
      </c>
      <c r="D262" s="38">
        <v>2</v>
      </c>
      <c r="E262" s="240" t="s">
        <v>1730</v>
      </c>
      <c r="F262" s="357">
        <v>1056.0187229999999</v>
      </c>
      <c r="G262" s="240">
        <v>2</v>
      </c>
      <c r="H262" s="358">
        <v>915.54044199999998</v>
      </c>
      <c r="I262" s="240">
        <v>2</v>
      </c>
      <c r="J262" s="240">
        <v>-13.3</v>
      </c>
      <c r="K262" s="41"/>
    </row>
    <row r="263" spans="1:11">
      <c r="A263" s="38" t="s">
        <v>2050</v>
      </c>
      <c r="B263" s="38" t="s">
        <v>111</v>
      </c>
      <c r="D263" s="38">
        <v>3</v>
      </c>
      <c r="E263" s="240" t="s">
        <v>1038</v>
      </c>
      <c r="F263" s="358">
        <v>367.72848800000003</v>
      </c>
      <c r="G263" s="240">
        <v>3</v>
      </c>
      <c r="H263" s="358">
        <v>491.65488399999998</v>
      </c>
      <c r="I263" s="240">
        <v>3</v>
      </c>
      <c r="J263" s="240">
        <v>33.700000000000003</v>
      </c>
      <c r="K263" s="41"/>
    </row>
    <row r="264" spans="1:11">
      <c r="A264" s="38" t="s">
        <v>2050</v>
      </c>
      <c r="B264" s="38" t="s">
        <v>111</v>
      </c>
      <c r="D264" s="38">
        <v>4</v>
      </c>
      <c r="E264" s="240" t="s">
        <v>1715</v>
      </c>
      <c r="F264" s="358">
        <v>0</v>
      </c>
      <c r="G264" s="240" t="s">
        <v>1716</v>
      </c>
      <c r="H264" s="358">
        <v>421.50515799999999</v>
      </c>
      <c r="I264" s="240">
        <v>4</v>
      </c>
      <c r="J264" s="240" t="s">
        <v>1716</v>
      </c>
      <c r="K264" s="41"/>
    </row>
    <row r="265" spans="1:11">
      <c r="A265" s="38" t="s">
        <v>2050</v>
      </c>
      <c r="B265" s="38" t="s">
        <v>111</v>
      </c>
      <c r="D265" s="38">
        <v>5</v>
      </c>
      <c r="E265" s="240" t="s">
        <v>1037</v>
      </c>
      <c r="F265" s="306">
        <v>228.874559</v>
      </c>
      <c r="G265" s="240">
        <v>4</v>
      </c>
      <c r="H265" s="358">
        <v>362.11068899999998</v>
      </c>
      <c r="I265" s="240">
        <v>5</v>
      </c>
      <c r="J265" s="240">
        <v>58.21</v>
      </c>
    </row>
    <row r="266" spans="1:11">
      <c r="A266" s="38" t="s">
        <v>2050</v>
      </c>
      <c r="B266" s="38" t="s">
        <v>111</v>
      </c>
      <c r="D266" s="38">
        <v>6</v>
      </c>
      <c r="E266" s="240" t="s">
        <v>1042</v>
      </c>
      <c r="F266" s="306">
        <v>228.25524999999999</v>
      </c>
      <c r="G266" s="240">
        <v>5</v>
      </c>
      <c r="H266" s="358">
        <v>261.92577499999999</v>
      </c>
      <c r="I266" s="240">
        <v>6</v>
      </c>
      <c r="J266" s="240">
        <v>14.75</v>
      </c>
    </row>
    <row r="267" spans="1:11">
      <c r="A267" s="38" t="s">
        <v>2050</v>
      </c>
      <c r="B267" s="38" t="s">
        <v>111</v>
      </c>
      <c r="D267" s="38">
        <v>7</v>
      </c>
      <c r="E267" s="240" t="s">
        <v>1040</v>
      </c>
      <c r="F267" s="306">
        <v>196.44033300000001</v>
      </c>
      <c r="G267" s="240">
        <v>6</v>
      </c>
      <c r="H267" s="358">
        <v>188.613756</v>
      </c>
      <c r="I267" s="240">
        <v>7</v>
      </c>
      <c r="J267" s="240">
        <v>-3.98</v>
      </c>
    </row>
    <row r="268" spans="1:11">
      <c r="A268" s="38" t="s">
        <v>2050</v>
      </c>
      <c r="B268" s="38" t="s">
        <v>111</v>
      </c>
      <c r="D268" s="38">
        <v>8</v>
      </c>
      <c r="E268" s="240" t="s">
        <v>1041</v>
      </c>
      <c r="F268" s="306">
        <v>147.64737</v>
      </c>
      <c r="G268" s="240">
        <v>7</v>
      </c>
      <c r="H268" s="358">
        <v>185.92093399999999</v>
      </c>
      <c r="I268" s="240">
        <v>8</v>
      </c>
      <c r="J268" s="240">
        <v>25.92</v>
      </c>
    </row>
    <row r="269" spans="1:11">
      <c r="A269" s="38" t="s">
        <v>2050</v>
      </c>
      <c r="B269" s="38" t="s">
        <v>111</v>
      </c>
      <c r="D269" s="38">
        <v>9</v>
      </c>
      <c r="E269" s="240" t="s">
        <v>1039</v>
      </c>
      <c r="F269" s="306">
        <v>73.561815999999993</v>
      </c>
      <c r="G269" s="240">
        <v>13</v>
      </c>
      <c r="H269" s="358">
        <v>157.55630600000001</v>
      </c>
      <c r="I269" s="240">
        <v>9</v>
      </c>
      <c r="J269" s="240">
        <v>114.18</v>
      </c>
    </row>
    <row r="270" spans="1:11">
      <c r="A270" s="38" t="s">
        <v>2050</v>
      </c>
      <c r="B270" s="38" t="s">
        <v>111</v>
      </c>
      <c r="D270" s="38">
        <v>10</v>
      </c>
      <c r="E270" s="240" t="s">
        <v>1046</v>
      </c>
      <c r="F270" s="306">
        <v>129.65852799999999</v>
      </c>
      <c r="G270" s="240">
        <v>8</v>
      </c>
      <c r="H270" s="358">
        <v>151.939967</v>
      </c>
      <c r="I270" s="240">
        <v>10</v>
      </c>
      <c r="J270" s="240">
        <v>17.18</v>
      </c>
    </row>
    <row r="271" spans="1:11">
      <c r="A271" s="38" t="s">
        <v>2050</v>
      </c>
      <c r="B271" s="41"/>
      <c r="C271" s="41"/>
      <c r="D271" s="201"/>
      <c r="E271" s="311" t="s">
        <v>1044</v>
      </c>
      <c r="F271" s="440">
        <v>4284</v>
      </c>
      <c r="G271" s="359"/>
      <c r="H271" s="440">
        <v>5788</v>
      </c>
      <c r="I271" s="201"/>
      <c r="J271" s="277">
        <v>35.090000000000003</v>
      </c>
      <c r="K271" s="41"/>
    </row>
    <row r="272" spans="1:11">
      <c r="A272" s="38" t="s">
        <v>2050</v>
      </c>
      <c r="E272" s="201" t="s">
        <v>1045</v>
      </c>
      <c r="F272" s="440">
        <v>6636</v>
      </c>
      <c r="G272" s="201"/>
      <c r="H272" s="440">
        <v>8628</v>
      </c>
      <c r="I272" s="201"/>
      <c r="J272" s="277">
        <v>30.01</v>
      </c>
    </row>
    <row r="273" spans="1:4">
      <c r="A273" s="38" t="s">
        <v>2050</v>
      </c>
      <c r="D273" s="269"/>
    </row>
    <row r="274" spans="1:4">
      <c r="A274" s="38" t="s">
        <v>2050</v>
      </c>
      <c r="B274" s="38" t="s">
        <v>123</v>
      </c>
      <c r="D274" s="201" t="s">
        <v>1650</v>
      </c>
    </row>
  </sheetData>
  <autoFilter ref="A1:B252" xr:uid="{00000000-0009-0000-0000-000006000000}"/>
  <phoneticPr fontId="13" type="noConversion"/>
  <hyperlinks>
    <hyperlink ref="S25" r:id="rId1" display="https://www.khidi.or.kr/board;jsessionid=CBFE09DF7F16CA25BE0FF361CD01805C.jvm1?menuId=MENU01511&amp;siteId=SITE00004" xr:uid="{00000000-0004-0000-0600-000000000000}"/>
    <hyperlink ref="S55" r:id="rId2" display="https://www.khidi.or.kr/board;jsessionid=CBFE09DF7F16CA25BE0FF361CD01805C.jvm1?menuId=MENU01511&amp;siteId=SITE00004" xr:uid="{00000000-0004-0000-0600-000001000000}"/>
    <hyperlink ref="R174" r:id="rId3" display="https://www.medicaldesignandoutsourcing.com/2021-big-100/" xr:uid="{00000000-0004-0000-0600-000002000000}"/>
  </hyperlinks>
  <pageMargins left="0.7" right="0.7" top="0.75" bottom="0.75" header="0.3" footer="0.3"/>
  <pageSetup paperSize="9" orientation="portrait" r:id="rId4"/>
  <ignoredErrors>
    <ignoredError sqref="I125:I129" calculatedColumn="1"/>
  </ignoredErrors>
  <drawing r:id="rId5"/>
  <tableParts count="8"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T128"/>
  <sheetViews>
    <sheetView topLeftCell="A136" zoomScale="85" zoomScaleNormal="85" workbookViewId="0">
      <selection activeCell="D97" sqref="D97"/>
    </sheetView>
  </sheetViews>
  <sheetFormatPr defaultColWidth="10.625" defaultRowHeight="16.5"/>
  <cols>
    <col min="1" max="2" width="15.625" style="38" customWidth="1"/>
    <col min="3" max="3" width="1.625" style="38" customWidth="1"/>
    <col min="4" max="6" width="10.625" style="38"/>
    <col min="7" max="7" width="10.625" style="38" customWidth="1"/>
    <col min="8" max="11" width="10.625" style="38"/>
    <col min="12" max="13" width="10.625" style="38" customWidth="1"/>
    <col min="14" max="15" width="10.625" style="38"/>
    <col min="16" max="16" width="10.625" style="38" customWidth="1"/>
    <col min="17" max="16384" width="10.625" style="38"/>
  </cols>
  <sheetData>
    <row r="1" spans="1:18">
      <c r="A1" s="20" t="s">
        <v>149</v>
      </c>
      <c r="B1" s="21" t="s">
        <v>340</v>
      </c>
      <c r="C1" s="21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40"/>
      <c r="R1" s="40"/>
    </row>
    <row r="2" spans="1:18">
      <c r="A2" s="71" t="s">
        <v>1737</v>
      </c>
      <c r="B2" s="71" t="s">
        <v>119</v>
      </c>
      <c r="C2" s="71"/>
      <c r="D2" s="305" t="s">
        <v>1739</v>
      </c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</row>
    <row r="3" spans="1:18">
      <c r="A3" s="38" t="s">
        <v>1738</v>
      </c>
      <c r="B3" s="38" t="s">
        <v>122</v>
      </c>
      <c r="D3" s="299" t="s">
        <v>1744</v>
      </c>
    </row>
    <row r="4" spans="1:18">
      <c r="A4" s="38" t="s">
        <v>1738</v>
      </c>
    </row>
    <row r="5" spans="1:18">
      <c r="A5" s="38" t="s">
        <v>1738</v>
      </c>
      <c r="B5" s="38" t="s">
        <v>110</v>
      </c>
      <c r="D5" s="315" t="s">
        <v>182</v>
      </c>
      <c r="E5" s="315" t="s">
        <v>168</v>
      </c>
      <c r="F5" s="600" t="s">
        <v>169</v>
      </c>
      <c r="G5" s="600" t="s">
        <v>170</v>
      </c>
      <c r="H5" s="600" t="s">
        <v>171</v>
      </c>
      <c r="I5" s="600" t="s">
        <v>183</v>
      </c>
      <c r="J5" s="600" t="s">
        <v>184</v>
      </c>
      <c r="K5" s="600" t="s">
        <v>1047</v>
      </c>
      <c r="L5" s="600" t="s">
        <v>1048</v>
      </c>
      <c r="M5" s="389" t="s">
        <v>1740</v>
      </c>
    </row>
    <row r="6" spans="1:18">
      <c r="A6" s="38" t="s">
        <v>1738</v>
      </c>
      <c r="B6" s="38" t="s">
        <v>110</v>
      </c>
      <c r="D6" s="600" t="s">
        <v>1741</v>
      </c>
      <c r="E6" s="221">
        <v>461738</v>
      </c>
      <c r="F6" s="221">
        <v>488981</v>
      </c>
      <c r="G6" s="221">
        <v>518320</v>
      </c>
      <c r="H6" s="221">
        <v>549938</v>
      </c>
      <c r="I6" s="221">
        <v>584034</v>
      </c>
      <c r="J6" s="601">
        <v>620828</v>
      </c>
      <c r="K6" s="221">
        <v>660561</v>
      </c>
      <c r="L6" s="221">
        <v>703497</v>
      </c>
      <c r="M6" s="599"/>
      <c r="N6" s="599"/>
    </row>
    <row r="7" spans="1:18">
      <c r="A7" s="38" t="s">
        <v>1738</v>
      </c>
      <c r="B7" s="38" t="s">
        <v>110</v>
      </c>
      <c r="D7" s="600" t="s">
        <v>1742</v>
      </c>
      <c r="E7" s="221">
        <v>504071</v>
      </c>
      <c r="F7" s="221">
        <v>583714</v>
      </c>
      <c r="G7" s="221">
        <v>631870</v>
      </c>
      <c r="H7" s="221">
        <v>679260</v>
      </c>
      <c r="I7" s="221">
        <v>730544</v>
      </c>
      <c r="J7" s="221">
        <v>786065</v>
      </c>
      <c r="K7" s="221">
        <v>846199</v>
      </c>
      <c r="L7" s="221">
        <v>911356</v>
      </c>
      <c r="M7" s="339"/>
      <c r="N7" s="339"/>
    </row>
    <row r="8" spans="1:18">
      <c r="A8" s="38" t="s">
        <v>1738</v>
      </c>
      <c r="D8" s="165"/>
      <c r="E8" s="306"/>
      <c r="F8" s="306"/>
      <c r="G8" s="306"/>
      <c r="H8" s="306"/>
      <c r="I8" s="306"/>
      <c r="J8" s="306"/>
      <c r="K8" s="306"/>
      <c r="L8" s="306"/>
      <c r="M8" s="339"/>
      <c r="N8" s="339"/>
    </row>
    <row r="9" spans="1:18">
      <c r="A9" s="38" t="s">
        <v>1738</v>
      </c>
      <c r="D9" s="201"/>
      <c r="E9" s="202"/>
      <c r="F9" s="202"/>
      <c r="G9" s="202"/>
      <c r="H9" s="202"/>
      <c r="I9" s="202"/>
      <c r="J9" s="202"/>
      <c r="K9" s="202"/>
      <c r="L9" s="318"/>
      <c r="M9" s="339"/>
      <c r="N9" s="339"/>
    </row>
    <row r="10" spans="1:18">
      <c r="A10" s="38" t="s">
        <v>1738</v>
      </c>
      <c r="B10" s="38" t="s">
        <v>112</v>
      </c>
      <c r="D10" s="201"/>
      <c r="E10" s="288"/>
      <c r="F10" s="288"/>
      <c r="G10" s="288"/>
      <c r="H10" s="288"/>
      <c r="I10" s="288"/>
      <c r="J10" s="201"/>
      <c r="K10" s="288"/>
      <c r="L10" s="318"/>
    </row>
    <row r="11" spans="1:18">
      <c r="A11" s="38" t="s">
        <v>1738</v>
      </c>
      <c r="B11" s="38" t="s">
        <v>112</v>
      </c>
      <c r="D11" s="201"/>
      <c r="E11" s="288"/>
      <c r="F11" s="288"/>
      <c r="G11" s="288"/>
      <c r="H11" s="288"/>
      <c r="I11" s="288"/>
      <c r="J11" s="288"/>
      <c r="K11" s="288"/>
      <c r="L11" s="318"/>
    </row>
    <row r="12" spans="1:18">
      <c r="A12" s="38" t="s">
        <v>1738</v>
      </c>
      <c r="B12" s="38" t="s">
        <v>112</v>
      </c>
      <c r="D12" s="201"/>
      <c r="E12" s="202"/>
      <c r="F12" s="202"/>
      <c r="G12" s="202"/>
      <c r="H12" s="202"/>
      <c r="I12" s="202"/>
      <c r="J12" s="202"/>
      <c r="K12" s="288"/>
      <c r="L12" s="317"/>
    </row>
    <row r="13" spans="1:18">
      <c r="A13" s="38" t="s">
        <v>1738</v>
      </c>
      <c r="B13" s="38" t="s">
        <v>112</v>
      </c>
    </row>
    <row r="14" spans="1:18">
      <c r="A14" s="38" t="s">
        <v>1738</v>
      </c>
      <c r="B14" s="38" t="s">
        <v>112</v>
      </c>
    </row>
    <row r="15" spans="1:18">
      <c r="A15" s="38" t="s">
        <v>1738</v>
      </c>
      <c r="B15" s="38" t="s">
        <v>112</v>
      </c>
    </row>
    <row r="16" spans="1:18">
      <c r="A16" s="38" t="s">
        <v>1738</v>
      </c>
      <c r="B16" s="38" t="s">
        <v>112</v>
      </c>
    </row>
    <row r="17" spans="1:20">
      <c r="A17" s="38" t="s">
        <v>1738</v>
      </c>
      <c r="B17" s="38" t="s">
        <v>112</v>
      </c>
    </row>
    <row r="18" spans="1:20">
      <c r="A18" s="38" t="s">
        <v>1738</v>
      </c>
      <c r="B18" s="38" t="s">
        <v>112</v>
      </c>
    </row>
    <row r="19" spans="1:20">
      <c r="A19" s="38" t="s">
        <v>1738</v>
      </c>
      <c r="B19" s="38" t="s">
        <v>112</v>
      </c>
    </row>
    <row r="20" spans="1:20">
      <c r="A20" s="38" t="s">
        <v>1738</v>
      </c>
      <c r="B20" s="38" t="s">
        <v>112</v>
      </c>
    </row>
    <row r="21" spans="1:20">
      <c r="A21" s="38" t="s">
        <v>1738</v>
      </c>
      <c r="B21" s="38" t="s">
        <v>112</v>
      </c>
    </row>
    <row r="22" spans="1:20">
      <c r="A22" s="38" t="s">
        <v>1738</v>
      </c>
      <c r="B22" s="38" t="s">
        <v>112</v>
      </c>
    </row>
    <row r="23" spans="1:20">
      <c r="A23" s="38" t="s">
        <v>1738</v>
      </c>
      <c r="B23" s="38" t="s">
        <v>112</v>
      </c>
    </row>
    <row r="24" spans="1:20">
      <c r="A24" s="38" t="s">
        <v>1738</v>
      </c>
      <c r="B24" s="38" t="s">
        <v>112</v>
      </c>
    </row>
    <row r="25" spans="1:20">
      <c r="A25" s="38" t="s">
        <v>1738</v>
      </c>
      <c r="B25" s="38" t="s">
        <v>112</v>
      </c>
    </row>
    <row r="26" spans="1:20">
      <c r="A26" s="38" t="s">
        <v>1738</v>
      </c>
    </row>
    <row r="27" spans="1:20">
      <c r="A27" s="38" t="s">
        <v>1738</v>
      </c>
      <c r="D27" s="41"/>
      <c r="E27" s="19"/>
      <c r="F27" s="19"/>
      <c r="G27" s="19"/>
      <c r="H27" s="19"/>
      <c r="I27" s="46"/>
      <c r="J27" s="19"/>
      <c r="K27" s="19"/>
      <c r="L27" s="46"/>
      <c r="M27" s="19"/>
      <c r="N27" s="19"/>
      <c r="O27" s="41"/>
    </row>
    <row r="28" spans="1:20">
      <c r="A28" s="38" t="s">
        <v>1738</v>
      </c>
      <c r="B28" s="38" t="s">
        <v>124</v>
      </c>
      <c r="D28" s="277" t="s">
        <v>1743</v>
      </c>
      <c r="Q28" s="313"/>
      <c r="T28" s="269"/>
    </row>
    <row r="29" spans="1:20" s="41" customFormat="1">
      <c r="A29" s="38" t="s">
        <v>1738</v>
      </c>
      <c r="Q29" s="75"/>
      <c r="R29" s="75"/>
    </row>
    <row r="30" spans="1:20">
      <c r="A30" s="71" t="s">
        <v>1745</v>
      </c>
      <c r="B30" s="71" t="s">
        <v>119</v>
      </c>
      <c r="C30" s="71"/>
      <c r="D30" s="305" t="s">
        <v>1747</v>
      </c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</row>
    <row r="31" spans="1:20">
      <c r="A31" s="38" t="s">
        <v>1746</v>
      </c>
      <c r="B31" s="38" t="s">
        <v>122</v>
      </c>
      <c r="D31" s="201" t="s">
        <v>1752</v>
      </c>
    </row>
    <row r="32" spans="1:20">
      <c r="A32" s="38" t="s">
        <v>1746</v>
      </c>
      <c r="B32" s="38" t="s">
        <v>122</v>
      </c>
      <c r="D32" s="201" t="s">
        <v>1757</v>
      </c>
    </row>
    <row r="33" spans="1:14">
      <c r="A33" s="38" t="s">
        <v>1746</v>
      </c>
      <c r="D33" s="201"/>
      <c r="E33" s="201"/>
      <c r="F33" s="201"/>
      <c r="G33" s="201"/>
      <c r="H33" s="201"/>
      <c r="I33" s="201"/>
      <c r="J33" s="201"/>
      <c r="K33" s="201"/>
      <c r="L33" s="201"/>
      <c r="M33" s="201"/>
    </row>
    <row r="34" spans="1:14">
      <c r="A34" s="38" t="s">
        <v>1746</v>
      </c>
      <c r="B34" s="38" t="s">
        <v>110</v>
      </c>
      <c r="D34" s="315" t="s">
        <v>182</v>
      </c>
      <c r="E34" s="315" t="s">
        <v>168</v>
      </c>
      <c r="F34" s="600" t="s">
        <v>169</v>
      </c>
      <c r="G34" s="600" t="s">
        <v>170</v>
      </c>
      <c r="H34" s="600" t="s">
        <v>171</v>
      </c>
      <c r="I34" s="600" t="s">
        <v>183</v>
      </c>
      <c r="J34" s="600" t="s">
        <v>184</v>
      </c>
      <c r="K34" s="600" t="s">
        <v>1047</v>
      </c>
      <c r="L34" s="600" t="s">
        <v>1048</v>
      </c>
      <c r="M34" s="600" t="s">
        <v>1748</v>
      </c>
      <c r="N34" s="600" t="s">
        <v>1751</v>
      </c>
    </row>
    <row r="35" spans="1:14" ht="20.25" customHeight="1">
      <c r="A35" s="38" t="s">
        <v>1746</v>
      </c>
      <c r="B35" s="38" t="s">
        <v>110</v>
      </c>
      <c r="D35" s="240" t="s">
        <v>1749</v>
      </c>
      <c r="E35" s="236">
        <v>309399</v>
      </c>
      <c r="F35" s="236">
        <v>360560</v>
      </c>
      <c r="G35" s="236">
        <v>392644</v>
      </c>
      <c r="H35" s="236">
        <v>424673</v>
      </c>
      <c r="I35" s="236">
        <v>459512</v>
      </c>
      <c r="J35" s="236">
        <v>497422</v>
      </c>
      <c r="K35" s="236">
        <v>538690</v>
      </c>
      <c r="L35" s="236">
        <v>583633</v>
      </c>
      <c r="M35" s="240">
        <v>8.4</v>
      </c>
      <c r="N35" s="201"/>
    </row>
    <row r="36" spans="1:14">
      <c r="A36" s="38" t="s">
        <v>1746</v>
      </c>
      <c r="B36" s="38" t="s">
        <v>110</v>
      </c>
      <c r="D36" s="240" t="s">
        <v>1753</v>
      </c>
      <c r="E36" s="236">
        <v>115684</v>
      </c>
      <c r="F36" s="236">
        <v>133670</v>
      </c>
      <c r="G36" s="236">
        <v>144382</v>
      </c>
      <c r="H36" s="236">
        <v>154871</v>
      </c>
      <c r="I36" s="236">
        <v>166199</v>
      </c>
      <c r="J36" s="236">
        <v>178437</v>
      </c>
      <c r="K36" s="236">
        <v>191664</v>
      </c>
      <c r="L36" s="236">
        <v>205966</v>
      </c>
      <c r="M36" s="240">
        <v>7.5</v>
      </c>
      <c r="N36" s="201"/>
    </row>
    <row r="37" spans="1:14">
      <c r="A37" s="38" t="s">
        <v>1746</v>
      </c>
      <c r="B37" s="38" t="s">
        <v>110</v>
      </c>
      <c r="D37" s="240" t="s">
        <v>1750</v>
      </c>
      <c r="E37" s="236">
        <v>48391</v>
      </c>
      <c r="F37" s="236">
        <v>53702</v>
      </c>
      <c r="G37" s="236">
        <v>55605</v>
      </c>
      <c r="H37" s="236">
        <v>57058</v>
      </c>
      <c r="I37" s="236">
        <v>58444</v>
      </c>
      <c r="J37" s="236">
        <v>59741</v>
      </c>
      <c r="K37" s="236">
        <v>60926</v>
      </c>
      <c r="L37" s="236">
        <v>61972</v>
      </c>
      <c r="M37" s="240">
        <v>2.4</v>
      </c>
      <c r="N37" s="288"/>
    </row>
    <row r="38" spans="1:14">
      <c r="A38" s="38" t="s">
        <v>1746</v>
      </c>
      <c r="B38" s="38" t="s">
        <v>110</v>
      </c>
      <c r="D38" s="240" t="s">
        <v>1754</v>
      </c>
      <c r="E38" s="236">
        <v>20264</v>
      </c>
      <c r="F38" s="236">
        <v>23582</v>
      </c>
      <c r="G38" s="236">
        <v>25654</v>
      </c>
      <c r="H38" s="236">
        <v>27714</v>
      </c>
      <c r="I38" s="236">
        <v>29952</v>
      </c>
      <c r="J38" s="236">
        <v>32386</v>
      </c>
      <c r="K38" s="236">
        <v>35033</v>
      </c>
      <c r="L38" s="236">
        <v>37912</v>
      </c>
      <c r="M38" s="240">
        <v>8.1999999999999993</v>
      </c>
      <c r="N38" s="288"/>
    </row>
    <row r="39" spans="1:14">
      <c r="A39" s="38" t="s">
        <v>1746</v>
      </c>
      <c r="B39" s="38" t="s">
        <v>110</v>
      </c>
      <c r="D39" s="240" t="s">
        <v>6</v>
      </c>
      <c r="E39" s="236">
        <v>10333</v>
      </c>
      <c r="F39" s="236">
        <v>12200</v>
      </c>
      <c r="G39" s="236">
        <v>13585</v>
      </c>
      <c r="H39" s="236">
        <v>14944</v>
      </c>
      <c r="I39" s="236">
        <v>16437</v>
      </c>
      <c r="J39" s="236">
        <v>18079</v>
      </c>
      <c r="K39" s="236">
        <v>19886</v>
      </c>
      <c r="L39" s="236">
        <v>21873</v>
      </c>
      <c r="M39" s="240">
        <v>10.199999999999999</v>
      </c>
      <c r="N39" s="288"/>
    </row>
    <row r="40" spans="1:14">
      <c r="A40" s="38" t="s">
        <v>1746</v>
      </c>
      <c r="B40" s="38" t="s">
        <v>110</v>
      </c>
      <c r="D40" s="240" t="s">
        <v>231</v>
      </c>
      <c r="E40" s="236">
        <v>504071</v>
      </c>
      <c r="F40" s="236">
        <v>583714</v>
      </c>
      <c r="G40" s="236">
        <v>631870</v>
      </c>
      <c r="H40" s="236">
        <v>679260</v>
      </c>
      <c r="I40" s="236">
        <v>730544</v>
      </c>
      <c r="J40" s="236">
        <v>786065</v>
      </c>
      <c r="K40" s="236">
        <v>846199</v>
      </c>
      <c r="L40" s="236">
        <v>911356</v>
      </c>
      <c r="M40" s="240">
        <v>7.7</v>
      </c>
      <c r="N40" s="201"/>
    </row>
    <row r="41" spans="1:14">
      <c r="A41" s="38" t="s">
        <v>1746</v>
      </c>
      <c r="B41" s="38" t="s">
        <v>110</v>
      </c>
      <c r="D41" s="600"/>
      <c r="E41" s="221"/>
      <c r="F41" s="221"/>
      <c r="G41" s="221"/>
      <c r="H41" s="221"/>
      <c r="I41" s="221"/>
      <c r="J41" s="601"/>
      <c r="K41" s="221"/>
      <c r="L41" s="221"/>
      <c r="M41" s="201"/>
    </row>
    <row r="42" spans="1:14">
      <c r="A42" s="38" t="s">
        <v>1746</v>
      </c>
      <c r="B42" s="38" t="s">
        <v>110</v>
      </c>
      <c r="D42" s="600"/>
      <c r="E42" s="221"/>
      <c r="F42" s="221"/>
      <c r="G42" s="221"/>
      <c r="H42" s="221"/>
      <c r="I42" s="221"/>
      <c r="J42" s="221"/>
      <c r="K42" s="221"/>
      <c r="L42" s="221"/>
      <c r="M42" s="201"/>
    </row>
    <row r="43" spans="1:14">
      <c r="A43" s="38" t="s">
        <v>1746</v>
      </c>
    </row>
    <row r="44" spans="1:14">
      <c r="A44" s="38" t="s">
        <v>1746</v>
      </c>
      <c r="B44" s="38" t="s">
        <v>112</v>
      </c>
    </row>
    <row r="45" spans="1:14">
      <c r="A45" s="38" t="s">
        <v>1746</v>
      </c>
      <c r="B45" s="38" t="s">
        <v>112</v>
      </c>
    </row>
    <row r="46" spans="1:14">
      <c r="A46" s="38" t="s">
        <v>1746</v>
      </c>
      <c r="B46" s="38" t="s">
        <v>112</v>
      </c>
    </row>
    <row r="47" spans="1:14">
      <c r="A47" s="38" t="s">
        <v>1746</v>
      </c>
      <c r="B47" s="38" t="s">
        <v>112</v>
      </c>
    </row>
    <row r="48" spans="1:14">
      <c r="A48" s="38" t="s">
        <v>1746</v>
      </c>
      <c r="B48" s="38" t="s">
        <v>112</v>
      </c>
    </row>
    <row r="49" spans="1:19">
      <c r="A49" s="38" t="s">
        <v>1746</v>
      </c>
      <c r="B49" s="38" t="s">
        <v>112</v>
      </c>
    </row>
    <row r="50" spans="1:19">
      <c r="A50" s="38" t="s">
        <v>1746</v>
      </c>
      <c r="B50" s="38" t="s">
        <v>112</v>
      </c>
    </row>
    <row r="51" spans="1:19">
      <c r="A51" s="38" t="s">
        <v>1746</v>
      </c>
      <c r="B51" s="38" t="s">
        <v>112</v>
      </c>
    </row>
    <row r="52" spans="1:19">
      <c r="A52" s="38" t="s">
        <v>1746</v>
      </c>
      <c r="B52" s="38" t="s">
        <v>112</v>
      </c>
    </row>
    <row r="53" spans="1:19">
      <c r="A53" s="38" t="s">
        <v>1746</v>
      </c>
      <c r="B53" s="38" t="s">
        <v>112</v>
      </c>
    </row>
    <row r="54" spans="1:19">
      <c r="A54" s="38" t="s">
        <v>1746</v>
      </c>
      <c r="B54" s="38" t="s">
        <v>112</v>
      </c>
    </row>
    <row r="55" spans="1:19">
      <c r="A55" s="38" t="s">
        <v>1746</v>
      </c>
      <c r="B55" s="38" t="s">
        <v>112</v>
      </c>
    </row>
    <row r="56" spans="1:19">
      <c r="A56" s="38" t="s">
        <v>1746</v>
      </c>
      <c r="B56" s="38" t="s">
        <v>112</v>
      </c>
    </row>
    <row r="57" spans="1:19">
      <c r="A57" s="38" t="s">
        <v>1746</v>
      </c>
      <c r="B57" s="38" t="s">
        <v>112</v>
      </c>
    </row>
    <row r="58" spans="1:19">
      <c r="A58" s="38" t="s">
        <v>1746</v>
      </c>
      <c r="B58" s="38" t="s">
        <v>112</v>
      </c>
    </row>
    <row r="59" spans="1:19">
      <c r="A59" s="38" t="s">
        <v>1746</v>
      </c>
    </row>
    <row r="60" spans="1:19">
      <c r="A60" s="38" t="s">
        <v>1746</v>
      </c>
      <c r="B60" s="41"/>
    </row>
    <row r="61" spans="1:19">
      <c r="A61" s="38" t="s">
        <v>1746</v>
      </c>
      <c r="B61" s="38" t="s">
        <v>124</v>
      </c>
      <c r="D61" s="277" t="s">
        <v>1743</v>
      </c>
      <c r="S61" s="171"/>
    </row>
    <row r="62" spans="1:19">
      <c r="A62" s="38" t="s">
        <v>1746</v>
      </c>
    </row>
    <row r="63" spans="1:19" s="41" customFormat="1">
      <c r="A63" s="71" t="s">
        <v>1755</v>
      </c>
      <c r="B63" s="71" t="s">
        <v>119</v>
      </c>
      <c r="C63" s="71"/>
      <c r="D63" s="305" t="s">
        <v>1756</v>
      </c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</row>
    <row r="64" spans="1:19">
      <c r="A64" s="38" t="s">
        <v>1758</v>
      </c>
      <c r="B64" s="38" t="s">
        <v>122</v>
      </c>
      <c r="D64" s="201" t="s">
        <v>1765</v>
      </c>
    </row>
    <row r="65" spans="1:14">
      <c r="A65" s="38" t="s">
        <v>1758</v>
      </c>
      <c r="B65" s="38" t="s">
        <v>122</v>
      </c>
      <c r="D65" s="602" t="s">
        <v>1766</v>
      </c>
    </row>
    <row r="66" spans="1:14">
      <c r="A66" s="38" t="s">
        <v>1758</v>
      </c>
      <c r="D66" s="201"/>
      <c r="E66" s="201"/>
      <c r="F66" s="201"/>
      <c r="G66" s="201"/>
      <c r="H66" s="201"/>
      <c r="I66" s="201"/>
      <c r="J66" s="201"/>
      <c r="K66" s="201"/>
      <c r="L66" s="201"/>
      <c r="M66" s="201"/>
    </row>
    <row r="67" spans="1:14">
      <c r="A67" s="38" t="s">
        <v>1758</v>
      </c>
      <c r="B67" s="38" t="s">
        <v>110</v>
      </c>
      <c r="D67" s="315" t="s">
        <v>164</v>
      </c>
      <c r="E67" s="315" t="s">
        <v>168</v>
      </c>
      <c r="F67" s="600" t="s">
        <v>169</v>
      </c>
      <c r="G67" s="600" t="s">
        <v>170</v>
      </c>
      <c r="H67" s="600" t="s">
        <v>171</v>
      </c>
      <c r="I67" s="600" t="s">
        <v>183</v>
      </c>
      <c r="J67" s="600" t="s">
        <v>184</v>
      </c>
      <c r="K67" s="600" t="s">
        <v>1047</v>
      </c>
      <c r="L67" s="600" t="s">
        <v>1048</v>
      </c>
      <c r="M67" s="600" t="s">
        <v>1748</v>
      </c>
      <c r="N67" s="600" t="s">
        <v>1751</v>
      </c>
    </row>
    <row r="68" spans="1:14">
      <c r="A68" s="38" t="s">
        <v>1758</v>
      </c>
      <c r="B68" s="38" t="s">
        <v>110</v>
      </c>
      <c r="D68" s="2" t="s">
        <v>1764</v>
      </c>
      <c r="E68" s="580">
        <v>178945</v>
      </c>
      <c r="F68" s="580">
        <v>210137</v>
      </c>
      <c r="G68" s="580">
        <v>230633</v>
      </c>
      <c r="H68" s="580">
        <v>251326</v>
      </c>
      <c r="I68" s="580">
        <v>273954</v>
      </c>
      <c r="J68" s="580">
        <v>298705</v>
      </c>
      <c r="K68" s="580">
        <v>325787</v>
      </c>
      <c r="L68" s="580">
        <v>355429</v>
      </c>
      <c r="M68" s="2">
        <v>9.1999999999999993</v>
      </c>
      <c r="N68" s="201"/>
    </row>
    <row r="69" spans="1:14">
      <c r="A69" s="38" t="s">
        <v>1758</v>
      </c>
      <c r="B69" s="38" t="s">
        <v>110</v>
      </c>
      <c r="D69" s="2" t="s">
        <v>1760</v>
      </c>
      <c r="E69" s="580">
        <v>105099</v>
      </c>
      <c r="F69" s="580">
        <v>120829</v>
      </c>
      <c r="G69" s="580">
        <v>129849</v>
      </c>
      <c r="H69" s="580">
        <v>138569</v>
      </c>
      <c r="I69" s="580">
        <v>147935</v>
      </c>
      <c r="J69" s="580">
        <v>157999</v>
      </c>
      <c r="K69" s="580">
        <v>168817</v>
      </c>
      <c r="L69" s="580">
        <v>180448</v>
      </c>
      <c r="M69" s="2">
        <v>6.9</v>
      </c>
      <c r="N69" s="201"/>
    </row>
    <row r="70" spans="1:14">
      <c r="A70" s="38" t="s">
        <v>1758</v>
      </c>
      <c r="B70" s="38" t="s">
        <v>110</v>
      </c>
      <c r="D70" s="2" t="s">
        <v>1763</v>
      </c>
      <c r="E70" s="580">
        <v>20264</v>
      </c>
      <c r="F70" s="580">
        <v>23582</v>
      </c>
      <c r="G70" s="580">
        <v>25654</v>
      </c>
      <c r="H70" s="580">
        <v>27714</v>
      </c>
      <c r="I70" s="580">
        <v>29952</v>
      </c>
      <c r="J70" s="580">
        <v>32386</v>
      </c>
      <c r="K70" s="580">
        <v>35033</v>
      </c>
      <c r="L70" s="580">
        <v>37912</v>
      </c>
      <c r="M70" s="2">
        <v>8.1999999999999993</v>
      </c>
      <c r="N70" s="288"/>
    </row>
    <row r="71" spans="1:14">
      <c r="A71" s="38" t="s">
        <v>1758</v>
      </c>
      <c r="B71" s="38" t="s">
        <v>110</v>
      </c>
      <c r="D71" s="2" t="s">
        <v>1761</v>
      </c>
      <c r="E71" s="580">
        <v>70317</v>
      </c>
      <c r="F71" s="580">
        <v>81136</v>
      </c>
      <c r="G71" s="580">
        <v>87514</v>
      </c>
      <c r="H71" s="580">
        <v>93738</v>
      </c>
      <c r="I71" s="580">
        <v>100450</v>
      </c>
      <c r="J71" s="580">
        <v>107691</v>
      </c>
      <c r="K71" s="580">
        <v>115506</v>
      </c>
      <c r="L71" s="580">
        <v>123944</v>
      </c>
      <c r="M71" s="2">
        <v>7.3</v>
      </c>
      <c r="N71" s="288"/>
    </row>
    <row r="72" spans="1:14">
      <c r="A72" s="38" t="s">
        <v>1758</v>
      </c>
      <c r="B72" s="38" t="s">
        <v>110</v>
      </c>
      <c r="D72" s="2" t="s">
        <v>1762</v>
      </c>
      <c r="E72" s="580">
        <v>39217</v>
      </c>
      <c r="F72" s="580">
        <v>44129</v>
      </c>
      <c r="G72" s="580">
        <v>46379</v>
      </c>
      <c r="H72" s="580">
        <v>48363</v>
      </c>
      <c r="I72" s="580">
        <v>50408</v>
      </c>
      <c r="J72" s="580">
        <v>52509</v>
      </c>
      <c r="K72" s="580">
        <v>54664</v>
      </c>
      <c r="L72" s="580">
        <v>56870</v>
      </c>
      <c r="M72" s="2">
        <v>4.3</v>
      </c>
      <c r="N72" s="288"/>
    </row>
    <row r="73" spans="1:14">
      <c r="A73" s="38" t="s">
        <v>1758</v>
      </c>
      <c r="B73" s="38" t="s">
        <v>110</v>
      </c>
      <c r="D73" s="2" t="s">
        <v>6</v>
      </c>
      <c r="E73" s="580">
        <v>90229</v>
      </c>
      <c r="F73" s="580">
        <v>103901</v>
      </c>
      <c r="G73" s="580">
        <v>111841</v>
      </c>
      <c r="H73" s="580">
        <v>119550</v>
      </c>
      <c r="I73" s="580">
        <v>127845</v>
      </c>
      <c r="J73" s="580">
        <v>136775</v>
      </c>
      <c r="K73" s="580">
        <v>146392</v>
      </c>
      <c r="L73" s="580">
        <v>156753</v>
      </c>
      <c r="M73" s="2">
        <v>7.1</v>
      </c>
      <c r="N73" s="201"/>
    </row>
    <row r="74" spans="1:14">
      <c r="A74" s="38" t="s">
        <v>1758</v>
      </c>
      <c r="B74" s="38" t="s">
        <v>110</v>
      </c>
      <c r="D74" s="2" t="s">
        <v>231</v>
      </c>
      <c r="E74" s="580">
        <v>504071</v>
      </c>
      <c r="F74" s="580">
        <v>583714</v>
      </c>
      <c r="G74" s="580">
        <v>631870</v>
      </c>
      <c r="H74" s="580">
        <v>679260</v>
      </c>
      <c r="I74" s="580">
        <v>730544</v>
      </c>
      <c r="J74" s="580">
        <v>786065</v>
      </c>
      <c r="K74" s="580">
        <v>846199</v>
      </c>
      <c r="L74" s="580">
        <v>911356</v>
      </c>
      <c r="M74" s="2">
        <v>7.7</v>
      </c>
    </row>
    <row r="75" spans="1:14">
      <c r="A75" s="38" t="s">
        <v>1758</v>
      </c>
      <c r="B75" s="38" t="s">
        <v>110</v>
      </c>
    </row>
    <row r="76" spans="1:14">
      <c r="A76" s="38" t="s">
        <v>1758</v>
      </c>
    </row>
    <row r="77" spans="1:14">
      <c r="A77" s="38" t="s">
        <v>1758</v>
      </c>
      <c r="B77" s="38" t="s">
        <v>112</v>
      </c>
    </row>
    <row r="78" spans="1:14">
      <c r="A78" s="38" t="s">
        <v>1758</v>
      </c>
      <c r="B78" s="38" t="s">
        <v>112</v>
      </c>
    </row>
    <row r="79" spans="1:14">
      <c r="A79" s="38" t="s">
        <v>1758</v>
      </c>
      <c r="B79" s="38" t="s">
        <v>112</v>
      </c>
    </row>
    <row r="80" spans="1:14">
      <c r="A80" s="38" t="s">
        <v>1758</v>
      </c>
      <c r="B80" s="38" t="s">
        <v>112</v>
      </c>
    </row>
    <row r="81" spans="1:18">
      <c r="A81" s="38" t="s">
        <v>1758</v>
      </c>
      <c r="B81" s="38" t="s">
        <v>112</v>
      </c>
    </row>
    <row r="82" spans="1:18">
      <c r="A82" s="38" t="s">
        <v>1758</v>
      </c>
      <c r="B82" s="38" t="s">
        <v>112</v>
      </c>
    </row>
    <row r="83" spans="1:18">
      <c r="A83" s="38" t="s">
        <v>1758</v>
      </c>
      <c r="B83" s="38" t="s">
        <v>112</v>
      </c>
    </row>
    <row r="84" spans="1:18">
      <c r="A84" s="38" t="s">
        <v>1758</v>
      </c>
      <c r="B84" s="38" t="s">
        <v>112</v>
      </c>
    </row>
    <row r="85" spans="1:18">
      <c r="A85" s="38" t="s">
        <v>1758</v>
      </c>
      <c r="B85" s="38" t="s">
        <v>112</v>
      </c>
    </row>
    <row r="86" spans="1:18">
      <c r="A86" s="38" t="s">
        <v>1758</v>
      </c>
      <c r="B86" s="38" t="s">
        <v>112</v>
      </c>
    </row>
    <row r="87" spans="1:18">
      <c r="A87" s="38" t="s">
        <v>1758</v>
      </c>
      <c r="B87" s="38" t="s">
        <v>112</v>
      </c>
    </row>
    <row r="88" spans="1:18">
      <c r="A88" s="38" t="s">
        <v>1758</v>
      </c>
      <c r="B88" s="38" t="s">
        <v>112</v>
      </c>
    </row>
    <row r="89" spans="1:18">
      <c r="A89" s="38" t="s">
        <v>1758</v>
      </c>
      <c r="B89" s="38" t="s">
        <v>112</v>
      </c>
    </row>
    <row r="90" spans="1:18">
      <c r="A90" s="38" t="s">
        <v>1758</v>
      </c>
      <c r="B90" s="38" t="s">
        <v>112</v>
      </c>
    </row>
    <row r="91" spans="1:18">
      <c r="A91" s="38" t="s">
        <v>1758</v>
      </c>
      <c r="B91" s="38" t="s">
        <v>112</v>
      </c>
    </row>
    <row r="92" spans="1:18">
      <c r="A92" s="38" t="s">
        <v>1758</v>
      </c>
    </row>
    <row r="93" spans="1:18">
      <c r="A93" s="38" t="s">
        <v>1758</v>
      </c>
      <c r="B93" s="41"/>
    </row>
    <row r="94" spans="1:18">
      <c r="A94" s="38" t="s">
        <v>1758</v>
      </c>
      <c r="B94" s="38" t="s">
        <v>124</v>
      </c>
      <c r="D94" s="277" t="s">
        <v>1743</v>
      </c>
    </row>
    <row r="95" spans="1:18">
      <c r="A95" s="38" t="s">
        <v>1758</v>
      </c>
    </row>
    <row r="96" spans="1:18" s="41" customFormat="1">
      <c r="A96" s="71" t="s">
        <v>1759</v>
      </c>
      <c r="B96" s="71" t="s">
        <v>119</v>
      </c>
      <c r="C96" s="71"/>
      <c r="D96" s="305" t="s">
        <v>1769</v>
      </c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</row>
    <row r="97" spans="1:17">
      <c r="A97" s="38" t="s">
        <v>1767</v>
      </c>
      <c r="B97" s="38" t="s">
        <v>122</v>
      </c>
      <c r="D97" s="201" t="s">
        <v>1864</v>
      </c>
    </row>
    <row r="98" spans="1:17">
      <c r="A98" s="38" t="s">
        <v>1767</v>
      </c>
      <c r="B98" s="38" t="s">
        <v>122</v>
      </c>
      <c r="D98" s="602"/>
    </row>
    <row r="99" spans="1:17">
      <c r="A99" s="38" t="s">
        <v>1767</v>
      </c>
      <c r="D99" s="201"/>
      <c r="E99" s="201"/>
      <c r="F99" s="201"/>
      <c r="G99" s="201"/>
      <c r="H99" s="201"/>
      <c r="I99" s="201"/>
      <c r="J99" s="201"/>
      <c r="K99" s="201"/>
      <c r="L99" s="201"/>
      <c r="M99" s="201"/>
    </row>
    <row r="100" spans="1:17">
      <c r="A100" s="38" t="s">
        <v>1767</v>
      </c>
      <c r="B100" s="38" t="s">
        <v>110</v>
      </c>
      <c r="D100" s="315" t="s">
        <v>164</v>
      </c>
      <c r="E100" s="315" t="s">
        <v>168</v>
      </c>
      <c r="F100" s="600" t="s">
        <v>169</v>
      </c>
      <c r="G100" s="600" t="s">
        <v>170</v>
      </c>
      <c r="H100" s="600" t="s">
        <v>171</v>
      </c>
      <c r="I100" s="600" t="s">
        <v>183</v>
      </c>
      <c r="J100" s="600" t="s">
        <v>184</v>
      </c>
      <c r="K100" s="600" t="s">
        <v>1047</v>
      </c>
      <c r="L100" s="600" t="s">
        <v>1048</v>
      </c>
      <c r="M100" s="600" t="s">
        <v>1748</v>
      </c>
      <c r="N100" s="600" t="s">
        <v>1751</v>
      </c>
    </row>
    <row r="101" spans="1:17">
      <c r="A101" s="38" t="s">
        <v>1767</v>
      </c>
      <c r="B101" s="38" t="s">
        <v>110</v>
      </c>
      <c r="D101" s="2" t="s">
        <v>1770</v>
      </c>
      <c r="E101" s="580">
        <v>238810</v>
      </c>
      <c r="F101" s="580">
        <v>277233</v>
      </c>
      <c r="G101" s="580">
        <v>300870</v>
      </c>
      <c r="H101" s="580">
        <v>324270</v>
      </c>
      <c r="I101" s="580">
        <v>349670</v>
      </c>
      <c r="J101" s="580">
        <v>377251</v>
      </c>
      <c r="K101" s="580">
        <v>407212</v>
      </c>
      <c r="L101" s="580">
        <v>439776</v>
      </c>
      <c r="M101" s="603">
        <v>8</v>
      </c>
      <c r="N101" s="201"/>
      <c r="P101" s="173"/>
      <c r="Q101" s="173"/>
    </row>
    <row r="102" spans="1:17">
      <c r="A102" s="38" t="s">
        <v>1767</v>
      </c>
      <c r="B102" s="38" t="s">
        <v>110</v>
      </c>
      <c r="D102" s="2" t="s">
        <v>1771</v>
      </c>
      <c r="E102" s="580">
        <v>129964</v>
      </c>
      <c r="F102" s="580">
        <v>150282</v>
      </c>
      <c r="G102" s="580">
        <v>162453</v>
      </c>
      <c r="H102" s="580">
        <v>174391</v>
      </c>
      <c r="I102" s="580">
        <v>187298</v>
      </c>
      <c r="J102" s="580">
        <v>201255</v>
      </c>
      <c r="K102" s="580">
        <v>216355</v>
      </c>
      <c r="L102" s="580">
        <v>232699</v>
      </c>
      <c r="M102" s="2">
        <v>7.6</v>
      </c>
      <c r="N102" s="201"/>
      <c r="P102" s="173"/>
    </row>
    <row r="103" spans="1:17">
      <c r="A103" s="38" t="s">
        <v>1767</v>
      </c>
      <c r="B103" s="38" t="s">
        <v>110</v>
      </c>
      <c r="D103" s="2" t="s">
        <v>1772</v>
      </c>
      <c r="E103" s="580">
        <v>108633</v>
      </c>
      <c r="F103" s="580">
        <v>125909</v>
      </c>
      <c r="G103" s="580">
        <v>136399</v>
      </c>
      <c r="H103" s="580">
        <v>146726</v>
      </c>
      <c r="I103" s="580">
        <v>157892</v>
      </c>
      <c r="J103" s="580">
        <v>169969</v>
      </c>
      <c r="K103" s="580">
        <v>183034</v>
      </c>
      <c r="L103" s="580">
        <v>197176</v>
      </c>
      <c r="M103" s="2">
        <v>7.8</v>
      </c>
      <c r="N103" s="288"/>
      <c r="P103" s="173"/>
    </row>
    <row r="104" spans="1:17">
      <c r="A104" s="38" t="s">
        <v>1767</v>
      </c>
      <c r="B104" s="38" t="s">
        <v>110</v>
      </c>
      <c r="D104" s="2" t="s">
        <v>6</v>
      </c>
      <c r="E104" s="580">
        <v>26664</v>
      </c>
      <c r="F104" s="580">
        <v>30290</v>
      </c>
      <c r="G104" s="580">
        <v>32148</v>
      </c>
      <c r="H104" s="580">
        <v>33873</v>
      </c>
      <c r="I104" s="580">
        <v>35684</v>
      </c>
      <c r="J104" s="580">
        <v>37590</v>
      </c>
      <c r="K104" s="580">
        <v>39598</v>
      </c>
      <c r="L104" s="580">
        <v>41705</v>
      </c>
      <c r="M104" s="2">
        <v>5.5</v>
      </c>
      <c r="N104" s="288"/>
      <c r="P104" s="173"/>
    </row>
    <row r="105" spans="1:17">
      <c r="A105" s="38" t="s">
        <v>1767</v>
      </c>
      <c r="B105" s="38" t="s">
        <v>110</v>
      </c>
      <c r="D105" s="2" t="s">
        <v>15</v>
      </c>
      <c r="E105" s="580">
        <v>504071</v>
      </c>
      <c r="F105" s="580">
        <v>583714</v>
      </c>
      <c r="G105" s="580">
        <v>631870</v>
      </c>
      <c r="H105" s="580">
        <v>679260</v>
      </c>
      <c r="I105" s="580">
        <v>730544</v>
      </c>
      <c r="J105" s="580">
        <v>786065</v>
      </c>
      <c r="K105" s="580">
        <v>846199</v>
      </c>
      <c r="L105" s="580">
        <v>911356</v>
      </c>
      <c r="M105" s="2">
        <v>7.7</v>
      </c>
      <c r="N105" s="288"/>
      <c r="P105" s="173"/>
    </row>
    <row r="106" spans="1:17">
      <c r="A106" s="38" t="s">
        <v>1767</v>
      </c>
      <c r="B106" s="38" t="s">
        <v>110</v>
      </c>
      <c r="D106" s="2"/>
      <c r="E106" s="580"/>
      <c r="F106" s="580"/>
      <c r="G106" s="580"/>
      <c r="H106" s="580"/>
      <c r="I106" s="580"/>
      <c r="J106" s="580"/>
      <c r="K106" s="580"/>
      <c r="L106" s="580"/>
      <c r="M106" s="2"/>
      <c r="N106" s="201"/>
    </row>
    <row r="107" spans="1:17">
      <c r="A107" s="38" t="s">
        <v>1767</v>
      </c>
      <c r="B107" s="38" t="s">
        <v>110</v>
      </c>
      <c r="D107" s="2"/>
      <c r="E107" s="580"/>
      <c r="F107" s="580"/>
      <c r="G107" s="580"/>
      <c r="H107" s="580"/>
      <c r="I107" s="580"/>
      <c r="J107" s="580"/>
      <c r="K107" s="580"/>
      <c r="L107" s="580"/>
      <c r="M107" s="2"/>
    </row>
    <row r="108" spans="1:17">
      <c r="A108" s="38" t="s">
        <v>1767</v>
      </c>
      <c r="B108" s="38" t="s">
        <v>110</v>
      </c>
    </row>
    <row r="109" spans="1:17">
      <c r="A109" s="38" t="s">
        <v>1767</v>
      </c>
    </row>
    <row r="110" spans="1:17">
      <c r="A110" s="38" t="s">
        <v>1767</v>
      </c>
      <c r="B110" s="38" t="s">
        <v>112</v>
      </c>
    </row>
    <row r="111" spans="1:17">
      <c r="A111" s="38" t="s">
        <v>1767</v>
      </c>
      <c r="B111" s="38" t="s">
        <v>112</v>
      </c>
    </row>
    <row r="112" spans="1:17">
      <c r="A112" s="38" t="s">
        <v>1767</v>
      </c>
      <c r="B112" s="38" t="s">
        <v>112</v>
      </c>
    </row>
    <row r="113" spans="1:4">
      <c r="A113" s="38" t="s">
        <v>1767</v>
      </c>
      <c r="B113" s="38" t="s">
        <v>112</v>
      </c>
    </row>
    <row r="114" spans="1:4">
      <c r="A114" s="38" t="s">
        <v>1767</v>
      </c>
      <c r="B114" s="38" t="s">
        <v>112</v>
      </c>
    </row>
    <row r="115" spans="1:4">
      <c r="A115" s="38" t="s">
        <v>1767</v>
      </c>
      <c r="B115" s="38" t="s">
        <v>112</v>
      </c>
    </row>
    <row r="116" spans="1:4">
      <c r="A116" s="38" t="s">
        <v>1767</v>
      </c>
      <c r="B116" s="38" t="s">
        <v>112</v>
      </c>
    </row>
    <row r="117" spans="1:4">
      <c r="A117" s="38" t="s">
        <v>1767</v>
      </c>
      <c r="B117" s="38" t="s">
        <v>112</v>
      </c>
    </row>
    <row r="118" spans="1:4">
      <c r="A118" s="38" t="s">
        <v>1767</v>
      </c>
      <c r="B118" s="38" t="s">
        <v>112</v>
      </c>
    </row>
    <row r="119" spans="1:4">
      <c r="A119" s="38" t="s">
        <v>1767</v>
      </c>
      <c r="B119" s="38" t="s">
        <v>112</v>
      </c>
    </row>
    <row r="120" spans="1:4">
      <c r="A120" s="38" t="s">
        <v>1767</v>
      </c>
      <c r="B120" s="38" t="s">
        <v>112</v>
      </c>
    </row>
    <row r="121" spans="1:4">
      <c r="A121" s="38" t="s">
        <v>1767</v>
      </c>
      <c r="B121" s="38" t="s">
        <v>112</v>
      </c>
    </row>
    <row r="122" spans="1:4">
      <c r="A122" s="38" t="s">
        <v>1767</v>
      </c>
      <c r="B122" s="38" t="s">
        <v>112</v>
      </c>
    </row>
    <row r="123" spans="1:4">
      <c r="A123" s="38" t="s">
        <v>1767</v>
      </c>
      <c r="B123" s="38" t="s">
        <v>112</v>
      </c>
    </row>
    <row r="124" spans="1:4">
      <c r="A124" s="38" t="s">
        <v>1767</v>
      </c>
      <c r="B124" s="38" t="s">
        <v>112</v>
      </c>
    </row>
    <row r="125" spans="1:4">
      <c r="A125" s="38" t="s">
        <v>1767</v>
      </c>
    </row>
    <row r="126" spans="1:4">
      <c r="A126" s="38" t="s">
        <v>1767</v>
      </c>
      <c r="B126" s="41"/>
    </row>
    <row r="127" spans="1:4">
      <c r="A127" s="38" t="s">
        <v>1767</v>
      </c>
      <c r="B127" s="38" t="s">
        <v>124</v>
      </c>
      <c r="D127" s="277" t="s">
        <v>1743</v>
      </c>
    </row>
    <row r="128" spans="1:4">
      <c r="A128" s="38" t="s">
        <v>1767</v>
      </c>
    </row>
  </sheetData>
  <phoneticPr fontId="13" type="noConversion"/>
  <pageMargins left="0.7" right="0.7" top="0.75" bottom="0.75" header="0.3" footer="0.3"/>
  <pageSetup paperSize="9" orientation="portrait" r:id="rId1"/>
  <drawing r:id="rId2"/>
  <tableParts count="4">
    <tablePart r:id="rId3"/>
    <tablePart r:id="rId4"/>
    <tablePart r:id="rId5"/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AB112"/>
  <sheetViews>
    <sheetView zoomScale="79" zoomScaleNormal="79" workbookViewId="0">
      <selection activeCell="D52" sqref="D52"/>
    </sheetView>
  </sheetViews>
  <sheetFormatPr defaultColWidth="10.625" defaultRowHeight="16.5"/>
  <cols>
    <col min="1" max="2" width="15.625" style="3" customWidth="1"/>
    <col min="3" max="3" width="1.625" style="3" customWidth="1"/>
    <col min="4" max="4" width="10.625" style="4" customWidth="1"/>
    <col min="5" max="9" width="10.625" style="3" customWidth="1"/>
    <col min="10" max="10" width="14" style="3" customWidth="1"/>
    <col min="11" max="13" width="10.625" style="3" customWidth="1"/>
    <col min="14" max="14" width="10.625" style="3"/>
    <col min="15" max="15" width="10.625" style="3" customWidth="1"/>
    <col min="16" max="16384" width="10.625" style="3"/>
  </cols>
  <sheetData>
    <row r="1" spans="1:28">
      <c r="A1" s="6" t="s">
        <v>149</v>
      </c>
      <c r="B1" s="7" t="s">
        <v>340</v>
      </c>
      <c r="C1" s="7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10"/>
      <c r="R1" s="10"/>
    </row>
    <row r="2" spans="1:28">
      <c r="A2" s="70" t="s">
        <v>1773</v>
      </c>
      <c r="B2" s="70" t="s">
        <v>119</v>
      </c>
      <c r="C2" s="70"/>
      <c r="D2" s="314" t="s">
        <v>1778</v>
      </c>
      <c r="E2" s="72"/>
      <c r="F2" s="72"/>
      <c r="G2" s="72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</row>
    <row r="3" spans="1:28">
      <c r="A3" s="9" t="s">
        <v>1779</v>
      </c>
      <c r="B3" s="9" t="s">
        <v>122</v>
      </c>
      <c r="C3" s="9"/>
      <c r="D3" s="315" t="s">
        <v>2057</v>
      </c>
      <c r="E3" s="4"/>
      <c r="F3" s="4"/>
      <c r="G3" s="4"/>
    </row>
    <row r="4" spans="1:28">
      <c r="A4" s="9" t="s">
        <v>1779</v>
      </c>
      <c r="B4" s="9" t="s">
        <v>122</v>
      </c>
      <c r="D4" s="315" t="s">
        <v>2173</v>
      </c>
      <c r="E4" s="4"/>
      <c r="F4" s="4"/>
      <c r="G4" s="4"/>
      <c r="R4" s="99"/>
    </row>
    <row r="5" spans="1:28">
      <c r="A5" s="9" t="s">
        <v>1779</v>
      </c>
      <c r="D5" s="59"/>
      <c r="E5" s="4"/>
      <c r="F5" s="4"/>
      <c r="G5" s="4"/>
      <c r="R5" s="99"/>
    </row>
    <row r="6" spans="1:28" ht="18.75">
      <c r="A6" s="9" t="s">
        <v>1779</v>
      </c>
      <c r="B6" s="3" t="s">
        <v>181</v>
      </c>
      <c r="D6" s="315" t="s">
        <v>182</v>
      </c>
      <c r="E6" s="315" t="s">
        <v>167</v>
      </c>
      <c r="F6" s="315" t="s">
        <v>168</v>
      </c>
      <c r="G6" s="315" t="s">
        <v>169</v>
      </c>
      <c r="H6" s="315" t="s">
        <v>170</v>
      </c>
      <c r="I6" s="315" t="s">
        <v>171</v>
      </c>
      <c r="J6" s="315" t="s">
        <v>183</v>
      </c>
      <c r="K6" s="315" t="s">
        <v>184</v>
      </c>
      <c r="L6" s="600" t="s">
        <v>1785</v>
      </c>
      <c r="M6" s="613" t="s">
        <v>1787</v>
      </c>
      <c r="O6" s="600" t="s">
        <v>1793</v>
      </c>
      <c r="R6" s="316"/>
    </row>
    <row r="7" spans="1:28">
      <c r="A7" s="9" t="s">
        <v>1779</v>
      </c>
      <c r="B7" s="9" t="s">
        <v>181</v>
      </c>
      <c r="C7" s="9"/>
      <c r="D7" s="600" t="s">
        <v>611</v>
      </c>
      <c r="E7" s="198">
        <v>1249.58</v>
      </c>
      <c r="F7" s="198">
        <v>1282.5900000000001</v>
      </c>
      <c r="G7" s="198">
        <v>1429.3899999999999</v>
      </c>
      <c r="H7" s="198">
        <v>1483.4099999999999</v>
      </c>
      <c r="I7" s="198">
        <v>1551.31</v>
      </c>
      <c r="J7" s="198">
        <v>1645.6000000000001</v>
      </c>
      <c r="K7" s="198">
        <v>1752.8200000000002</v>
      </c>
      <c r="L7" s="198">
        <v>1847.98</v>
      </c>
      <c r="M7" s="614">
        <v>5.3</v>
      </c>
    </row>
    <row r="8" spans="1:28">
      <c r="A8" s="9" t="s">
        <v>1779</v>
      </c>
      <c r="B8" s="9" t="s">
        <v>181</v>
      </c>
      <c r="C8" s="9"/>
      <c r="D8" s="59"/>
      <c r="E8" s="47"/>
      <c r="F8" s="47"/>
      <c r="G8" s="47"/>
      <c r="H8" s="47"/>
      <c r="I8" s="47"/>
      <c r="J8" s="47"/>
      <c r="K8" s="47"/>
      <c r="S8" s="99"/>
      <c r="T8" s="608"/>
      <c r="U8" s="608"/>
      <c r="V8" s="608"/>
      <c r="W8" s="608"/>
      <c r="X8" s="608"/>
      <c r="Y8" s="608"/>
      <c r="Z8" s="608"/>
      <c r="AA8" s="608"/>
      <c r="AB8" s="608"/>
    </row>
    <row r="9" spans="1:28">
      <c r="A9" s="9" t="s">
        <v>1779</v>
      </c>
      <c r="E9" s="4"/>
      <c r="F9" s="4"/>
      <c r="G9" s="4"/>
      <c r="T9" s="608"/>
      <c r="U9" s="608"/>
      <c r="V9" s="608"/>
      <c r="W9" s="608"/>
      <c r="X9" s="608"/>
      <c r="Y9" s="608"/>
      <c r="Z9" s="608"/>
      <c r="AA9" s="608"/>
      <c r="AB9" s="608"/>
    </row>
    <row r="10" spans="1:28">
      <c r="A10" s="9" t="s">
        <v>1779</v>
      </c>
      <c r="B10" s="3" t="s">
        <v>185</v>
      </c>
      <c r="E10" s="4"/>
      <c r="F10" s="4"/>
      <c r="G10" s="4"/>
      <c r="R10" s="385"/>
      <c r="T10" s="609"/>
      <c r="U10" s="609"/>
      <c r="V10" s="609"/>
      <c r="W10" s="609"/>
      <c r="X10" s="609"/>
      <c r="Y10" s="609"/>
      <c r="Z10" s="609"/>
      <c r="AA10" s="610"/>
      <c r="AB10" s="608"/>
    </row>
    <row r="11" spans="1:28">
      <c r="A11" s="9" t="s">
        <v>1779</v>
      </c>
      <c r="B11" s="3" t="s">
        <v>185</v>
      </c>
      <c r="E11" s="4"/>
      <c r="F11" s="4"/>
      <c r="G11" s="4"/>
      <c r="R11" s="521"/>
      <c r="T11" s="611"/>
      <c r="U11" s="611"/>
      <c r="V11" s="611"/>
      <c r="W11" s="370"/>
      <c r="X11" s="370"/>
      <c r="Y11" s="370"/>
      <c r="Z11" s="612"/>
      <c r="AA11" s="612"/>
      <c r="AB11" s="608"/>
    </row>
    <row r="12" spans="1:28">
      <c r="A12" s="9" t="s">
        <v>1779</v>
      </c>
      <c r="B12" s="9" t="s">
        <v>185</v>
      </c>
      <c r="C12" s="9"/>
      <c r="E12" s="4"/>
      <c r="F12" s="4"/>
      <c r="G12" s="4"/>
      <c r="R12" s="521"/>
      <c r="T12" s="611"/>
      <c r="U12" s="611"/>
      <c r="V12" s="611"/>
      <c r="W12" s="370"/>
      <c r="X12" s="370"/>
      <c r="Y12" s="370"/>
      <c r="Z12" s="612"/>
      <c r="AA12" s="612"/>
      <c r="AB12" s="608"/>
    </row>
    <row r="13" spans="1:28">
      <c r="A13" s="9" t="s">
        <v>1779</v>
      </c>
      <c r="B13" s="9" t="s">
        <v>186</v>
      </c>
      <c r="C13" s="9"/>
      <c r="E13" s="4"/>
      <c r="F13" s="4"/>
      <c r="G13" s="4"/>
      <c r="R13" s="521"/>
      <c r="T13" s="608"/>
      <c r="U13" s="608"/>
      <c r="V13" s="608"/>
      <c r="W13" s="608"/>
      <c r="X13" s="608"/>
      <c r="Y13" s="608"/>
      <c r="Z13" s="608"/>
      <c r="AA13" s="608"/>
      <c r="AB13" s="608"/>
    </row>
    <row r="14" spans="1:28">
      <c r="A14" s="9" t="s">
        <v>1779</v>
      </c>
      <c r="B14" s="9" t="s">
        <v>187</v>
      </c>
      <c r="C14" s="9"/>
      <c r="E14" s="4"/>
      <c r="F14" s="4"/>
      <c r="G14" s="4"/>
      <c r="R14" s="521"/>
      <c r="T14" s="608"/>
      <c r="U14" s="608"/>
      <c r="V14" s="608"/>
      <c r="W14" s="608"/>
      <c r="X14" s="608"/>
      <c r="Y14" s="608"/>
      <c r="Z14" s="608"/>
      <c r="AA14" s="608"/>
      <c r="AB14" s="608"/>
    </row>
    <row r="15" spans="1:28">
      <c r="A15" s="9" t="s">
        <v>1779</v>
      </c>
      <c r="B15" s="9" t="s">
        <v>185</v>
      </c>
      <c r="C15" s="9"/>
      <c r="E15" s="4"/>
      <c r="F15" s="4"/>
      <c r="G15" s="4"/>
      <c r="R15" s="385"/>
      <c r="T15" s="608"/>
      <c r="U15" s="608"/>
      <c r="V15" s="608"/>
      <c r="W15" s="608"/>
      <c r="X15" s="608"/>
      <c r="Y15" s="608"/>
      <c r="Z15" s="608"/>
      <c r="AA15" s="608"/>
      <c r="AB15" s="608"/>
    </row>
    <row r="16" spans="1:28">
      <c r="A16" s="9" t="s">
        <v>1779</v>
      </c>
      <c r="B16" s="9" t="s">
        <v>186</v>
      </c>
      <c r="C16" s="9"/>
      <c r="E16" s="4"/>
      <c r="F16" s="4"/>
      <c r="G16" s="4"/>
      <c r="T16" s="608"/>
      <c r="U16" s="608"/>
      <c r="V16" s="608"/>
      <c r="W16" s="608"/>
      <c r="X16" s="608"/>
      <c r="Y16" s="608"/>
      <c r="Z16" s="608"/>
      <c r="AA16" s="608"/>
      <c r="AB16" s="608"/>
    </row>
    <row r="17" spans="1:28">
      <c r="A17" s="9" t="s">
        <v>1779</v>
      </c>
      <c r="B17" s="9" t="s">
        <v>188</v>
      </c>
      <c r="C17" s="9"/>
      <c r="E17" s="4"/>
      <c r="F17" s="4"/>
      <c r="G17" s="4"/>
      <c r="T17" s="608"/>
      <c r="U17" s="608"/>
      <c r="V17" s="608"/>
      <c r="W17" s="608"/>
      <c r="X17" s="608"/>
      <c r="Y17" s="608"/>
      <c r="Z17" s="608"/>
      <c r="AA17" s="608"/>
      <c r="AB17" s="608"/>
    </row>
    <row r="18" spans="1:28">
      <c r="A18" s="9" t="s">
        <v>1779</v>
      </c>
      <c r="B18" s="9" t="s">
        <v>185</v>
      </c>
      <c r="C18" s="9"/>
      <c r="E18" s="4"/>
      <c r="F18" s="4"/>
      <c r="G18" s="4"/>
      <c r="T18" s="608"/>
      <c r="U18" s="608"/>
      <c r="V18" s="608"/>
      <c r="W18" s="608"/>
      <c r="X18" s="608"/>
      <c r="Y18" s="608"/>
      <c r="Z18" s="608"/>
      <c r="AA18" s="608"/>
      <c r="AB18" s="608"/>
    </row>
    <row r="19" spans="1:28">
      <c r="A19" s="9" t="s">
        <v>1779</v>
      </c>
      <c r="B19" s="9" t="s">
        <v>189</v>
      </c>
      <c r="C19" s="9"/>
      <c r="E19" s="4"/>
      <c r="F19" s="4"/>
      <c r="G19" s="4"/>
    </row>
    <row r="20" spans="1:28">
      <c r="A20" s="9" t="s">
        <v>1779</v>
      </c>
      <c r="B20" s="9" t="s">
        <v>190</v>
      </c>
      <c r="C20" s="9"/>
      <c r="E20" s="4"/>
      <c r="F20" s="4"/>
      <c r="G20" s="4"/>
    </row>
    <row r="21" spans="1:28">
      <c r="A21" s="9" t="s">
        <v>1779</v>
      </c>
      <c r="B21" s="9" t="s">
        <v>188</v>
      </c>
      <c r="C21" s="9"/>
      <c r="E21" s="4"/>
      <c r="F21" s="4"/>
      <c r="G21" s="4"/>
    </row>
    <row r="22" spans="1:28">
      <c r="A22" s="9" t="s">
        <v>1779</v>
      </c>
      <c r="B22" s="9" t="s">
        <v>191</v>
      </c>
      <c r="C22" s="9"/>
      <c r="E22" s="4"/>
      <c r="F22" s="4"/>
      <c r="G22" s="4"/>
    </row>
    <row r="23" spans="1:28">
      <c r="A23" s="9" t="s">
        <v>1779</v>
      </c>
      <c r="B23" s="9" t="s">
        <v>185</v>
      </c>
      <c r="C23" s="9"/>
      <c r="E23" s="4"/>
      <c r="F23" s="4"/>
      <c r="G23" s="4"/>
    </row>
    <row r="24" spans="1:28">
      <c r="A24" s="9" t="s">
        <v>1779</v>
      </c>
      <c r="B24" s="9" t="s">
        <v>185</v>
      </c>
      <c r="C24" s="9"/>
      <c r="E24" s="4"/>
      <c r="F24" s="4"/>
      <c r="G24" s="4"/>
    </row>
    <row r="25" spans="1:28">
      <c r="A25" s="9" t="s">
        <v>1779</v>
      </c>
      <c r="E25" s="4"/>
      <c r="F25" s="4"/>
      <c r="G25" s="4"/>
    </row>
    <row r="26" spans="1:28">
      <c r="A26" s="9" t="s">
        <v>1779</v>
      </c>
      <c r="B26" s="9" t="s">
        <v>124</v>
      </c>
      <c r="C26" s="9"/>
      <c r="D26" s="315" t="s">
        <v>2019</v>
      </c>
      <c r="E26" s="4"/>
      <c r="F26" s="4"/>
      <c r="G26" s="4"/>
      <c r="S26" s="99"/>
      <c r="U26" s="99"/>
      <c r="V26" s="99"/>
      <c r="W26" s="60"/>
    </row>
    <row r="27" spans="1:28" s="74" customFormat="1">
      <c r="A27" s="9" t="s">
        <v>1779</v>
      </c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</row>
    <row r="28" spans="1:28">
      <c r="A28" s="70" t="s">
        <v>1780</v>
      </c>
      <c r="B28" s="70" t="s">
        <v>119</v>
      </c>
      <c r="C28" s="70"/>
      <c r="D28" s="314" t="s">
        <v>1781</v>
      </c>
      <c r="E28" s="72"/>
      <c r="F28" s="72"/>
      <c r="G28" s="72"/>
      <c r="H28" s="70"/>
      <c r="I28" s="70"/>
      <c r="J28" s="70"/>
      <c r="K28" s="70"/>
      <c r="L28" s="70"/>
      <c r="M28" s="70"/>
      <c r="N28" s="70"/>
      <c r="O28" s="70"/>
      <c r="P28" s="70"/>
      <c r="Q28" s="70"/>
      <c r="R28" s="70"/>
    </row>
    <row r="29" spans="1:28">
      <c r="A29" s="9" t="s">
        <v>1782</v>
      </c>
      <c r="B29" s="9" t="s">
        <v>122</v>
      </c>
      <c r="C29" s="9"/>
      <c r="D29" s="315" t="s">
        <v>1795</v>
      </c>
      <c r="E29" s="4"/>
      <c r="F29" s="4"/>
      <c r="G29" s="4"/>
    </row>
    <row r="30" spans="1:28">
      <c r="A30" s="9" t="s">
        <v>1782</v>
      </c>
      <c r="B30" s="9"/>
      <c r="C30" s="9"/>
      <c r="E30" s="4"/>
    </row>
    <row r="31" spans="1:28">
      <c r="A31" s="9" t="s">
        <v>1782</v>
      </c>
      <c r="B31" s="3" t="s">
        <v>181</v>
      </c>
      <c r="D31" s="4" t="s">
        <v>192</v>
      </c>
      <c r="E31" s="4" t="s">
        <v>167</v>
      </c>
      <c r="F31" s="4" t="s">
        <v>168</v>
      </c>
      <c r="G31" s="4" t="s">
        <v>169</v>
      </c>
      <c r="H31" s="4" t="s">
        <v>170</v>
      </c>
      <c r="I31" s="4" t="s">
        <v>171</v>
      </c>
      <c r="J31" s="4" t="s">
        <v>183</v>
      </c>
      <c r="K31" s="4" t="s">
        <v>184</v>
      </c>
      <c r="L31" s="607" t="s">
        <v>1784</v>
      </c>
      <c r="M31" s="389" t="s">
        <v>1787</v>
      </c>
      <c r="O31" s="600" t="s">
        <v>1786</v>
      </c>
    </row>
    <row r="32" spans="1:28">
      <c r="A32" s="9" t="s">
        <v>1782</v>
      </c>
      <c r="B32" s="3" t="s">
        <v>181</v>
      </c>
      <c r="D32" s="60" t="s">
        <v>1789</v>
      </c>
      <c r="E32" s="59">
        <v>855.09</v>
      </c>
      <c r="F32" s="4">
        <v>870.94</v>
      </c>
      <c r="G32" s="4">
        <v>913.62</v>
      </c>
      <c r="H32" s="3">
        <v>950.62</v>
      </c>
      <c r="I32" s="3">
        <v>990.49</v>
      </c>
      <c r="J32" s="3">
        <v>1042.1500000000001</v>
      </c>
      <c r="K32" s="9">
        <v>1098.43</v>
      </c>
      <c r="L32" s="9">
        <v>1142.7</v>
      </c>
      <c r="M32" s="43">
        <v>4.5999999999999996</v>
      </c>
    </row>
    <row r="33" spans="1:20">
      <c r="A33" s="9" t="s">
        <v>1782</v>
      </c>
      <c r="B33" s="9" t="s">
        <v>181</v>
      </c>
      <c r="C33" s="9"/>
      <c r="D33" s="3"/>
      <c r="E33" s="49"/>
      <c r="F33" s="49"/>
      <c r="G33" s="49"/>
      <c r="H33" s="50"/>
      <c r="I33" s="50"/>
    </row>
    <row r="34" spans="1:20">
      <c r="A34" s="9" t="s">
        <v>1782</v>
      </c>
      <c r="B34" s="9" t="s">
        <v>181</v>
      </c>
      <c r="C34" s="9"/>
      <c r="D34" s="3"/>
      <c r="E34" s="50"/>
      <c r="F34" s="49"/>
      <c r="G34" s="49"/>
      <c r="H34" s="50"/>
      <c r="I34" s="50"/>
    </row>
    <row r="35" spans="1:20">
      <c r="A35" s="9" t="s">
        <v>1782</v>
      </c>
      <c r="B35" s="9"/>
      <c r="C35" s="9"/>
      <c r="E35" s="4"/>
      <c r="F35" s="4"/>
      <c r="G35" s="4"/>
    </row>
    <row r="36" spans="1:20">
      <c r="A36" s="9" t="s">
        <v>1782</v>
      </c>
      <c r="B36" s="3" t="s">
        <v>112</v>
      </c>
      <c r="E36" s="4"/>
      <c r="F36" s="4"/>
      <c r="G36" s="4"/>
      <c r="T36" s="47"/>
    </row>
    <row r="37" spans="1:20">
      <c r="A37" s="9" t="s">
        <v>1782</v>
      </c>
      <c r="B37" s="3" t="s">
        <v>112</v>
      </c>
      <c r="E37" s="4"/>
      <c r="F37" s="4"/>
      <c r="G37" s="4"/>
    </row>
    <row r="38" spans="1:20">
      <c r="A38" s="9" t="s">
        <v>1782</v>
      </c>
      <c r="B38" s="9" t="s">
        <v>112</v>
      </c>
      <c r="C38" s="9"/>
      <c r="E38" s="4"/>
      <c r="F38" s="4"/>
      <c r="G38" s="4"/>
      <c r="T38" s="47"/>
    </row>
    <row r="39" spans="1:20">
      <c r="A39" s="9" t="s">
        <v>1782</v>
      </c>
      <c r="B39" s="9" t="s">
        <v>112</v>
      </c>
      <c r="C39" s="9"/>
      <c r="E39" s="4"/>
      <c r="F39" s="4"/>
      <c r="G39" s="4"/>
    </row>
    <row r="40" spans="1:20">
      <c r="A40" s="9" t="s">
        <v>1782</v>
      </c>
      <c r="B40" s="9" t="s">
        <v>112</v>
      </c>
      <c r="C40" s="9"/>
      <c r="E40" s="4"/>
      <c r="F40" s="4"/>
      <c r="G40" s="4"/>
    </row>
    <row r="41" spans="1:20">
      <c r="A41" s="9" t="s">
        <v>1782</v>
      </c>
      <c r="B41" s="9" t="s">
        <v>112</v>
      </c>
      <c r="C41" s="9"/>
      <c r="E41" s="4"/>
      <c r="F41" s="4"/>
      <c r="G41" s="4"/>
    </row>
    <row r="42" spans="1:20">
      <c r="A42" s="9" t="s">
        <v>1782</v>
      </c>
      <c r="B42" s="9" t="s">
        <v>112</v>
      </c>
      <c r="C42" s="9"/>
      <c r="E42" s="4"/>
      <c r="F42" s="4"/>
      <c r="G42" s="4"/>
    </row>
    <row r="43" spans="1:20">
      <c r="A43" s="9" t="s">
        <v>1782</v>
      </c>
      <c r="B43" s="9" t="s">
        <v>112</v>
      </c>
      <c r="C43" s="9"/>
      <c r="E43" s="4"/>
      <c r="F43" s="4"/>
      <c r="G43" s="4"/>
    </row>
    <row r="44" spans="1:20">
      <c r="A44" s="9" t="s">
        <v>1782</v>
      </c>
      <c r="B44" s="9" t="s">
        <v>112</v>
      </c>
      <c r="C44" s="9"/>
      <c r="E44" s="4"/>
      <c r="F44" s="4"/>
      <c r="G44" s="4"/>
    </row>
    <row r="45" spans="1:20">
      <c r="A45" s="9" t="s">
        <v>1782</v>
      </c>
      <c r="B45" s="9" t="s">
        <v>112</v>
      </c>
      <c r="C45" s="9"/>
      <c r="E45" s="4"/>
      <c r="F45" s="4"/>
      <c r="G45" s="4"/>
    </row>
    <row r="46" spans="1:20">
      <c r="A46" s="9" t="s">
        <v>1782</v>
      </c>
      <c r="B46" s="9" t="s">
        <v>112</v>
      </c>
      <c r="C46" s="9"/>
      <c r="E46" s="4"/>
      <c r="F46" s="4"/>
      <c r="G46" s="4"/>
    </row>
    <row r="47" spans="1:20">
      <c r="A47" s="9" t="s">
        <v>1782</v>
      </c>
      <c r="B47" s="9" t="s">
        <v>112</v>
      </c>
      <c r="C47" s="9"/>
      <c r="E47" s="4"/>
      <c r="F47" s="4"/>
      <c r="G47" s="4"/>
    </row>
    <row r="48" spans="1:20">
      <c r="A48" s="9" t="s">
        <v>1782</v>
      </c>
      <c r="B48" s="9" t="s">
        <v>112</v>
      </c>
      <c r="C48" s="9"/>
      <c r="E48" s="4"/>
      <c r="F48" s="4"/>
      <c r="G48" s="4"/>
    </row>
    <row r="49" spans="1:22">
      <c r="A49" s="9" t="s">
        <v>1782</v>
      </c>
      <c r="B49" s="9" t="s">
        <v>112</v>
      </c>
      <c r="C49" s="9"/>
      <c r="E49" s="4"/>
      <c r="F49" s="4"/>
      <c r="G49" s="4"/>
    </row>
    <row r="50" spans="1:22">
      <c r="A50" s="9" t="s">
        <v>1782</v>
      </c>
      <c r="B50" s="9" t="s">
        <v>112</v>
      </c>
      <c r="C50" s="9"/>
      <c r="E50" s="4"/>
      <c r="F50" s="4"/>
      <c r="G50" s="4"/>
    </row>
    <row r="51" spans="1:22">
      <c r="A51" s="9" t="s">
        <v>1782</v>
      </c>
      <c r="E51" s="4"/>
      <c r="F51" s="4"/>
      <c r="G51" s="4"/>
    </row>
    <row r="52" spans="1:22">
      <c r="A52" s="9" t="s">
        <v>1782</v>
      </c>
      <c r="B52" s="9" t="s">
        <v>124</v>
      </c>
      <c r="C52" s="9"/>
      <c r="D52" s="315" t="s">
        <v>2234</v>
      </c>
      <c r="E52" s="4"/>
      <c r="F52" s="4"/>
      <c r="G52" s="4"/>
      <c r="S52" s="99"/>
      <c r="T52" s="99"/>
      <c r="U52" s="99"/>
      <c r="V52" s="60"/>
    </row>
    <row r="53" spans="1:22" s="74" customFormat="1">
      <c r="A53" s="9" t="s">
        <v>1782</v>
      </c>
      <c r="D53" s="73"/>
      <c r="E53" s="73"/>
      <c r="F53" s="73"/>
      <c r="G53" s="73"/>
      <c r="H53" s="73"/>
      <c r="I53" s="73"/>
      <c r="J53" s="73"/>
      <c r="K53" s="73"/>
      <c r="L53" s="73"/>
      <c r="M53" s="73"/>
      <c r="N53" s="73"/>
      <c r="O53" s="73"/>
      <c r="P53" s="73"/>
    </row>
    <row r="54" spans="1:22">
      <c r="A54" s="70" t="s">
        <v>1790</v>
      </c>
      <c r="B54" s="70" t="s">
        <v>119</v>
      </c>
      <c r="C54" s="70"/>
      <c r="D54" s="314" t="s">
        <v>1788</v>
      </c>
      <c r="E54" s="72"/>
      <c r="F54" s="72"/>
      <c r="G54" s="72"/>
      <c r="H54" s="70"/>
      <c r="I54" s="70"/>
      <c r="J54" s="70"/>
      <c r="K54" s="70"/>
      <c r="L54" s="70"/>
      <c r="M54" s="70"/>
      <c r="N54" s="70"/>
      <c r="O54" s="70"/>
      <c r="P54" s="70"/>
      <c r="Q54" s="70"/>
      <c r="R54" s="70"/>
    </row>
    <row r="55" spans="1:22">
      <c r="A55" s="9" t="s">
        <v>1791</v>
      </c>
      <c r="B55" s="9" t="s">
        <v>122</v>
      </c>
      <c r="C55" s="9"/>
      <c r="D55" s="59" t="s">
        <v>1796</v>
      </c>
      <c r="E55" s="4"/>
      <c r="F55" s="4"/>
      <c r="G55" s="4"/>
    </row>
    <row r="56" spans="1:22">
      <c r="A56" s="9" t="s">
        <v>1791</v>
      </c>
      <c r="B56" s="9"/>
      <c r="C56" s="9"/>
      <c r="E56" s="4"/>
      <c r="F56" s="4"/>
      <c r="G56" s="4"/>
    </row>
    <row r="57" spans="1:22">
      <c r="A57" s="9" t="s">
        <v>1791</v>
      </c>
      <c r="B57" s="9" t="s">
        <v>176</v>
      </c>
      <c r="C57" s="9"/>
      <c r="D57" s="4" t="s">
        <v>164</v>
      </c>
      <c r="E57" s="4" t="s">
        <v>167</v>
      </c>
      <c r="F57" s="4" t="s">
        <v>168</v>
      </c>
      <c r="G57" s="4" t="s">
        <v>169</v>
      </c>
      <c r="H57" s="4" t="s">
        <v>170</v>
      </c>
      <c r="I57" s="4" t="s">
        <v>171</v>
      </c>
      <c r="J57" s="4" t="s">
        <v>183</v>
      </c>
      <c r="K57" s="4" t="s">
        <v>184</v>
      </c>
      <c r="L57" s="607" t="s">
        <v>1784</v>
      </c>
      <c r="M57" s="389" t="s">
        <v>1787</v>
      </c>
      <c r="O57" s="600" t="s">
        <v>1786</v>
      </c>
    </row>
    <row r="58" spans="1:22">
      <c r="A58" s="9" t="s">
        <v>1791</v>
      </c>
      <c r="B58" s="9" t="s">
        <v>175</v>
      </c>
      <c r="C58" s="9"/>
      <c r="D58" s="60" t="s">
        <v>1789</v>
      </c>
      <c r="E58" s="59">
        <v>394.49</v>
      </c>
      <c r="F58" s="4">
        <v>411.65</v>
      </c>
      <c r="G58" s="4">
        <v>515.77</v>
      </c>
      <c r="H58" s="3">
        <v>532.79</v>
      </c>
      <c r="I58" s="3">
        <v>560.82000000000005</v>
      </c>
      <c r="J58" s="3">
        <v>603.45000000000005</v>
      </c>
      <c r="K58" s="9">
        <v>654.39</v>
      </c>
      <c r="L58" s="9">
        <v>705.28</v>
      </c>
      <c r="M58" s="43">
        <v>6.5</v>
      </c>
      <c r="O58" s="48"/>
    </row>
    <row r="59" spans="1:22">
      <c r="A59" s="9" t="s">
        <v>1791</v>
      </c>
      <c r="D59" s="3"/>
    </row>
    <row r="60" spans="1:22">
      <c r="A60" s="9" t="s">
        <v>1791</v>
      </c>
      <c r="B60" s="3" t="s">
        <v>190</v>
      </c>
      <c r="G60" s="4"/>
    </row>
    <row r="61" spans="1:22">
      <c r="A61" s="9" t="s">
        <v>1791</v>
      </c>
      <c r="B61" s="3" t="s">
        <v>190</v>
      </c>
      <c r="G61" s="4"/>
    </row>
    <row r="62" spans="1:22">
      <c r="A62" s="9" t="s">
        <v>1791</v>
      </c>
      <c r="B62" s="9" t="s">
        <v>190</v>
      </c>
      <c r="C62" s="9"/>
      <c r="G62" s="4"/>
    </row>
    <row r="63" spans="1:22">
      <c r="A63" s="9" t="s">
        <v>1791</v>
      </c>
      <c r="B63" s="9" t="s">
        <v>190</v>
      </c>
      <c r="C63" s="9"/>
      <c r="G63" s="4"/>
      <c r="T63" s="47"/>
    </row>
    <row r="64" spans="1:22">
      <c r="A64" s="9" t="s">
        <v>1791</v>
      </c>
      <c r="B64" s="9" t="s">
        <v>190</v>
      </c>
      <c r="C64" s="9"/>
      <c r="T64" s="47"/>
    </row>
    <row r="65" spans="1:20">
      <c r="A65" s="9" t="s">
        <v>1791</v>
      </c>
      <c r="B65" s="9" t="s">
        <v>190</v>
      </c>
      <c r="C65" s="9"/>
      <c r="T65" s="47"/>
    </row>
    <row r="66" spans="1:20">
      <c r="A66" s="9" t="s">
        <v>1791</v>
      </c>
      <c r="B66" s="9" t="s">
        <v>190</v>
      </c>
      <c r="C66" s="9"/>
    </row>
    <row r="67" spans="1:20">
      <c r="A67" s="9" t="s">
        <v>1791</v>
      </c>
      <c r="B67" s="9" t="s">
        <v>190</v>
      </c>
      <c r="C67" s="9"/>
    </row>
    <row r="68" spans="1:20">
      <c r="A68" s="9" t="s">
        <v>1791</v>
      </c>
      <c r="B68" s="9" t="s">
        <v>190</v>
      </c>
      <c r="C68" s="9"/>
    </row>
    <row r="69" spans="1:20">
      <c r="A69" s="9" t="s">
        <v>1791</v>
      </c>
      <c r="B69" s="9" t="s">
        <v>186</v>
      </c>
      <c r="C69" s="9"/>
    </row>
    <row r="70" spans="1:20">
      <c r="A70" s="9" t="s">
        <v>1791</v>
      </c>
      <c r="B70" s="9" t="s">
        <v>186</v>
      </c>
      <c r="C70" s="9"/>
    </row>
    <row r="71" spans="1:20">
      <c r="A71" s="9" t="s">
        <v>1791</v>
      </c>
      <c r="B71" s="9" t="s">
        <v>190</v>
      </c>
      <c r="C71" s="9"/>
    </row>
    <row r="72" spans="1:20">
      <c r="A72" s="9" t="s">
        <v>1791</v>
      </c>
      <c r="B72" s="9" t="s">
        <v>190</v>
      </c>
      <c r="C72" s="9"/>
    </row>
    <row r="73" spans="1:20">
      <c r="A73" s="9" t="s">
        <v>1791</v>
      </c>
      <c r="B73" s="9" t="s">
        <v>190</v>
      </c>
      <c r="C73" s="9"/>
    </row>
    <row r="74" spans="1:20">
      <c r="A74" s="9" t="s">
        <v>1791</v>
      </c>
      <c r="B74" s="9" t="s">
        <v>186</v>
      </c>
      <c r="C74" s="9"/>
    </row>
    <row r="75" spans="1:20">
      <c r="A75" s="9" t="s">
        <v>1791</v>
      </c>
    </row>
    <row r="76" spans="1:20">
      <c r="A76" s="9" t="s">
        <v>1791</v>
      </c>
      <c r="B76" s="9" t="s">
        <v>124</v>
      </c>
      <c r="C76" s="9"/>
      <c r="D76" s="315" t="s">
        <v>1821</v>
      </c>
      <c r="S76" s="99"/>
    </row>
    <row r="77" spans="1:20" s="74" customFormat="1">
      <c r="A77" s="9" t="s">
        <v>1791</v>
      </c>
      <c r="D77" s="73"/>
      <c r="E77" s="73"/>
      <c r="F77" s="73"/>
      <c r="G77" s="73"/>
      <c r="H77" s="73"/>
      <c r="I77" s="73"/>
      <c r="J77" s="73"/>
      <c r="K77" s="73"/>
      <c r="L77" s="73"/>
      <c r="M77" s="73"/>
      <c r="N77" s="73"/>
      <c r="O77" s="73"/>
      <c r="P77" s="73"/>
    </row>
    <row r="78" spans="1:20">
      <c r="A78" s="70" t="s">
        <v>1792</v>
      </c>
      <c r="B78" s="70" t="s">
        <v>119</v>
      </c>
      <c r="C78" s="70"/>
      <c r="D78" s="205" t="s">
        <v>1810</v>
      </c>
      <c r="E78" s="72"/>
      <c r="F78" s="70"/>
      <c r="G78" s="70"/>
      <c r="H78" s="70"/>
      <c r="I78" s="70"/>
      <c r="J78" s="70"/>
      <c r="K78" s="70"/>
      <c r="L78" s="70"/>
      <c r="M78" s="70"/>
      <c r="N78" s="70"/>
      <c r="O78" s="70"/>
      <c r="P78" s="70"/>
      <c r="Q78" s="70"/>
      <c r="R78" s="70"/>
    </row>
    <row r="79" spans="1:20">
      <c r="A79" s="9" t="s">
        <v>290</v>
      </c>
      <c r="B79" s="9" t="s">
        <v>122</v>
      </c>
      <c r="C79" s="9"/>
      <c r="D79" s="315" t="s">
        <v>1808</v>
      </c>
      <c r="E79" s="4"/>
    </row>
    <row r="80" spans="1:20">
      <c r="A80" s="9" t="s">
        <v>290</v>
      </c>
      <c r="D80" s="600" t="s">
        <v>1812</v>
      </c>
    </row>
    <row r="81" spans="1:22">
      <c r="A81" s="9" t="s">
        <v>290</v>
      </c>
      <c r="B81" s="3" t="s">
        <v>181</v>
      </c>
      <c r="M81" s="59"/>
      <c r="N81" s="59"/>
      <c r="O81" s="59"/>
      <c r="P81" s="59"/>
      <c r="Q81" s="59"/>
      <c r="R81" s="60"/>
      <c r="S81" s="60"/>
      <c r="T81" s="60"/>
      <c r="U81" s="60"/>
      <c r="V81" s="60"/>
    </row>
    <row r="82" spans="1:22">
      <c r="A82" s="9" t="s">
        <v>290</v>
      </c>
      <c r="B82" s="3" t="s">
        <v>181</v>
      </c>
      <c r="D82" s="59" t="s">
        <v>1798</v>
      </c>
      <c r="E82" s="59" t="s">
        <v>1807</v>
      </c>
      <c r="F82" s="9" t="s">
        <v>1797</v>
      </c>
      <c r="G82" s="4"/>
      <c r="H82" s="4"/>
      <c r="I82" s="4"/>
      <c r="M82" s="4"/>
      <c r="O82" s="4"/>
      <c r="P82" s="4"/>
    </row>
    <row r="83" spans="1:22">
      <c r="A83" s="9" t="s">
        <v>290</v>
      </c>
      <c r="B83" s="9" t="s">
        <v>181</v>
      </c>
      <c r="C83" s="9"/>
      <c r="D83" t="s">
        <v>1809</v>
      </c>
      <c r="E83" s="615">
        <v>5.2999999999999999E-2</v>
      </c>
      <c r="F83" s="377">
        <v>0.05</v>
      </c>
      <c r="H83" s="4"/>
      <c r="M83" s="4"/>
      <c r="P83" s="4"/>
      <c r="S83" s="60"/>
      <c r="T83" s="60"/>
    </row>
    <row r="84" spans="1:22">
      <c r="A84" s="9" t="s">
        <v>290</v>
      </c>
      <c r="B84" s="9" t="s">
        <v>181</v>
      </c>
      <c r="C84" s="9"/>
      <c r="D84" t="s">
        <v>1799</v>
      </c>
      <c r="E84" s="615">
        <v>0.05</v>
      </c>
      <c r="F84" s="377">
        <v>3.4000000000000002E-2</v>
      </c>
      <c r="G84" s="4"/>
      <c r="H84" s="4"/>
      <c r="I84" s="4"/>
      <c r="M84" s="4"/>
      <c r="O84" s="4"/>
      <c r="P84" s="4"/>
      <c r="S84" s="60"/>
      <c r="U84" s="60"/>
    </row>
    <row r="85" spans="1:22">
      <c r="A85" s="9" t="s">
        <v>290</v>
      </c>
      <c r="B85" s="9" t="s">
        <v>181</v>
      </c>
      <c r="C85" s="9"/>
      <c r="D85" t="s">
        <v>1800</v>
      </c>
      <c r="E85" s="615">
        <v>3.6999999999999998E-2</v>
      </c>
      <c r="F85" s="377">
        <v>3.2000000000000001E-2</v>
      </c>
      <c r="G85" s="4"/>
      <c r="H85" s="4"/>
      <c r="I85" s="4"/>
      <c r="M85" s="4"/>
      <c r="N85" s="4"/>
      <c r="O85" s="4"/>
      <c r="P85" s="4"/>
      <c r="R85" s="60"/>
    </row>
    <row r="86" spans="1:22">
      <c r="A86" s="9" t="s">
        <v>290</v>
      </c>
      <c r="B86" s="9" t="s">
        <v>111</v>
      </c>
      <c r="C86" s="9"/>
      <c r="D86" t="s">
        <v>1801</v>
      </c>
      <c r="E86" s="615">
        <v>1.7000000000000001E-2</v>
      </c>
      <c r="F86" s="377">
        <v>2.1999999999999999E-2</v>
      </c>
      <c r="M86" s="4"/>
      <c r="O86" s="4"/>
      <c r="P86" s="4"/>
    </row>
    <row r="87" spans="1:22">
      <c r="A87" s="9" t="s">
        <v>290</v>
      </c>
      <c r="B87" s="9" t="s">
        <v>111</v>
      </c>
      <c r="C87" s="9"/>
      <c r="D87" t="s">
        <v>1802</v>
      </c>
      <c r="E87" s="615">
        <v>4.2000000000000003E-2</v>
      </c>
      <c r="F87" s="377">
        <v>5.6000000000000001E-2</v>
      </c>
      <c r="H87" s="60"/>
      <c r="M87" s="4"/>
      <c r="N87" s="4"/>
      <c r="O87" s="4"/>
      <c r="P87" s="4"/>
      <c r="R87" s="60"/>
    </row>
    <row r="88" spans="1:22">
      <c r="A88" s="9" t="s">
        <v>290</v>
      </c>
      <c r="B88" s="9" t="s">
        <v>111</v>
      </c>
      <c r="C88" s="9"/>
      <c r="D88" t="s">
        <v>1803</v>
      </c>
      <c r="E88" s="615">
        <v>0.18</v>
      </c>
      <c r="F88" s="377">
        <v>0.23200000000000001</v>
      </c>
      <c r="G88" s="60"/>
      <c r="M88" s="4"/>
      <c r="N88" s="4"/>
      <c r="O88" s="4"/>
      <c r="P88" s="4"/>
      <c r="R88" s="60"/>
    </row>
    <row r="89" spans="1:22">
      <c r="A89" s="9" t="s">
        <v>290</v>
      </c>
      <c r="B89" s="9" t="s">
        <v>111</v>
      </c>
      <c r="C89" s="9"/>
      <c r="D89" t="s">
        <v>1804</v>
      </c>
      <c r="E89" s="615">
        <v>0.54800000000000004</v>
      </c>
      <c r="F89" s="377">
        <v>0.53500000000000003</v>
      </c>
      <c r="M89" s="4"/>
      <c r="N89" s="4"/>
      <c r="O89" s="4"/>
      <c r="P89" s="4"/>
      <c r="R89" s="60"/>
    </row>
    <row r="90" spans="1:22">
      <c r="A90" s="9" t="s">
        <v>290</v>
      </c>
      <c r="B90" s="9" t="s">
        <v>111</v>
      </c>
      <c r="C90" s="9"/>
      <c r="D90" t="s">
        <v>1805</v>
      </c>
      <c r="E90" s="615">
        <v>7.2999999999999995E-2</v>
      </c>
      <c r="F90" s="377">
        <v>0.04</v>
      </c>
      <c r="G90" s="60"/>
      <c r="M90" s="4"/>
      <c r="N90" s="4"/>
      <c r="O90" s="4"/>
      <c r="P90" s="4"/>
      <c r="R90" s="60"/>
    </row>
    <row r="91" spans="1:22">
      <c r="A91" s="9" t="s">
        <v>290</v>
      </c>
      <c r="B91" s="9" t="s">
        <v>111</v>
      </c>
      <c r="C91" s="9"/>
      <c r="D91" s="60" t="s">
        <v>1806</v>
      </c>
      <c r="E91" s="616">
        <v>1</v>
      </c>
      <c r="F91" s="173">
        <v>1</v>
      </c>
      <c r="G91" s="60"/>
      <c r="H91" s="60"/>
      <c r="I91" s="60"/>
      <c r="L91" s="99"/>
      <c r="M91" s="4"/>
      <c r="N91" s="4"/>
      <c r="O91" s="4"/>
      <c r="P91" s="4"/>
      <c r="R91" s="60"/>
    </row>
    <row r="92" spans="1:22">
      <c r="A92" s="9" t="s">
        <v>290</v>
      </c>
      <c r="D92" s="60"/>
      <c r="F92" s="38"/>
      <c r="L92" s="96"/>
    </row>
    <row r="93" spans="1:22">
      <c r="A93" s="9" t="s">
        <v>290</v>
      </c>
      <c r="C93" s="9"/>
      <c r="S93" s="99"/>
    </row>
    <row r="94" spans="1:22" s="74" customFormat="1">
      <c r="A94" s="9" t="s">
        <v>290</v>
      </c>
      <c r="B94" s="3" t="s">
        <v>151</v>
      </c>
      <c r="J94" s="73"/>
      <c r="K94" s="73"/>
      <c r="L94" s="73"/>
      <c r="M94" s="73"/>
      <c r="N94" s="73"/>
      <c r="O94" s="73"/>
      <c r="P94" s="73"/>
    </row>
    <row r="95" spans="1:22">
      <c r="A95" s="9" t="s">
        <v>290</v>
      </c>
      <c r="B95" s="3" t="s">
        <v>151</v>
      </c>
    </row>
    <row r="96" spans="1:22">
      <c r="A96" s="9" t="s">
        <v>290</v>
      </c>
      <c r="B96" s="9" t="s">
        <v>151</v>
      </c>
    </row>
    <row r="97" spans="1:4">
      <c r="A97" s="9" t="s">
        <v>290</v>
      </c>
      <c r="B97" s="9" t="s">
        <v>151</v>
      </c>
    </row>
    <row r="98" spans="1:4">
      <c r="A98" s="9" t="s">
        <v>290</v>
      </c>
      <c r="B98" s="9" t="s">
        <v>151</v>
      </c>
    </row>
    <row r="99" spans="1:4">
      <c r="A99" s="9" t="s">
        <v>290</v>
      </c>
      <c r="B99" s="9" t="s">
        <v>151</v>
      </c>
    </row>
    <row r="100" spans="1:4">
      <c r="A100" s="9" t="s">
        <v>290</v>
      </c>
      <c r="B100" s="9" t="s">
        <v>151</v>
      </c>
    </row>
    <row r="101" spans="1:4">
      <c r="A101" s="9" t="s">
        <v>290</v>
      </c>
      <c r="B101" s="9" t="s">
        <v>151</v>
      </c>
    </row>
    <row r="102" spans="1:4">
      <c r="A102" s="9" t="s">
        <v>290</v>
      </c>
      <c r="B102" s="9" t="s">
        <v>151</v>
      </c>
    </row>
    <row r="103" spans="1:4">
      <c r="A103" s="9" t="s">
        <v>290</v>
      </c>
      <c r="B103" s="9" t="s">
        <v>151</v>
      </c>
    </row>
    <row r="104" spans="1:4">
      <c r="A104" s="9" t="s">
        <v>290</v>
      </c>
      <c r="B104" s="9" t="s">
        <v>151</v>
      </c>
    </row>
    <row r="105" spans="1:4">
      <c r="A105" s="9" t="s">
        <v>290</v>
      </c>
      <c r="B105" s="9" t="s">
        <v>151</v>
      </c>
    </row>
    <row r="106" spans="1:4">
      <c r="A106" s="9" t="s">
        <v>290</v>
      </c>
      <c r="B106" s="9" t="s">
        <v>151</v>
      </c>
    </row>
    <row r="107" spans="1:4">
      <c r="A107" s="9" t="s">
        <v>290</v>
      </c>
      <c r="B107" s="9" t="s">
        <v>151</v>
      </c>
    </row>
    <row r="108" spans="1:4">
      <c r="A108" s="9" t="s">
        <v>290</v>
      </c>
      <c r="B108" s="9" t="s">
        <v>151</v>
      </c>
    </row>
    <row r="109" spans="1:4">
      <c r="A109" s="9" t="s">
        <v>290</v>
      </c>
    </row>
    <row r="110" spans="1:4">
      <c r="A110" s="9" t="s">
        <v>290</v>
      </c>
    </row>
    <row r="111" spans="1:4">
      <c r="A111" s="9" t="s">
        <v>290</v>
      </c>
      <c r="B111" s="9" t="s">
        <v>124</v>
      </c>
      <c r="D111" s="315" t="s">
        <v>1783</v>
      </c>
    </row>
    <row r="112" spans="1:4">
      <c r="A112" s="9" t="s">
        <v>290</v>
      </c>
    </row>
  </sheetData>
  <autoFilter ref="A1:B94" xr:uid="{00000000-0009-0000-0000-000008000000}"/>
  <phoneticPr fontId="13" type="noConversion"/>
  <pageMargins left="0.7" right="0.7" top="0.75" bottom="0.75" header="0.3" footer="0.3"/>
  <pageSetup paperSize="9" orientation="portrait" r:id="rId1"/>
  <drawing r:id="rId2"/>
  <tableParts count="4">
    <tablePart r:id="rId3"/>
    <tablePart r:id="rId4"/>
    <tablePart r:id="rId5"/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S137"/>
  <sheetViews>
    <sheetView zoomScale="85" zoomScaleNormal="85" workbookViewId="0">
      <selection activeCell="D2" sqref="D2"/>
    </sheetView>
  </sheetViews>
  <sheetFormatPr defaultColWidth="10.625" defaultRowHeight="16.5"/>
  <cols>
    <col min="1" max="2" width="15.625" style="3" customWidth="1"/>
    <col min="3" max="3" width="1.625" style="3" customWidth="1"/>
    <col min="4" max="12" width="10.625" style="3"/>
    <col min="13" max="13" width="10.625" style="3" customWidth="1"/>
    <col min="14" max="16384" width="10.625" style="3"/>
  </cols>
  <sheetData>
    <row r="1" spans="1:19">
      <c r="A1" s="6" t="s">
        <v>149</v>
      </c>
      <c r="B1" s="7" t="s">
        <v>340</v>
      </c>
      <c r="C1" s="7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10"/>
      <c r="R1" s="10"/>
    </row>
    <row r="2" spans="1:19">
      <c r="A2" s="70" t="s">
        <v>1818</v>
      </c>
      <c r="B2" s="70" t="s">
        <v>119</v>
      </c>
      <c r="C2" s="70"/>
      <c r="D2" s="205" t="s">
        <v>1953</v>
      </c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</row>
    <row r="3" spans="1:19">
      <c r="A3" s="9" t="s">
        <v>1819</v>
      </c>
      <c r="B3" s="9" t="s">
        <v>122</v>
      </c>
      <c r="C3" s="9"/>
      <c r="D3" s="269" t="s">
        <v>1915</v>
      </c>
    </row>
    <row r="4" spans="1:19">
      <c r="A4" s="9" t="s">
        <v>1819</v>
      </c>
      <c r="B4" s="73"/>
      <c r="C4" s="73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</row>
    <row r="5" spans="1:19">
      <c r="A5" s="9" t="s">
        <v>1819</v>
      </c>
      <c r="B5" s="9" t="s">
        <v>176</v>
      </c>
      <c r="C5" s="9"/>
      <c r="D5" s="3" t="s">
        <v>164</v>
      </c>
      <c r="E5" s="60" t="s">
        <v>1824</v>
      </c>
      <c r="F5" s="60" t="s">
        <v>167</v>
      </c>
      <c r="G5" s="60" t="s">
        <v>168</v>
      </c>
      <c r="H5" s="60" t="s">
        <v>169</v>
      </c>
      <c r="I5" s="60" t="s">
        <v>170</v>
      </c>
      <c r="J5" s="60" t="s">
        <v>171</v>
      </c>
      <c r="K5" s="9" t="s">
        <v>173</v>
      </c>
      <c r="L5" s="9" t="s">
        <v>1793</v>
      </c>
    </row>
    <row r="6" spans="1:19">
      <c r="A6" s="9" t="s">
        <v>1819</v>
      </c>
      <c r="B6" s="9" t="s">
        <v>175</v>
      </c>
      <c r="C6" s="9"/>
      <c r="D6" s="3" t="s">
        <v>165</v>
      </c>
      <c r="E6" s="3">
        <v>4.2699999999999996</v>
      </c>
      <c r="F6" s="378">
        <v>5.1100000000000003</v>
      </c>
      <c r="G6" s="378">
        <v>6.12</v>
      </c>
      <c r="H6" s="378">
        <v>7.32</v>
      </c>
      <c r="I6" s="378">
        <v>8.77</v>
      </c>
      <c r="J6" s="378">
        <v>10.49</v>
      </c>
      <c r="K6" s="43">
        <v>19.7</v>
      </c>
      <c r="L6" s="369"/>
      <c r="M6" s="369"/>
      <c r="N6" s="43"/>
      <c r="O6" s="9"/>
    </row>
    <row r="7" spans="1:19">
      <c r="A7" s="9" t="s">
        <v>1819</v>
      </c>
      <c r="B7" s="74"/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</row>
    <row r="8" spans="1:19">
      <c r="A8" s="9" t="s">
        <v>1819</v>
      </c>
      <c r="B8" s="9" t="s">
        <v>174</v>
      </c>
      <c r="C8" s="9"/>
      <c r="S8" s="521"/>
    </row>
    <row r="9" spans="1:19">
      <c r="A9" s="9" t="s">
        <v>1819</v>
      </c>
      <c r="B9" s="9" t="s">
        <v>151</v>
      </c>
      <c r="C9" s="9"/>
    </row>
    <row r="10" spans="1:19">
      <c r="A10" s="9" t="s">
        <v>1819</v>
      </c>
      <c r="B10" s="9" t="s">
        <v>112</v>
      </c>
      <c r="C10" s="9"/>
    </row>
    <row r="11" spans="1:19">
      <c r="A11" s="9" t="s">
        <v>1819</v>
      </c>
      <c r="B11" s="9" t="s">
        <v>151</v>
      </c>
      <c r="C11" s="9"/>
    </row>
    <row r="12" spans="1:19">
      <c r="A12" s="9" t="s">
        <v>1819</v>
      </c>
      <c r="B12" s="9" t="s">
        <v>151</v>
      </c>
      <c r="C12" s="9"/>
    </row>
    <row r="13" spans="1:19">
      <c r="A13" s="9" t="s">
        <v>1819</v>
      </c>
      <c r="B13" s="9" t="s">
        <v>151</v>
      </c>
      <c r="C13" s="9"/>
    </row>
    <row r="14" spans="1:19">
      <c r="A14" s="9" t="s">
        <v>1819</v>
      </c>
      <c r="B14" s="9" t="s">
        <v>112</v>
      </c>
      <c r="C14" s="9"/>
    </row>
    <row r="15" spans="1:19">
      <c r="A15" s="9" t="s">
        <v>1819</v>
      </c>
      <c r="B15" s="9" t="s">
        <v>112</v>
      </c>
      <c r="C15" s="9"/>
    </row>
    <row r="16" spans="1:19">
      <c r="A16" s="9" t="s">
        <v>1819</v>
      </c>
      <c r="B16" s="9" t="s">
        <v>112</v>
      </c>
      <c r="C16" s="9"/>
    </row>
    <row r="17" spans="1:19">
      <c r="A17" s="9" t="s">
        <v>1819</v>
      </c>
      <c r="B17" s="9" t="s">
        <v>112</v>
      </c>
      <c r="C17" s="9"/>
    </row>
    <row r="18" spans="1:19">
      <c r="A18" s="9" t="s">
        <v>1819</v>
      </c>
      <c r="B18" s="9" t="s">
        <v>151</v>
      </c>
      <c r="C18" s="9"/>
    </row>
    <row r="19" spans="1:19">
      <c r="A19" s="9" t="s">
        <v>1819</v>
      </c>
      <c r="B19" s="9" t="s">
        <v>112</v>
      </c>
      <c r="C19" s="9"/>
    </row>
    <row r="20" spans="1:19">
      <c r="A20" s="9" t="s">
        <v>1819</v>
      </c>
      <c r="B20" s="9" t="s">
        <v>151</v>
      </c>
      <c r="C20" s="9"/>
    </row>
    <row r="21" spans="1:19">
      <c r="A21" s="9" t="s">
        <v>1819</v>
      </c>
      <c r="B21" s="9" t="s">
        <v>151</v>
      </c>
      <c r="C21" s="9"/>
    </row>
    <row r="22" spans="1:19">
      <c r="A22" s="9" t="s">
        <v>1819</v>
      </c>
      <c r="B22" s="9" t="s">
        <v>151</v>
      </c>
      <c r="C22" s="9"/>
    </row>
    <row r="23" spans="1:19">
      <c r="A23" s="9" t="s">
        <v>1819</v>
      </c>
      <c r="B23" s="9"/>
      <c r="C23" s="9"/>
    </row>
    <row r="24" spans="1:19">
      <c r="A24" s="9" t="s">
        <v>1819</v>
      </c>
      <c r="B24" s="9" t="s">
        <v>124</v>
      </c>
      <c r="C24" s="9"/>
      <c r="D24" s="269" t="s">
        <v>1832</v>
      </c>
    </row>
    <row r="25" spans="1:19" s="74" customFormat="1">
      <c r="A25" s="9" t="s">
        <v>1819</v>
      </c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73"/>
      <c r="P25" s="73"/>
    </row>
    <row r="26" spans="1:19">
      <c r="A26" s="70" t="s">
        <v>1822</v>
      </c>
      <c r="B26" s="70" t="s">
        <v>119</v>
      </c>
      <c r="C26" s="70"/>
      <c r="D26" s="205" t="s">
        <v>1825</v>
      </c>
      <c r="E26" s="70"/>
      <c r="F26" s="70"/>
      <c r="G26" s="70"/>
      <c r="H26" s="70"/>
      <c r="I26" s="70"/>
      <c r="J26" s="70"/>
      <c r="K26" s="70"/>
      <c r="L26" s="70"/>
      <c r="M26" s="70"/>
      <c r="N26" s="70"/>
      <c r="O26" s="70"/>
      <c r="P26" s="70"/>
      <c r="Q26" s="70"/>
      <c r="R26" s="70"/>
    </row>
    <row r="27" spans="1:19">
      <c r="A27" s="9" t="s">
        <v>1823</v>
      </c>
      <c r="B27" s="9" t="s">
        <v>122</v>
      </c>
      <c r="C27" s="9"/>
      <c r="D27" s="315" t="s">
        <v>1845</v>
      </c>
    </row>
    <row r="28" spans="1:19">
      <c r="A28" s="9" t="s">
        <v>1823</v>
      </c>
      <c r="B28" s="9"/>
      <c r="C28" s="9"/>
    </row>
    <row r="29" spans="1:19">
      <c r="A29" s="9" t="s">
        <v>1823</v>
      </c>
      <c r="B29" s="9" t="s">
        <v>175</v>
      </c>
      <c r="C29" s="9"/>
      <c r="D29" s="3" t="s">
        <v>164</v>
      </c>
      <c r="E29" s="60" t="s">
        <v>1824</v>
      </c>
      <c r="F29" s="60" t="s">
        <v>167</v>
      </c>
      <c r="G29" s="60" t="s">
        <v>168</v>
      </c>
      <c r="H29" s="60" t="s">
        <v>169</v>
      </c>
      <c r="I29" s="60" t="s">
        <v>170</v>
      </c>
      <c r="J29" s="60" t="s">
        <v>171</v>
      </c>
      <c r="K29" s="9" t="s">
        <v>172</v>
      </c>
      <c r="L29" s="9" t="s">
        <v>1793</v>
      </c>
      <c r="O29" s="9"/>
      <c r="R29" s="370"/>
      <c r="S29" s="521"/>
    </row>
    <row r="30" spans="1:19">
      <c r="A30" s="9" t="s">
        <v>1823</v>
      </c>
      <c r="B30" s="9" t="s">
        <v>176</v>
      </c>
      <c r="C30" s="9"/>
      <c r="D30" s="60" t="s">
        <v>1826</v>
      </c>
      <c r="E30" s="617">
        <v>0.26</v>
      </c>
      <c r="F30" s="617">
        <v>0.3</v>
      </c>
      <c r="G30" s="617">
        <v>0.36</v>
      </c>
      <c r="H30" s="617">
        <v>0.43</v>
      </c>
      <c r="I30" s="617">
        <v>0.51</v>
      </c>
      <c r="J30" s="617">
        <v>0.61</v>
      </c>
      <c r="K30" s="43">
        <v>19</v>
      </c>
      <c r="L30" s="9"/>
      <c r="M30" s="371"/>
      <c r="N30" s="371"/>
      <c r="O30" s="9"/>
      <c r="P30" s="47"/>
      <c r="R30" s="370"/>
    </row>
    <row r="31" spans="1:19">
      <c r="A31" s="9" t="s">
        <v>1823</v>
      </c>
      <c r="B31" s="9" t="s">
        <v>175</v>
      </c>
      <c r="C31" s="9"/>
      <c r="D31" s="60" t="s">
        <v>1827</v>
      </c>
      <c r="E31" s="382">
        <v>0.34</v>
      </c>
      <c r="F31" s="382">
        <v>0.4</v>
      </c>
      <c r="G31" s="618">
        <v>0.48</v>
      </c>
      <c r="H31" s="382">
        <v>0.56000000000000005</v>
      </c>
      <c r="I31" s="382">
        <v>0.66</v>
      </c>
      <c r="J31" s="382">
        <v>0.78</v>
      </c>
      <c r="K31" s="43">
        <v>18</v>
      </c>
      <c r="L31" s="9"/>
      <c r="M31" s="372"/>
      <c r="N31" s="372"/>
      <c r="O31" s="9"/>
      <c r="P31" s="47"/>
      <c r="R31" s="370"/>
    </row>
    <row r="32" spans="1:19">
      <c r="A32" s="9" t="s">
        <v>1823</v>
      </c>
      <c r="B32" s="9" t="s">
        <v>175</v>
      </c>
      <c r="C32" s="9"/>
      <c r="D32" s="60" t="s">
        <v>1828</v>
      </c>
      <c r="E32" s="617">
        <v>0.6</v>
      </c>
      <c r="F32" s="617">
        <v>0.7</v>
      </c>
      <c r="G32" s="617">
        <v>0.82</v>
      </c>
      <c r="H32" s="617">
        <v>0.96</v>
      </c>
      <c r="I32" s="617">
        <v>1.1200000000000001</v>
      </c>
      <c r="J32" s="617">
        <v>1.31</v>
      </c>
      <c r="K32" s="43">
        <v>17</v>
      </c>
      <c r="L32" s="9"/>
      <c r="M32" s="371"/>
      <c r="N32" s="371"/>
      <c r="O32" s="9"/>
      <c r="P32" s="47"/>
      <c r="R32" s="370"/>
    </row>
    <row r="33" spans="1:18">
      <c r="A33" s="9" t="s">
        <v>1823</v>
      </c>
      <c r="B33" s="9" t="s">
        <v>177</v>
      </c>
      <c r="C33" s="9"/>
      <c r="D33" s="9" t="s">
        <v>1831</v>
      </c>
      <c r="E33" s="617">
        <v>0.64</v>
      </c>
      <c r="F33" s="617">
        <v>0.76</v>
      </c>
      <c r="G33" s="617">
        <v>0.89</v>
      </c>
      <c r="H33" s="617">
        <v>1.05</v>
      </c>
      <c r="I33" s="617">
        <v>1.24</v>
      </c>
      <c r="J33" s="617">
        <v>1.47</v>
      </c>
      <c r="K33" s="43">
        <v>18</v>
      </c>
      <c r="L33" s="9"/>
      <c r="M33" s="371"/>
      <c r="N33" s="615"/>
      <c r="O33" s="9"/>
      <c r="P33" s="47"/>
      <c r="R33" s="370"/>
    </row>
    <row r="34" spans="1:18">
      <c r="A34" s="9" t="s">
        <v>1823</v>
      </c>
      <c r="B34" s="9" t="s">
        <v>175</v>
      </c>
      <c r="D34" s="9" t="s">
        <v>1829</v>
      </c>
      <c r="E34" s="378">
        <v>1.1100000000000001</v>
      </c>
      <c r="F34" s="378">
        <v>1.36</v>
      </c>
      <c r="G34" s="378">
        <v>1.66</v>
      </c>
      <c r="H34" s="378">
        <v>2.0299999999999998</v>
      </c>
      <c r="I34" s="378">
        <v>2.48</v>
      </c>
      <c r="J34" s="378">
        <v>3.03</v>
      </c>
      <c r="K34" s="43">
        <v>22.2</v>
      </c>
      <c r="L34" s="9"/>
      <c r="M34" s="371"/>
      <c r="N34" s="615"/>
      <c r="O34" s="9"/>
      <c r="P34" s="47"/>
      <c r="R34" s="370"/>
    </row>
    <row r="35" spans="1:18">
      <c r="A35" s="9" t="s">
        <v>1823</v>
      </c>
      <c r="B35" s="9" t="s">
        <v>175</v>
      </c>
      <c r="C35" s="9"/>
      <c r="D35" s="9" t="s">
        <v>1830</v>
      </c>
      <c r="E35" s="9">
        <v>1.32</v>
      </c>
      <c r="F35" s="9">
        <v>1.59</v>
      </c>
      <c r="G35" s="9">
        <v>1.91</v>
      </c>
      <c r="H35" s="9">
        <v>2.29</v>
      </c>
      <c r="I35" s="9">
        <v>2.74</v>
      </c>
      <c r="J35" s="9">
        <v>3.29</v>
      </c>
      <c r="K35" s="43">
        <v>20</v>
      </c>
      <c r="L35" s="9"/>
    </row>
    <row r="36" spans="1:18">
      <c r="A36" s="9" t="s">
        <v>1820</v>
      </c>
      <c r="B36" s="9"/>
      <c r="C36" s="9"/>
      <c r="D36" s="9"/>
      <c r="E36" s="9"/>
      <c r="F36" s="9"/>
      <c r="G36" s="9"/>
      <c r="H36" s="9"/>
      <c r="I36" s="9"/>
      <c r="J36" s="9"/>
      <c r="K36" s="43"/>
    </row>
    <row r="37" spans="1:18">
      <c r="A37" s="9" t="s">
        <v>1823</v>
      </c>
      <c r="B37" s="9" t="s">
        <v>151</v>
      </c>
      <c r="C37" s="9"/>
    </row>
    <row r="38" spans="1:18">
      <c r="A38" s="9" t="s">
        <v>1823</v>
      </c>
      <c r="B38" s="9" t="s">
        <v>112</v>
      </c>
      <c r="C38" s="9"/>
    </row>
    <row r="39" spans="1:18">
      <c r="A39" s="9" t="s">
        <v>1823</v>
      </c>
      <c r="B39" s="9" t="s">
        <v>151</v>
      </c>
      <c r="C39" s="9"/>
    </row>
    <row r="40" spans="1:18">
      <c r="A40" s="9" t="s">
        <v>1823</v>
      </c>
      <c r="B40" s="9" t="s">
        <v>151</v>
      </c>
      <c r="C40" s="9"/>
    </row>
    <row r="41" spans="1:18">
      <c r="A41" s="9" t="s">
        <v>1823</v>
      </c>
      <c r="B41" s="9" t="s">
        <v>151</v>
      </c>
      <c r="C41" s="9"/>
    </row>
    <row r="42" spans="1:18">
      <c r="A42" s="9" t="s">
        <v>1823</v>
      </c>
      <c r="B42" s="9" t="s">
        <v>112</v>
      </c>
      <c r="C42" s="9"/>
    </row>
    <row r="43" spans="1:18">
      <c r="A43" s="9" t="s">
        <v>1823</v>
      </c>
      <c r="B43" s="9" t="s">
        <v>112</v>
      </c>
      <c r="C43" s="9"/>
    </row>
    <row r="44" spans="1:18">
      <c r="A44" s="9" t="s">
        <v>1823</v>
      </c>
      <c r="B44" s="9" t="s">
        <v>112</v>
      </c>
      <c r="C44" s="9"/>
    </row>
    <row r="45" spans="1:18">
      <c r="A45" s="9" t="s">
        <v>1823</v>
      </c>
      <c r="B45" s="9" t="s">
        <v>112</v>
      </c>
      <c r="C45" s="9"/>
    </row>
    <row r="46" spans="1:18">
      <c r="A46" s="9" t="s">
        <v>1823</v>
      </c>
      <c r="B46" s="9" t="s">
        <v>151</v>
      </c>
      <c r="C46" s="9"/>
    </row>
    <row r="47" spans="1:18">
      <c r="A47" s="9" t="s">
        <v>1823</v>
      </c>
      <c r="B47" s="9" t="s">
        <v>112</v>
      </c>
      <c r="C47" s="9"/>
    </row>
    <row r="48" spans="1:18">
      <c r="A48" s="9" t="s">
        <v>1823</v>
      </c>
      <c r="B48" s="9" t="s">
        <v>151</v>
      </c>
      <c r="C48" s="9"/>
    </row>
    <row r="49" spans="1:19">
      <c r="A49" s="9" t="s">
        <v>1823</v>
      </c>
      <c r="B49" s="9" t="s">
        <v>151</v>
      </c>
      <c r="C49" s="9"/>
    </row>
    <row r="50" spans="1:19">
      <c r="A50" s="9" t="s">
        <v>1823</v>
      </c>
      <c r="B50" s="9" t="s">
        <v>151</v>
      </c>
      <c r="C50" s="9"/>
    </row>
    <row r="51" spans="1:19">
      <c r="A51" s="9" t="s">
        <v>1823</v>
      </c>
      <c r="B51" s="9"/>
      <c r="C51" s="9"/>
    </row>
    <row r="52" spans="1:19">
      <c r="A52" s="9" t="s">
        <v>1823</v>
      </c>
      <c r="B52" s="9" t="s">
        <v>124</v>
      </c>
      <c r="C52" s="9"/>
      <c r="D52" s="269" t="s">
        <v>1832</v>
      </c>
    </row>
    <row r="53" spans="1:19" s="74" customFormat="1">
      <c r="A53" s="9" t="s">
        <v>1823</v>
      </c>
      <c r="D53" s="73"/>
      <c r="E53" s="73"/>
      <c r="F53" s="73"/>
      <c r="G53" s="73"/>
      <c r="H53" s="73"/>
      <c r="I53" s="73"/>
      <c r="J53" s="73"/>
      <c r="K53" s="73"/>
      <c r="L53" s="73"/>
      <c r="M53" s="73"/>
      <c r="N53" s="73"/>
      <c r="O53" s="73"/>
      <c r="P53" s="73"/>
    </row>
    <row r="54" spans="1:19">
      <c r="A54" s="70" t="s">
        <v>1834</v>
      </c>
      <c r="B54" s="70" t="s">
        <v>119</v>
      </c>
      <c r="C54" s="70"/>
      <c r="D54" s="314" t="s">
        <v>1833</v>
      </c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  <c r="R54" s="70"/>
    </row>
    <row r="55" spans="1:19">
      <c r="A55" s="9" t="s">
        <v>1835</v>
      </c>
      <c r="B55" s="9" t="s">
        <v>122</v>
      </c>
      <c r="C55" s="9"/>
      <c r="D55" s="315" t="s">
        <v>1846</v>
      </c>
    </row>
    <row r="56" spans="1:19">
      <c r="A56" s="9" t="s">
        <v>1835</v>
      </c>
      <c r="B56" s="9"/>
      <c r="C56" s="9"/>
    </row>
    <row r="57" spans="1:19">
      <c r="A57" s="9" t="s">
        <v>1835</v>
      </c>
      <c r="B57" s="9" t="s">
        <v>175</v>
      </c>
      <c r="C57" s="9"/>
      <c r="D57" s="3" t="s">
        <v>164</v>
      </c>
      <c r="E57" s="60" t="s">
        <v>1824</v>
      </c>
      <c r="F57" s="60" t="s">
        <v>167</v>
      </c>
      <c r="G57" s="60" t="s">
        <v>168</v>
      </c>
      <c r="H57" s="60" t="s">
        <v>169</v>
      </c>
      <c r="I57" s="60" t="s">
        <v>170</v>
      </c>
      <c r="J57" s="60" t="s">
        <v>171</v>
      </c>
      <c r="K57" s="9" t="s">
        <v>172</v>
      </c>
      <c r="M57" s="60" t="s">
        <v>1836</v>
      </c>
      <c r="N57" s="9"/>
    </row>
    <row r="58" spans="1:19">
      <c r="A58" s="9" t="s">
        <v>1835</v>
      </c>
      <c r="B58" s="9" t="s">
        <v>176</v>
      </c>
      <c r="C58" s="9"/>
      <c r="D58" s="60" t="s">
        <v>1837</v>
      </c>
      <c r="E58" s="617">
        <v>0.34</v>
      </c>
      <c r="F58" s="617">
        <v>0.4</v>
      </c>
      <c r="G58" s="617">
        <v>0.46</v>
      </c>
      <c r="H58" s="617">
        <v>0.53</v>
      </c>
      <c r="I58" s="617">
        <v>0.62</v>
      </c>
      <c r="J58" s="617">
        <v>0.72</v>
      </c>
      <c r="K58" s="619">
        <v>16</v>
      </c>
      <c r="L58" s="371"/>
      <c r="M58" s="371"/>
      <c r="N58" s="43"/>
      <c r="S58" s="521"/>
    </row>
    <row r="59" spans="1:19">
      <c r="A59" s="9" t="s">
        <v>1835</v>
      </c>
      <c r="B59" s="9" t="s">
        <v>175</v>
      </c>
      <c r="C59" s="9"/>
      <c r="D59" s="60" t="s">
        <v>1838</v>
      </c>
      <c r="E59" s="617">
        <v>0.51</v>
      </c>
      <c r="F59" s="617">
        <v>0.61</v>
      </c>
      <c r="G59" s="620">
        <v>0.74</v>
      </c>
      <c r="H59" s="617">
        <v>0.89</v>
      </c>
      <c r="I59" s="617">
        <v>1.06</v>
      </c>
      <c r="J59" s="617">
        <v>1.28</v>
      </c>
      <c r="K59" s="619">
        <v>20</v>
      </c>
      <c r="L59" s="371"/>
      <c r="M59" s="371"/>
      <c r="N59" s="43"/>
      <c r="P59" s="47"/>
    </row>
    <row r="60" spans="1:19">
      <c r="A60" s="9" t="s">
        <v>1835</v>
      </c>
      <c r="B60" s="9" t="s">
        <v>175</v>
      </c>
      <c r="C60" s="9"/>
      <c r="D60" s="60" t="s">
        <v>1839</v>
      </c>
      <c r="E60" s="617">
        <v>0.6</v>
      </c>
      <c r="F60" s="617">
        <v>0.69</v>
      </c>
      <c r="G60" s="617">
        <v>0.8</v>
      </c>
      <c r="H60" s="617">
        <v>0.93</v>
      </c>
      <c r="I60" s="617">
        <v>1.08</v>
      </c>
      <c r="J60" s="617">
        <v>1.26</v>
      </c>
      <c r="K60" s="619">
        <v>16</v>
      </c>
      <c r="L60" s="371"/>
      <c r="M60" s="371"/>
      <c r="N60" s="43"/>
      <c r="P60" s="47"/>
    </row>
    <row r="61" spans="1:19">
      <c r="A61" s="9" t="s">
        <v>1835</v>
      </c>
      <c r="B61" s="9" t="s">
        <v>175</v>
      </c>
      <c r="C61" s="9"/>
      <c r="D61" s="9" t="s">
        <v>1840</v>
      </c>
      <c r="E61" s="617">
        <v>0.73</v>
      </c>
      <c r="F61" s="617">
        <v>0.85</v>
      </c>
      <c r="G61" s="617">
        <v>0.99</v>
      </c>
      <c r="H61" s="617">
        <v>1.1599999999999999</v>
      </c>
      <c r="I61" s="617">
        <v>1.36</v>
      </c>
      <c r="J61" s="617">
        <v>1.59</v>
      </c>
      <c r="K61" s="619">
        <v>17</v>
      </c>
      <c r="L61" s="371"/>
      <c r="M61" s="371"/>
      <c r="N61" s="43"/>
    </row>
    <row r="62" spans="1:19">
      <c r="A62" s="9" t="s">
        <v>1835</v>
      </c>
      <c r="B62" s="9" t="s">
        <v>175</v>
      </c>
      <c r="D62" s="9" t="s">
        <v>1841</v>
      </c>
      <c r="E62" s="617">
        <v>0.94</v>
      </c>
      <c r="F62" s="617">
        <v>1.17</v>
      </c>
      <c r="G62" s="617">
        <v>1.45</v>
      </c>
      <c r="H62" s="617">
        <v>1.81</v>
      </c>
      <c r="I62" s="617">
        <v>2.25</v>
      </c>
      <c r="J62" s="617">
        <v>2.8</v>
      </c>
      <c r="K62" s="619">
        <v>24.4</v>
      </c>
      <c r="L62" s="371"/>
      <c r="M62" s="371"/>
      <c r="N62" s="43"/>
    </row>
    <row r="63" spans="1:19">
      <c r="A63" s="9" t="s">
        <v>1835</v>
      </c>
      <c r="B63" s="9" t="s">
        <v>175</v>
      </c>
      <c r="D63" s="9" t="s">
        <v>1842</v>
      </c>
      <c r="E63" s="619">
        <v>1.1499999999999999</v>
      </c>
      <c r="F63" s="619">
        <v>1.38</v>
      </c>
      <c r="G63" s="619">
        <v>1.66</v>
      </c>
      <c r="H63" s="619">
        <v>1.99</v>
      </c>
      <c r="I63" s="619">
        <v>2.39</v>
      </c>
      <c r="J63" s="619">
        <v>2.87</v>
      </c>
      <c r="K63" s="619">
        <v>20</v>
      </c>
      <c r="L63" s="371"/>
      <c r="M63" s="615"/>
      <c r="N63" s="43"/>
    </row>
    <row r="64" spans="1:19">
      <c r="A64" s="9" t="s">
        <v>1835</v>
      </c>
      <c r="B64" s="9"/>
      <c r="C64" s="9"/>
      <c r="D64" s="9"/>
      <c r="E64" s="619"/>
      <c r="F64" s="619"/>
      <c r="G64" s="619"/>
      <c r="H64" s="619"/>
      <c r="I64" s="619"/>
      <c r="J64" s="619"/>
      <c r="K64" s="619"/>
      <c r="L64" s="371"/>
      <c r="M64" s="371"/>
      <c r="N64" s="43"/>
    </row>
    <row r="65" spans="1:16">
      <c r="A65" s="9" t="s">
        <v>1835</v>
      </c>
      <c r="B65" s="9"/>
      <c r="C65" s="9"/>
      <c r="D65" s="9"/>
      <c r="E65" s="371"/>
      <c r="F65" s="371"/>
      <c r="G65" s="371"/>
      <c r="H65" s="371"/>
      <c r="I65" s="371"/>
      <c r="J65" s="371"/>
      <c r="K65" s="371"/>
      <c r="L65" s="371"/>
      <c r="M65" s="371"/>
      <c r="N65" s="43"/>
    </row>
    <row r="66" spans="1:16">
      <c r="A66" s="9" t="s">
        <v>1835</v>
      </c>
      <c r="B66" s="9" t="s">
        <v>178</v>
      </c>
      <c r="C66" s="9"/>
      <c r="D66" s="9"/>
      <c r="E66" s="9"/>
      <c r="F66" s="9"/>
      <c r="G66" s="9"/>
      <c r="H66" s="9"/>
      <c r="I66" s="9"/>
      <c r="J66" s="9"/>
      <c r="K66" s="9"/>
      <c r="L66" s="173"/>
      <c r="M66" s="9"/>
      <c r="N66" s="9"/>
    </row>
    <row r="67" spans="1:16">
      <c r="A67" s="9" t="s">
        <v>1835</v>
      </c>
      <c r="B67" s="9" t="s">
        <v>112</v>
      </c>
      <c r="C67" s="9"/>
    </row>
    <row r="68" spans="1:16">
      <c r="A68" s="9" t="s">
        <v>1835</v>
      </c>
      <c r="B68" s="9" t="s">
        <v>179</v>
      </c>
      <c r="C68" s="9"/>
    </row>
    <row r="69" spans="1:16">
      <c r="A69" s="9" t="s">
        <v>1835</v>
      </c>
      <c r="B69" s="9" t="s">
        <v>178</v>
      </c>
      <c r="C69" s="9"/>
    </row>
    <row r="70" spans="1:16">
      <c r="A70" s="9" t="s">
        <v>1835</v>
      </c>
      <c r="B70" s="9" t="s">
        <v>112</v>
      </c>
      <c r="C70" s="9"/>
    </row>
    <row r="71" spans="1:16">
      <c r="A71" s="9" t="s">
        <v>1835</v>
      </c>
      <c r="B71" s="9" t="s">
        <v>112</v>
      </c>
      <c r="C71" s="9"/>
    </row>
    <row r="72" spans="1:16">
      <c r="A72" s="9" t="s">
        <v>1835</v>
      </c>
      <c r="B72" s="9" t="s">
        <v>112</v>
      </c>
      <c r="C72" s="9"/>
    </row>
    <row r="73" spans="1:16">
      <c r="A73" s="9" t="s">
        <v>1835</v>
      </c>
      <c r="B73" s="9" t="s">
        <v>112</v>
      </c>
      <c r="C73" s="9"/>
    </row>
    <row r="74" spans="1:16">
      <c r="A74" s="9" t="s">
        <v>1835</v>
      </c>
      <c r="B74" s="9" t="s">
        <v>178</v>
      </c>
      <c r="C74" s="9"/>
    </row>
    <row r="75" spans="1:16">
      <c r="A75" s="9" t="s">
        <v>1835</v>
      </c>
      <c r="B75" s="9" t="s">
        <v>178</v>
      </c>
      <c r="C75" s="9"/>
    </row>
    <row r="76" spans="1:16">
      <c r="A76" s="9" t="s">
        <v>1835</v>
      </c>
      <c r="B76" s="9" t="s">
        <v>178</v>
      </c>
      <c r="C76" s="9"/>
    </row>
    <row r="77" spans="1:16">
      <c r="A77" s="9" t="s">
        <v>1835</v>
      </c>
      <c r="B77" s="9" t="s">
        <v>178</v>
      </c>
      <c r="C77" s="9"/>
    </row>
    <row r="78" spans="1:16">
      <c r="A78" s="9" t="s">
        <v>1835</v>
      </c>
      <c r="B78" s="9"/>
      <c r="C78" s="9"/>
    </row>
    <row r="79" spans="1:16">
      <c r="A79" s="9" t="s">
        <v>1835</v>
      </c>
      <c r="B79" s="9" t="s">
        <v>124</v>
      </c>
      <c r="C79" s="9"/>
      <c r="D79" s="269" t="s">
        <v>1832</v>
      </c>
    </row>
    <row r="80" spans="1:16" s="74" customFormat="1">
      <c r="A80" s="9" t="s">
        <v>1835</v>
      </c>
      <c r="D80" s="269"/>
      <c r="E80" s="73"/>
      <c r="F80" s="73"/>
      <c r="G80" s="73"/>
      <c r="H80" s="73"/>
      <c r="I80" s="73"/>
      <c r="J80" s="73"/>
      <c r="K80" s="73"/>
      <c r="L80" s="73"/>
      <c r="M80" s="73"/>
      <c r="N80" s="73"/>
      <c r="O80" s="73"/>
      <c r="P80" s="73"/>
    </row>
    <row r="81" spans="1:19">
      <c r="A81" s="70" t="s">
        <v>1843</v>
      </c>
      <c r="B81" s="70" t="s">
        <v>119</v>
      </c>
      <c r="C81" s="70"/>
      <c r="D81" s="314" t="s">
        <v>1847</v>
      </c>
      <c r="E81" s="70"/>
      <c r="F81" s="70"/>
      <c r="G81" s="70"/>
      <c r="H81" s="70"/>
      <c r="I81" s="70"/>
      <c r="J81" s="70"/>
      <c r="K81" s="70"/>
      <c r="L81" s="70"/>
      <c r="M81" s="70"/>
      <c r="N81" s="70"/>
      <c r="O81" s="70"/>
      <c r="P81" s="70"/>
      <c r="Q81" s="70"/>
      <c r="R81" s="70"/>
    </row>
    <row r="82" spans="1:19">
      <c r="A82" s="9" t="s">
        <v>1844</v>
      </c>
      <c r="B82" s="9" t="s">
        <v>122</v>
      </c>
      <c r="C82" s="9"/>
      <c r="D82" s="59" t="s">
        <v>1858</v>
      </c>
    </row>
    <row r="83" spans="1:19">
      <c r="A83" s="9" t="s">
        <v>1844</v>
      </c>
    </row>
    <row r="84" spans="1:19">
      <c r="A84" s="9" t="s">
        <v>1844</v>
      </c>
      <c r="B84" s="9" t="s">
        <v>175</v>
      </c>
      <c r="C84" s="9"/>
      <c r="D84" s="3" t="s">
        <v>164</v>
      </c>
      <c r="E84" s="60" t="s">
        <v>1824</v>
      </c>
      <c r="F84" s="60" t="s">
        <v>167</v>
      </c>
      <c r="G84" s="60" t="s">
        <v>168</v>
      </c>
      <c r="H84" s="60" t="s">
        <v>169</v>
      </c>
      <c r="I84" s="60" t="s">
        <v>170</v>
      </c>
      <c r="J84" s="60" t="s">
        <v>171</v>
      </c>
      <c r="K84" s="9" t="s">
        <v>172</v>
      </c>
      <c r="N84" s="9"/>
      <c r="O84" s="9" t="s">
        <v>1848</v>
      </c>
      <c r="S84" s="521"/>
    </row>
    <row r="85" spans="1:19">
      <c r="A85" s="9" t="s">
        <v>1844</v>
      </c>
      <c r="B85" s="9" t="s">
        <v>176</v>
      </c>
      <c r="C85" s="9"/>
      <c r="D85" s="60" t="s">
        <v>1849</v>
      </c>
      <c r="E85" s="617">
        <v>0.38</v>
      </c>
      <c r="F85" s="617">
        <v>0.46</v>
      </c>
      <c r="G85" s="617">
        <v>0.55000000000000004</v>
      </c>
      <c r="H85" s="617">
        <v>0.66</v>
      </c>
      <c r="I85" s="617">
        <v>0.79</v>
      </c>
      <c r="J85" s="617">
        <v>0.95</v>
      </c>
      <c r="K85" s="376">
        <v>19.899999999999999</v>
      </c>
      <c r="L85" s="374"/>
      <c r="M85" s="374"/>
      <c r="N85" s="43"/>
      <c r="O85" s="9"/>
    </row>
    <row r="86" spans="1:19">
      <c r="A86" s="9" t="s">
        <v>1844</v>
      </c>
      <c r="B86" s="9" t="s">
        <v>175</v>
      </c>
      <c r="C86" s="9"/>
      <c r="D86" s="60" t="s">
        <v>1850</v>
      </c>
      <c r="E86" s="617">
        <v>0.43</v>
      </c>
      <c r="F86" s="617">
        <v>0.49</v>
      </c>
      <c r="G86" s="620">
        <v>0.56999999999999995</v>
      </c>
      <c r="H86" s="617">
        <v>0.66</v>
      </c>
      <c r="I86" s="617">
        <v>0.79</v>
      </c>
      <c r="J86" s="617">
        <v>0.87</v>
      </c>
      <c r="K86" s="376">
        <v>15.4</v>
      </c>
      <c r="L86" s="374"/>
      <c r="M86" s="374"/>
      <c r="N86" s="43"/>
      <c r="O86" s="9"/>
    </row>
    <row r="87" spans="1:19">
      <c r="A87" s="9" t="s">
        <v>1844</v>
      </c>
      <c r="B87" s="9" t="s">
        <v>175</v>
      </c>
      <c r="C87" s="9"/>
      <c r="D87" s="60" t="s">
        <v>1851</v>
      </c>
      <c r="E87" s="617">
        <v>0.3</v>
      </c>
      <c r="F87" s="617">
        <v>0.33</v>
      </c>
      <c r="G87" s="617">
        <v>0.37</v>
      </c>
      <c r="H87" s="617">
        <v>0.42</v>
      </c>
      <c r="I87" s="617">
        <v>0.46</v>
      </c>
      <c r="J87" s="617">
        <v>0.52</v>
      </c>
      <c r="K87" s="376">
        <v>11.6</v>
      </c>
      <c r="L87" s="374"/>
      <c r="M87" s="374"/>
      <c r="N87" s="43"/>
      <c r="O87" s="9"/>
    </row>
    <row r="88" spans="1:19">
      <c r="A88" s="9" t="s">
        <v>1844</v>
      </c>
      <c r="B88" s="9" t="s">
        <v>177</v>
      </c>
      <c r="C88" s="9"/>
      <c r="D88" s="9" t="s">
        <v>1852</v>
      </c>
      <c r="E88" s="617">
        <v>0.64</v>
      </c>
      <c r="F88" s="617">
        <v>0.75</v>
      </c>
      <c r="G88" s="617">
        <v>0.88</v>
      </c>
      <c r="H88" s="617">
        <v>1.03</v>
      </c>
      <c r="I88" s="617">
        <v>1.2</v>
      </c>
      <c r="J88" s="617">
        <v>1.41</v>
      </c>
      <c r="K88" s="376">
        <v>17.100000000000001</v>
      </c>
      <c r="L88" s="374"/>
      <c r="M88" s="374"/>
      <c r="N88" s="43"/>
      <c r="O88" s="9"/>
    </row>
    <row r="89" spans="1:19">
      <c r="A89" s="9" t="s">
        <v>1844</v>
      </c>
      <c r="B89" s="9" t="s">
        <v>177</v>
      </c>
      <c r="C89" s="9"/>
      <c r="D89" s="9" t="s">
        <v>1853</v>
      </c>
      <c r="E89" s="617">
        <v>1.2</v>
      </c>
      <c r="F89" s="617">
        <v>1.44</v>
      </c>
      <c r="G89" s="617">
        <v>1.73</v>
      </c>
      <c r="H89" s="617">
        <v>2.08</v>
      </c>
      <c r="I89" s="617">
        <v>2.5</v>
      </c>
      <c r="J89" s="617">
        <v>3.01</v>
      </c>
      <c r="K89" s="376">
        <v>20.3</v>
      </c>
      <c r="L89" s="374"/>
      <c r="M89" s="374"/>
      <c r="N89" s="43"/>
      <c r="O89" s="9"/>
    </row>
    <row r="90" spans="1:19">
      <c r="A90" s="9" t="s">
        <v>1844</v>
      </c>
      <c r="D90" s="9" t="s">
        <v>1854</v>
      </c>
      <c r="E90" s="619">
        <v>1.32</v>
      </c>
      <c r="F90" s="619">
        <v>1.63</v>
      </c>
      <c r="G90" s="619">
        <v>2.0099999999999998</v>
      </c>
      <c r="H90" s="619">
        <v>2.4700000000000002</v>
      </c>
      <c r="I90" s="619">
        <v>3.04</v>
      </c>
      <c r="J90" s="619">
        <v>3.74</v>
      </c>
      <c r="K90" s="376">
        <v>23.1</v>
      </c>
      <c r="L90" s="38"/>
      <c r="M90" s="173"/>
      <c r="N90" s="173"/>
    </row>
    <row r="91" spans="1:19">
      <c r="A91" s="9" t="s">
        <v>1844</v>
      </c>
      <c r="B91" s="3" t="s">
        <v>180</v>
      </c>
      <c r="D91" s="9"/>
      <c r="E91" s="619"/>
      <c r="F91" s="619"/>
      <c r="G91" s="619"/>
      <c r="H91" s="619"/>
      <c r="I91" s="619"/>
      <c r="J91" s="619"/>
      <c r="K91" s="376"/>
    </row>
    <row r="92" spans="1:19">
      <c r="A92" s="9" t="s">
        <v>1844</v>
      </c>
      <c r="B92" s="9" t="s">
        <v>151</v>
      </c>
      <c r="C92" s="9"/>
    </row>
    <row r="93" spans="1:19">
      <c r="A93" s="9" t="s">
        <v>1844</v>
      </c>
      <c r="B93" s="9" t="s">
        <v>180</v>
      </c>
      <c r="C93" s="9"/>
    </row>
    <row r="94" spans="1:19">
      <c r="A94" s="9" t="s">
        <v>1844</v>
      </c>
      <c r="B94" s="9" t="s">
        <v>151</v>
      </c>
      <c r="C94" s="9"/>
    </row>
    <row r="95" spans="1:19">
      <c r="A95" s="9" t="s">
        <v>1844</v>
      </c>
      <c r="B95" s="9" t="s">
        <v>151</v>
      </c>
      <c r="C95" s="9"/>
    </row>
    <row r="96" spans="1:19">
      <c r="A96" s="9" t="s">
        <v>1844</v>
      </c>
      <c r="B96" s="9" t="s">
        <v>180</v>
      </c>
      <c r="C96" s="9"/>
    </row>
    <row r="97" spans="1:18">
      <c r="A97" s="9" t="s">
        <v>1844</v>
      </c>
      <c r="B97" s="9" t="s">
        <v>180</v>
      </c>
      <c r="C97" s="9"/>
    </row>
    <row r="98" spans="1:18">
      <c r="A98" s="9" t="s">
        <v>1844</v>
      </c>
      <c r="B98" s="9" t="s">
        <v>180</v>
      </c>
      <c r="C98" s="9"/>
    </row>
    <row r="99" spans="1:18">
      <c r="A99" s="9" t="s">
        <v>1844</v>
      </c>
      <c r="B99" s="9" t="s">
        <v>151</v>
      </c>
      <c r="C99" s="9"/>
    </row>
    <row r="100" spans="1:18">
      <c r="A100" s="9" t="s">
        <v>1844</v>
      </c>
      <c r="B100" s="9" t="s">
        <v>151</v>
      </c>
      <c r="C100" s="9"/>
    </row>
    <row r="101" spans="1:18">
      <c r="A101" s="9" t="s">
        <v>1844</v>
      </c>
      <c r="B101" s="9" t="s">
        <v>112</v>
      </c>
      <c r="C101" s="9"/>
    </row>
    <row r="102" spans="1:18">
      <c r="A102" s="9" t="s">
        <v>1844</v>
      </c>
      <c r="B102" s="9" t="s">
        <v>151</v>
      </c>
      <c r="C102" s="9"/>
    </row>
    <row r="103" spans="1:18">
      <c r="A103" s="9" t="s">
        <v>1844</v>
      </c>
      <c r="B103" s="9" t="s">
        <v>151</v>
      </c>
      <c r="C103" s="9"/>
    </row>
    <row r="104" spans="1:18">
      <c r="A104" s="9" t="s">
        <v>1844</v>
      </c>
      <c r="B104" s="9" t="s">
        <v>151</v>
      </c>
      <c r="C104" s="9"/>
    </row>
    <row r="105" spans="1:18">
      <c r="A105" s="9" t="s">
        <v>1844</v>
      </c>
      <c r="B105" s="9" t="s">
        <v>112</v>
      </c>
      <c r="C105" s="9"/>
    </row>
    <row r="106" spans="1:18">
      <c r="A106" s="9" t="s">
        <v>1844</v>
      </c>
    </row>
    <row r="107" spans="1:18">
      <c r="A107" s="9" t="s">
        <v>1844</v>
      </c>
      <c r="B107" s="9"/>
      <c r="C107" s="9"/>
      <c r="D107" s="4"/>
    </row>
    <row r="108" spans="1:18" s="74" customFormat="1">
      <c r="A108" s="9" t="s">
        <v>1844</v>
      </c>
      <c r="B108" s="373" t="s">
        <v>1049</v>
      </c>
      <c r="D108" s="269" t="s">
        <v>1875</v>
      </c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P108" s="73"/>
    </row>
    <row r="109" spans="1:18">
      <c r="A109" s="9" t="s">
        <v>1856</v>
      </c>
    </row>
    <row r="110" spans="1:18">
      <c r="A110" s="70" t="s">
        <v>1855</v>
      </c>
      <c r="B110" s="70" t="s">
        <v>119</v>
      </c>
      <c r="C110" s="70"/>
      <c r="D110" s="314" t="s">
        <v>1859</v>
      </c>
      <c r="E110" s="70"/>
      <c r="F110" s="70"/>
      <c r="G110" s="70"/>
      <c r="H110" s="70"/>
      <c r="I110" s="70"/>
      <c r="J110" s="70"/>
      <c r="K110" s="70"/>
      <c r="L110" s="70"/>
      <c r="M110" s="70"/>
      <c r="N110" s="70"/>
      <c r="O110" s="70"/>
      <c r="P110" s="70"/>
      <c r="Q110" s="70"/>
      <c r="R110" s="70"/>
    </row>
    <row r="111" spans="1:18">
      <c r="A111" s="9" t="s">
        <v>1857</v>
      </c>
      <c r="B111" s="9" t="s">
        <v>122</v>
      </c>
      <c r="C111" s="9"/>
      <c r="D111" s="59" t="s">
        <v>1865</v>
      </c>
    </row>
    <row r="112" spans="1:18">
      <c r="A112" s="9" t="s">
        <v>1857</v>
      </c>
    </row>
    <row r="113" spans="1:18">
      <c r="A113" s="9" t="s">
        <v>1857</v>
      </c>
      <c r="B113" s="9" t="s">
        <v>175</v>
      </c>
      <c r="C113" s="9"/>
      <c r="D113" s="3" t="s">
        <v>164</v>
      </c>
      <c r="E113" s="60" t="s">
        <v>1824</v>
      </c>
      <c r="F113" s="60" t="s">
        <v>167</v>
      </c>
      <c r="G113" s="60" t="s">
        <v>168</v>
      </c>
      <c r="H113" s="60" t="s">
        <v>169</v>
      </c>
      <c r="I113" s="60" t="s">
        <v>170</v>
      </c>
      <c r="J113" s="60" t="s">
        <v>171</v>
      </c>
      <c r="K113" s="9" t="s">
        <v>172</v>
      </c>
      <c r="M113" s="9" t="s">
        <v>1848</v>
      </c>
      <c r="N113" s="9"/>
    </row>
    <row r="114" spans="1:18">
      <c r="A114" s="9" t="s">
        <v>1857</v>
      </c>
      <c r="B114" s="9" t="s">
        <v>175</v>
      </c>
      <c r="C114" s="9"/>
      <c r="D114" s="60" t="s">
        <v>1860</v>
      </c>
      <c r="E114" s="617">
        <v>1.67</v>
      </c>
      <c r="F114" s="617">
        <v>2</v>
      </c>
      <c r="G114" s="617">
        <v>2.41</v>
      </c>
      <c r="H114" s="617">
        <v>2.89</v>
      </c>
      <c r="I114" s="617">
        <v>3.48</v>
      </c>
      <c r="J114" s="617">
        <v>4.18</v>
      </c>
      <c r="K114" s="376">
        <v>20.2</v>
      </c>
      <c r="L114" s="374"/>
      <c r="M114" s="374"/>
      <c r="N114" s="43"/>
      <c r="O114" s="9"/>
      <c r="R114" s="521"/>
    </row>
    <row r="115" spans="1:18">
      <c r="A115" s="9" t="s">
        <v>1857</v>
      </c>
      <c r="B115" s="9" t="s">
        <v>175</v>
      </c>
      <c r="C115" s="9"/>
      <c r="D115" s="60" t="s">
        <v>1861</v>
      </c>
      <c r="E115" s="617">
        <v>1.45</v>
      </c>
      <c r="F115" s="617">
        <v>1.73</v>
      </c>
      <c r="G115" s="620">
        <v>2.0499999999999998</v>
      </c>
      <c r="H115" s="617">
        <v>2.444</v>
      </c>
      <c r="I115" s="617">
        <v>2.9</v>
      </c>
      <c r="J115" s="617">
        <v>3.45</v>
      </c>
      <c r="K115" s="376">
        <v>18.899999999999999</v>
      </c>
      <c r="L115" s="374"/>
      <c r="M115" s="374"/>
      <c r="N115" s="43"/>
      <c r="O115" s="9"/>
      <c r="R115" s="385"/>
    </row>
    <row r="116" spans="1:18">
      <c r="A116" s="9" t="s">
        <v>1857</v>
      </c>
      <c r="B116" s="9" t="s">
        <v>175</v>
      </c>
      <c r="C116" s="9"/>
      <c r="D116" s="60" t="s">
        <v>1862</v>
      </c>
      <c r="E116" s="617">
        <v>0.73</v>
      </c>
      <c r="F116" s="617">
        <v>0.89</v>
      </c>
      <c r="G116" s="617">
        <v>1.08</v>
      </c>
      <c r="H116" s="617">
        <v>1.32</v>
      </c>
      <c r="I116" s="617">
        <v>1.61</v>
      </c>
      <c r="J116" s="617">
        <v>1.96</v>
      </c>
      <c r="K116" s="376">
        <v>22</v>
      </c>
      <c r="L116" s="374"/>
      <c r="M116" s="374"/>
      <c r="N116" s="173"/>
      <c r="O116" s="173"/>
      <c r="P116" s="47"/>
      <c r="Q116" s="47"/>
    </row>
    <row r="117" spans="1:18">
      <c r="A117" s="9" t="s">
        <v>1857</v>
      </c>
      <c r="B117" s="9" t="s">
        <v>175</v>
      </c>
      <c r="C117" s="9"/>
      <c r="D117" s="9" t="s">
        <v>1863</v>
      </c>
      <c r="E117" s="617">
        <v>0.43</v>
      </c>
      <c r="F117" s="617">
        <v>0.5</v>
      </c>
      <c r="G117" s="617">
        <v>0.56999999999999995</v>
      </c>
      <c r="H117" s="617">
        <v>0.67</v>
      </c>
      <c r="I117" s="617">
        <v>0.77</v>
      </c>
      <c r="J117" s="617">
        <v>0.9</v>
      </c>
      <c r="K117" s="376">
        <v>16</v>
      </c>
      <c r="L117" s="374"/>
      <c r="M117" s="374"/>
      <c r="N117" s="43"/>
      <c r="O117" s="9"/>
    </row>
    <row r="118" spans="1:18">
      <c r="A118" s="9" t="s">
        <v>1857</v>
      </c>
      <c r="B118" s="9" t="s">
        <v>175</v>
      </c>
      <c r="C118" s="9"/>
      <c r="D118" s="9"/>
      <c r="E118" s="619">
        <f>SUM(E114:E117)</f>
        <v>4.28</v>
      </c>
      <c r="F118" s="619"/>
      <c r="G118" s="619"/>
      <c r="H118" s="619"/>
      <c r="I118" s="619"/>
      <c r="J118" s="619"/>
      <c r="K118" s="376"/>
      <c r="L118" s="374"/>
      <c r="M118" s="374"/>
      <c r="N118" s="43"/>
      <c r="O118" s="9"/>
    </row>
    <row r="119" spans="1:18">
      <c r="A119" s="9" t="s">
        <v>1857</v>
      </c>
      <c r="D119" s="9"/>
      <c r="E119" s="617"/>
      <c r="F119" s="617"/>
      <c r="G119" s="617"/>
      <c r="H119" s="617"/>
      <c r="I119" s="617"/>
      <c r="J119" s="617"/>
      <c r="K119" s="376"/>
      <c r="L119" s="38"/>
      <c r="M119" s="38"/>
      <c r="N119" s="43"/>
    </row>
    <row r="120" spans="1:18">
      <c r="A120" s="9" t="s">
        <v>1857</v>
      </c>
      <c r="D120" s="9"/>
      <c r="E120" s="619"/>
      <c r="F120" s="619"/>
      <c r="G120" s="619"/>
      <c r="H120" s="619"/>
      <c r="I120" s="619"/>
      <c r="J120" s="619"/>
      <c r="K120" s="376"/>
    </row>
    <row r="121" spans="1:18">
      <c r="A121" s="9" t="s">
        <v>1857</v>
      </c>
      <c r="B121" s="9"/>
      <c r="C121" s="9"/>
    </row>
    <row r="122" spans="1:18">
      <c r="A122" s="9" t="s">
        <v>1857</v>
      </c>
      <c r="B122" s="9" t="s">
        <v>151</v>
      </c>
      <c r="C122" s="9"/>
    </row>
    <row r="123" spans="1:18">
      <c r="A123" s="9" t="s">
        <v>1857</v>
      </c>
      <c r="B123" s="9" t="s">
        <v>151</v>
      </c>
      <c r="C123" s="9"/>
    </row>
    <row r="124" spans="1:18">
      <c r="A124" s="9" t="s">
        <v>1857</v>
      </c>
      <c r="B124" s="9" t="s">
        <v>151</v>
      </c>
      <c r="C124" s="9"/>
    </row>
    <row r="125" spans="1:18">
      <c r="A125" s="9" t="s">
        <v>1857</v>
      </c>
      <c r="B125" s="9" t="s">
        <v>151</v>
      </c>
      <c r="C125" s="9"/>
    </row>
    <row r="126" spans="1:18">
      <c r="A126" s="9" t="s">
        <v>1857</v>
      </c>
      <c r="B126" s="9" t="s">
        <v>151</v>
      </c>
      <c r="C126" s="9"/>
    </row>
    <row r="127" spans="1:18">
      <c r="A127" s="9" t="s">
        <v>1857</v>
      </c>
      <c r="B127" s="9" t="s">
        <v>151</v>
      </c>
      <c r="C127" s="9"/>
    </row>
    <row r="128" spans="1:18">
      <c r="A128" s="9" t="s">
        <v>1857</v>
      </c>
      <c r="B128" s="9" t="s">
        <v>151</v>
      </c>
      <c r="C128" s="9"/>
    </row>
    <row r="129" spans="1:18">
      <c r="A129" s="9" t="s">
        <v>1857</v>
      </c>
      <c r="B129" s="9" t="s">
        <v>151</v>
      </c>
      <c r="C129" s="9"/>
    </row>
    <row r="130" spans="1:18">
      <c r="A130" s="9" t="s">
        <v>1857</v>
      </c>
      <c r="B130" s="9" t="s">
        <v>112</v>
      </c>
      <c r="C130" s="9"/>
    </row>
    <row r="131" spans="1:18">
      <c r="A131" s="9" t="s">
        <v>1857</v>
      </c>
      <c r="B131" s="9" t="s">
        <v>151</v>
      </c>
      <c r="C131" s="9"/>
    </row>
    <row r="132" spans="1:18">
      <c r="A132" s="9" t="s">
        <v>1857</v>
      </c>
      <c r="B132" s="9" t="s">
        <v>151</v>
      </c>
      <c r="C132" s="9"/>
    </row>
    <row r="133" spans="1:18">
      <c r="A133" s="9" t="s">
        <v>1857</v>
      </c>
      <c r="B133" s="9" t="s">
        <v>151</v>
      </c>
      <c r="C133" s="9"/>
    </row>
    <row r="134" spans="1:18">
      <c r="A134" s="9" t="s">
        <v>1857</v>
      </c>
      <c r="B134" s="9" t="s">
        <v>112</v>
      </c>
      <c r="C134" s="9"/>
    </row>
    <row r="135" spans="1:18">
      <c r="A135" s="9" t="s">
        <v>1857</v>
      </c>
    </row>
    <row r="136" spans="1:18">
      <c r="A136" s="9" t="s">
        <v>1857</v>
      </c>
      <c r="B136" s="9"/>
      <c r="C136" s="9"/>
      <c r="D136" s="4"/>
    </row>
    <row r="137" spans="1:18">
      <c r="A137" s="9" t="s">
        <v>1857</v>
      </c>
      <c r="B137" s="373" t="s">
        <v>1049</v>
      </c>
      <c r="C137" s="74"/>
      <c r="D137" s="269" t="s">
        <v>1832</v>
      </c>
      <c r="E137" s="73"/>
      <c r="F137" s="73"/>
      <c r="G137" s="73"/>
      <c r="H137" s="73"/>
      <c r="I137" s="73"/>
      <c r="J137" s="73"/>
      <c r="K137" s="73"/>
      <c r="L137" s="73"/>
      <c r="M137" s="73"/>
      <c r="N137" s="73"/>
      <c r="O137" s="73"/>
      <c r="P137" s="73"/>
      <c r="Q137" s="74"/>
      <c r="R137" s="74"/>
    </row>
  </sheetData>
  <autoFilter ref="A1:B108" xr:uid="{00000000-0009-0000-0000-000009000000}"/>
  <phoneticPr fontId="13" type="noConversion"/>
  <pageMargins left="0.7" right="0.7" top="0.75" bottom="0.75" header="0.3" footer="0.3"/>
  <pageSetup paperSize="9" orientation="portrait" horizontalDpi="1200" verticalDpi="1200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U113"/>
  <sheetViews>
    <sheetView zoomScale="85" zoomScaleNormal="85" workbookViewId="0">
      <selection activeCell="O39" sqref="O39"/>
    </sheetView>
  </sheetViews>
  <sheetFormatPr defaultColWidth="10.625" defaultRowHeight="16.5"/>
  <cols>
    <col min="1" max="2" width="15.625" style="3" customWidth="1"/>
    <col min="3" max="3" width="1.625" style="3" customWidth="1"/>
    <col min="4" max="12" width="10.625" style="3"/>
    <col min="13" max="13" width="10.625" style="3" customWidth="1"/>
    <col min="14" max="16384" width="10.625" style="3"/>
  </cols>
  <sheetData>
    <row r="1" spans="1:21">
      <c r="A1" s="6" t="s">
        <v>149</v>
      </c>
      <c r="B1" s="7" t="s">
        <v>340</v>
      </c>
      <c r="C1" s="7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10"/>
      <c r="R1" s="10"/>
    </row>
    <row r="2" spans="1:21">
      <c r="A2" s="70" t="s">
        <v>1874</v>
      </c>
      <c r="B2" s="70" t="s">
        <v>1873</v>
      </c>
      <c r="C2" s="70"/>
      <c r="D2" s="205" t="s">
        <v>1996</v>
      </c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</row>
    <row r="3" spans="1:21">
      <c r="A3" s="9" t="s">
        <v>1874</v>
      </c>
      <c r="B3" s="9" t="s">
        <v>122</v>
      </c>
      <c r="C3" s="9"/>
      <c r="D3" s="272" t="s">
        <v>1919</v>
      </c>
    </row>
    <row r="4" spans="1:21">
      <c r="A4" s="9" t="s">
        <v>1874</v>
      </c>
      <c r="B4" s="73"/>
      <c r="C4" s="73"/>
      <c r="D4" s="277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</row>
    <row r="5" spans="1:21">
      <c r="A5" s="9" t="s">
        <v>1874</v>
      </c>
      <c r="B5" s="9" t="s">
        <v>111</v>
      </c>
      <c r="C5" s="9"/>
      <c r="D5" s="3" t="s">
        <v>19</v>
      </c>
      <c r="E5" s="60" t="s">
        <v>1916</v>
      </c>
      <c r="F5" s="60" t="s">
        <v>1917</v>
      </c>
      <c r="G5" s="3" t="s">
        <v>169</v>
      </c>
      <c r="H5" s="3" t="s">
        <v>170</v>
      </c>
      <c r="I5" s="3" t="s">
        <v>171</v>
      </c>
      <c r="J5" s="3" t="s">
        <v>183</v>
      </c>
      <c r="K5" s="3" t="s">
        <v>184</v>
      </c>
      <c r="L5" s="9" t="s">
        <v>172</v>
      </c>
      <c r="M5" s="9" t="s">
        <v>1918</v>
      </c>
    </row>
    <row r="6" spans="1:21">
      <c r="A6" s="9" t="s">
        <v>1874</v>
      </c>
      <c r="B6" s="9" t="s">
        <v>111</v>
      </c>
      <c r="C6" s="9"/>
      <c r="D6" s="3" t="s">
        <v>165</v>
      </c>
      <c r="E6" s="3">
        <v>75.2</v>
      </c>
      <c r="F6" s="649">
        <v>85.91</v>
      </c>
      <c r="G6" s="378">
        <v>96.39</v>
      </c>
      <c r="H6" s="378">
        <v>104.23</v>
      </c>
      <c r="I6" s="378">
        <v>109.57</v>
      </c>
      <c r="J6" s="378">
        <v>114.30000000000001</v>
      </c>
      <c r="K6" s="378">
        <v>118.89</v>
      </c>
      <c r="L6" s="43">
        <v>6.7</v>
      </c>
      <c r="M6" s="379"/>
      <c r="O6" s="9"/>
      <c r="S6" s="385"/>
      <c r="T6" s="385"/>
      <c r="U6" s="385"/>
    </row>
    <row r="7" spans="1:21">
      <c r="A7" s="9" t="s">
        <v>1874</v>
      </c>
      <c r="B7" s="74"/>
      <c r="C7" s="74"/>
      <c r="D7" s="9" t="s">
        <v>1995</v>
      </c>
      <c r="E7" s="9"/>
      <c r="F7" s="43">
        <v>14.2</v>
      </c>
      <c r="G7" s="50">
        <v>12.2</v>
      </c>
      <c r="H7" s="50">
        <v>8.1</v>
      </c>
      <c r="I7" s="50">
        <v>5.0999999999999996</v>
      </c>
      <c r="J7" s="50">
        <v>4.3</v>
      </c>
      <c r="K7" s="50">
        <v>4</v>
      </c>
      <c r="L7" s="43"/>
      <c r="N7" s="74"/>
      <c r="O7" s="74"/>
      <c r="P7" s="74"/>
      <c r="Q7" s="74"/>
      <c r="R7" s="74"/>
      <c r="S7" s="385"/>
      <c r="T7" s="385"/>
      <c r="U7" s="385"/>
    </row>
    <row r="8" spans="1:21">
      <c r="A8" s="9" t="s">
        <v>1874</v>
      </c>
      <c r="B8" s="9" t="s">
        <v>112</v>
      </c>
      <c r="C8" s="9"/>
      <c r="S8" s="385"/>
      <c r="T8" s="385"/>
      <c r="U8" s="385"/>
    </row>
    <row r="9" spans="1:21">
      <c r="A9" s="9" t="s">
        <v>1874</v>
      </c>
      <c r="B9" s="9" t="s">
        <v>112</v>
      </c>
      <c r="C9" s="9"/>
      <c r="S9" s="385"/>
      <c r="T9" s="385"/>
      <c r="U9" s="385"/>
    </row>
    <row r="10" spans="1:21">
      <c r="A10" s="9" t="s">
        <v>1874</v>
      </c>
      <c r="B10" s="9" t="s">
        <v>112</v>
      </c>
      <c r="C10" s="9"/>
      <c r="S10" s="385"/>
      <c r="T10" s="521"/>
      <c r="U10" s="385"/>
    </row>
    <row r="11" spans="1:21">
      <c r="A11" s="9" t="s">
        <v>1874</v>
      </c>
      <c r="B11" s="9" t="s">
        <v>112</v>
      </c>
      <c r="C11" s="9"/>
      <c r="S11" s="385"/>
      <c r="T11" s="521"/>
      <c r="U11" s="385"/>
    </row>
    <row r="12" spans="1:21">
      <c r="A12" s="9" t="s">
        <v>1874</v>
      </c>
      <c r="B12" s="9" t="s">
        <v>112</v>
      </c>
      <c r="C12" s="9"/>
      <c r="T12" s="521"/>
    </row>
    <row r="13" spans="1:21">
      <c r="A13" s="9" t="s">
        <v>1874</v>
      </c>
      <c r="B13" s="9" t="s">
        <v>112</v>
      </c>
      <c r="C13" s="9"/>
      <c r="T13" s="245"/>
    </row>
    <row r="14" spans="1:21">
      <c r="A14" s="9" t="s">
        <v>1874</v>
      </c>
      <c r="B14" s="9" t="s">
        <v>112</v>
      </c>
      <c r="C14" s="9"/>
    </row>
    <row r="15" spans="1:21">
      <c r="A15" s="9" t="s">
        <v>1874</v>
      </c>
      <c r="B15" s="9" t="s">
        <v>112</v>
      </c>
      <c r="C15" s="9"/>
    </row>
    <row r="16" spans="1:21">
      <c r="A16" s="9" t="s">
        <v>1874</v>
      </c>
      <c r="B16" s="9" t="s">
        <v>112</v>
      </c>
      <c r="C16" s="9"/>
    </row>
    <row r="17" spans="1:18">
      <c r="A17" s="9" t="s">
        <v>1874</v>
      </c>
      <c r="B17" s="9" t="s">
        <v>112</v>
      </c>
      <c r="C17" s="9"/>
    </row>
    <row r="18" spans="1:18">
      <c r="A18" s="9" t="s">
        <v>1874</v>
      </c>
      <c r="B18" s="9" t="s">
        <v>112</v>
      </c>
      <c r="C18" s="9"/>
    </row>
    <row r="19" spans="1:18">
      <c r="A19" s="9" t="s">
        <v>1874</v>
      </c>
      <c r="B19" s="9" t="s">
        <v>112</v>
      </c>
      <c r="C19" s="9"/>
    </row>
    <row r="20" spans="1:18">
      <c r="A20" s="9" t="s">
        <v>1874</v>
      </c>
      <c r="B20" s="9" t="s">
        <v>112</v>
      </c>
      <c r="C20" s="9"/>
    </row>
    <row r="21" spans="1:18">
      <c r="A21" s="9" t="s">
        <v>1874</v>
      </c>
      <c r="B21" s="9" t="s">
        <v>112</v>
      </c>
      <c r="C21" s="9"/>
    </row>
    <row r="22" spans="1:18">
      <c r="A22" s="9" t="s">
        <v>1874</v>
      </c>
      <c r="B22" s="9" t="s">
        <v>112</v>
      </c>
      <c r="C22" s="9"/>
    </row>
    <row r="23" spans="1:18">
      <c r="A23" s="9" t="s">
        <v>1874</v>
      </c>
      <c r="B23" s="9"/>
      <c r="C23" s="9"/>
    </row>
    <row r="24" spans="1:18">
      <c r="A24" s="9" t="s">
        <v>1874</v>
      </c>
      <c r="B24" s="9" t="s">
        <v>124</v>
      </c>
      <c r="C24" s="9"/>
      <c r="D24" s="269" t="s">
        <v>1994</v>
      </c>
    </row>
    <row r="25" spans="1:18" s="74" customFormat="1">
      <c r="A25" s="9" t="s">
        <v>1874</v>
      </c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73"/>
      <c r="P25" s="73"/>
    </row>
    <row r="26" spans="1:18">
      <c r="A26" s="70" t="s">
        <v>1879</v>
      </c>
      <c r="B26" s="70" t="s">
        <v>119</v>
      </c>
      <c r="C26" s="70"/>
      <c r="D26" s="205" t="s">
        <v>1877</v>
      </c>
      <c r="E26" s="70"/>
      <c r="F26" s="70"/>
      <c r="G26" s="70"/>
      <c r="H26" s="70"/>
      <c r="I26" s="70"/>
      <c r="J26" s="70"/>
      <c r="K26" s="70"/>
      <c r="L26" s="70"/>
      <c r="M26" s="70"/>
      <c r="N26" s="70"/>
      <c r="O26" s="70"/>
      <c r="P26" s="70"/>
      <c r="Q26" s="70"/>
      <c r="R26" s="70"/>
    </row>
    <row r="27" spans="1:18">
      <c r="A27" s="9" t="s">
        <v>1880</v>
      </c>
      <c r="B27" s="9" t="s">
        <v>122</v>
      </c>
      <c r="C27" s="9"/>
      <c r="D27" s="315" t="s">
        <v>1920</v>
      </c>
    </row>
    <row r="28" spans="1:18">
      <c r="A28" s="9" t="s">
        <v>1880</v>
      </c>
      <c r="B28" s="9"/>
      <c r="C28" s="9"/>
      <c r="D28" s="194" t="s">
        <v>1921</v>
      </c>
    </row>
    <row r="29" spans="1:18">
      <c r="A29" s="9"/>
      <c r="B29" s="9"/>
      <c r="C29" s="9"/>
      <c r="D29" s="9"/>
    </row>
    <row r="30" spans="1:18">
      <c r="A30" s="9" t="s">
        <v>1880</v>
      </c>
      <c r="B30" s="9" t="s">
        <v>111</v>
      </c>
      <c r="C30" s="9"/>
      <c r="D30" s="3" t="s">
        <v>19</v>
      </c>
      <c r="E30" s="9" t="s">
        <v>1899</v>
      </c>
      <c r="F30" s="9" t="s">
        <v>168</v>
      </c>
      <c r="G30" s="9" t="s">
        <v>169</v>
      </c>
      <c r="H30" s="9" t="s">
        <v>170</v>
      </c>
      <c r="I30" s="9" t="s">
        <v>171</v>
      </c>
      <c r="J30" s="9" t="s">
        <v>183</v>
      </c>
      <c r="K30" s="3" t="s">
        <v>184</v>
      </c>
      <c r="L30" s="9" t="s">
        <v>1900</v>
      </c>
      <c r="M30" s="9" t="s">
        <v>1889</v>
      </c>
      <c r="N30" s="9"/>
      <c r="R30" s="370"/>
    </row>
    <row r="31" spans="1:18">
      <c r="A31" s="9" t="s">
        <v>1880</v>
      </c>
      <c r="B31" s="9" t="s">
        <v>111</v>
      </c>
      <c r="C31" s="9"/>
      <c r="D31" s="60" t="s">
        <v>1890</v>
      </c>
      <c r="E31" s="617">
        <v>24.06</v>
      </c>
      <c r="F31" s="617">
        <v>24.4</v>
      </c>
      <c r="G31" s="617">
        <v>28.29</v>
      </c>
      <c r="H31" s="617">
        <v>31.47</v>
      </c>
      <c r="I31" s="617">
        <v>34.04</v>
      </c>
      <c r="J31" s="617">
        <v>35.24</v>
      </c>
      <c r="K31" s="625">
        <v>35.93</v>
      </c>
      <c r="L31" s="624">
        <v>8</v>
      </c>
      <c r="M31" s="371"/>
      <c r="N31" s="43"/>
      <c r="O31" s="9"/>
      <c r="P31" s="47"/>
      <c r="R31" s="370"/>
    </row>
    <row r="32" spans="1:18">
      <c r="A32" s="9" t="s">
        <v>1880</v>
      </c>
      <c r="B32" s="9" t="s">
        <v>111</v>
      </c>
      <c r="C32" s="9"/>
      <c r="D32" s="60" t="s">
        <v>1891</v>
      </c>
      <c r="E32" s="617">
        <v>10.45</v>
      </c>
      <c r="F32" s="617">
        <v>9.4499999999999993</v>
      </c>
      <c r="G32" s="617">
        <v>10.82</v>
      </c>
      <c r="H32" s="617">
        <v>11.73</v>
      </c>
      <c r="I32" s="617">
        <v>12.39</v>
      </c>
      <c r="J32" s="617">
        <v>12.57</v>
      </c>
      <c r="K32" s="625">
        <v>13.22</v>
      </c>
      <c r="L32" s="624">
        <v>6.9</v>
      </c>
      <c r="M32" s="372"/>
      <c r="N32" s="43"/>
      <c r="O32" s="9"/>
      <c r="P32" s="47"/>
      <c r="R32" s="370"/>
    </row>
    <row r="33" spans="1:18">
      <c r="A33" s="9" t="s">
        <v>1880</v>
      </c>
      <c r="B33" s="9" t="s">
        <v>111</v>
      </c>
      <c r="C33" s="9"/>
      <c r="D33" s="9" t="s">
        <v>1892</v>
      </c>
      <c r="E33" s="619">
        <v>11.43</v>
      </c>
      <c r="F33" s="619">
        <v>16.920000000000002</v>
      </c>
      <c r="G33" s="619">
        <v>16.87</v>
      </c>
      <c r="H33" s="619">
        <v>18.239999999999998</v>
      </c>
      <c r="I33" s="619">
        <v>18.63</v>
      </c>
      <c r="J33" s="619">
        <v>18.86</v>
      </c>
      <c r="K33" s="625">
        <v>19.62</v>
      </c>
      <c r="L33" s="624">
        <v>3</v>
      </c>
      <c r="M33" s="371"/>
      <c r="N33" s="43"/>
      <c r="O33" s="9"/>
      <c r="P33" s="47"/>
      <c r="R33" s="370"/>
    </row>
    <row r="34" spans="1:18">
      <c r="A34" s="9" t="s">
        <v>1880</v>
      </c>
      <c r="B34" s="9" t="s">
        <v>111</v>
      </c>
      <c r="C34" s="9"/>
      <c r="D34" s="9" t="s">
        <v>1893</v>
      </c>
      <c r="E34" s="619">
        <v>15.49</v>
      </c>
      <c r="F34" s="619">
        <v>22.49</v>
      </c>
      <c r="G34" s="619">
        <v>25.54</v>
      </c>
      <c r="H34" s="619">
        <v>26.58</v>
      </c>
      <c r="I34" s="619">
        <v>27.14</v>
      </c>
      <c r="J34" s="619">
        <v>29.32</v>
      </c>
      <c r="K34" s="625">
        <v>30.42</v>
      </c>
      <c r="L34" s="624">
        <v>5.8</v>
      </c>
      <c r="M34" s="371"/>
      <c r="N34" s="43"/>
      <c r="O34" s="9"/>
      <c r="P34" s="47"/>
      <c r="R34" s="370"/>
    </row>
    <row r="35" spans="1:18">
      <c r="A35" s="9" t="s">
        <v>1880</v>
      </c>
      <c r="B35" s="9" t="s">
        <v>111</v>
      </c>
      <c r="D35" s="9" t="s">
        <v>1894</v>
      </c>
      <c r="E35" s="619">
        <v>1.88</v>
      </c>
      <c r="F35" s="619">
        <v>1.33</v>
      </c>
      <c r="G35" s="619">
        <v>1.93</v>
      </c>
      <c r="H35" s="619">
        <v>2.0099999999999998</v>
      </c>
      <c r="I35" s="619">
        <v>2.14</v>
      </c>
      <c r="J35" s="619">
        <v>2.25</v>
      </c>
      <c r="K35" s="625">
        <v>2.33</v>
      </c>
      <c r="L35" s="624">
        <v>11.8</v>
      </c>
      <c r="M35" s="371"/>
      <c r="N35" s="43"/>
      <c r="O35" s="9"/>
      <c r="P35" s="47"/>
      <c r="R35" s="370"/>
    </row>
    <row r="36" spans="1:18">
      <c r="A36" s="9" t="s">
        <v>1881</v>
      </c>
      <c r="B36" s="9" t="s">
        <v>111</v>
      </c>
      <c r="C36" s="9"/>
      <c r="D36" s="9" t="s">
        <v>1895</v>
      </c>
      <c r="E36" s="619">
        <v>0</v>
      </c>
      <c r="F36" s="619">
        <v>5.54</v>
      </c>
      <c r="G36" s="619">
        <v>6.28</v>
      </c>
      <c r="H36" s="619">
        <v>6.83</v>
      </c>
      <c r="I36" s="619">
        <v>7.44</v>
      </c>
      <c r="J36" s="619">
        <v>8.1199999999999992</v>
      </c>
      <c r="K36" s="625">
        <v>8.8699999999999992</v>
      </c>
      <c r="L36" s="624">
        <v>9.9</v>
      </c>
    </row>
    <row r="37" spans="1:18">
      <c r="A37" s="9" t="s">
        <v>1882</v>
      </c>
      <c r="B37" s="9" t="s">
        <v>111</v>
      </c>
      <c r="C37" s="9"/>
      <c r="D37" s="9" t="s">
        <v>1896</v>
      </c>
      <c r="E37" s="619">
        <v>1.88</v>
      </c>
      <c r="F37" s="619">
        <v>1.72</v>
      </c>
      <c r="G37" s="619">
        <v>2.31</v>
      </c>
      <c r="H37" s="619">
        <v>2.69</v>
      </c>
      <c r="I37" s="619">
        <v>2.75</v>
      </c>
      <c r="J37" s="619">
        <v>2.8</v>
      </c>
      <c r="K37" s="625">
        <v>2.91</v>
      </c>
      <c r="L37" s="624">
        <v>11.1</v>
      </c>
    </row>
    <row r="38" spans="1:18">
      <c r="A38" s="9" t="s">
        <v>1883</v>
      </c>
      <c r="B38" s="9" t="s">
        <v>111</v>
      </c>
      <c r="C38" s="9"/>
      <c r="D38" s="9" t="s">
        <v>1897</v>
      </c>
      <c r="E38" s="619">
        <v>1.73</v>
      </c>
      <c r="F38" s="619">
        <v>1.55</v>
      </c>
      <c r="G38" s="619">
        <v>2.02</v>
      </c>
      <c r="H38" s="619">
        <v>2.29</v>
      </c>
      <c r="I38" s="619">
        <v>2.41</v>
      </c>
      <c r="J38" s="619">
        <v>2.4</v>
      </c>
      <c r="K38" s="625">
        <v>2.5</v>
      </c>
      <c r="L38" s="624">
        <v>10</v>
      </c>
    </row>
    <row r="39" spans="1:18">
      <c r="A39" s="9" t="s">
        <v>1884</v>
      </c>
      <c r="B39" s="9" t="s">
        <v>111</v>
      </c>
      <c r="C39" s="9"/>
      <c r="D39" s="9" t="s">
        <v>1898</v>
      </c>
      <c r="E39" s="619">
        <v>2.75</v>
      </c>
      <c r="F39" s="619">
        <v>2.06</v>
      </c>
      <c r="G39" s="619">
        <v>2.33</v>
      </c>
      <c r="H39" s="619">
        <v>2.4</v>
      </c>
      <c r="I39" s="619">
        <v>2.63</v>
      </c>
      <c r="J39" s="619">
        <v>2.74</v>
      </c>
      <c r="K39" s="625">
        <v>3.09</v>
      </c>
      <c r="L39" s="624">
        <v>8.4</v>
      </c>
    </row>
    <row r="40" spans="1:18">
      <c r="A40" s="9" t="s">
        <v>1885</v>
      </c>
      <c r="B40" s="9"/>
      <c r="C40" s="9"/>
      <c r="D40" s="9"/>
      <c r="E40" s="619"/>
      <c r="F40" s="626"/>
      <c r="G40" s="619"/>
      <c r="H40" s="619"/>
      <c r="I40" s="619"/>
      <c r="J40" s="619"/>
      <c r="K40" s="625"/>
      <c r="L40" s="81"/>
    </row>
    <row r="41" spans="1:18">
      <c r="A41" s="9" t="s">
        <v>1886</v>
      </c>
      <c r="B41" s="9"/>
      <c r="C41" s="9"/>
      <c r="D41" s="622"/>
      <c r="E41" s="623"/>
      <c r="F41" s="623"/>
      <c r="G41" s="623"/>
      <c r="H41" s="623"/>
      <c r="I41" s="623"/>
      <c r="J41" s="623"/>
      <c r="K41" s="81"/>
    </row>
    <row r="42" spans="1:18">
      <c r="A42" s="9" t="s">
        <v>1887</v>
      </c>
      <c r="B42" s="9"/>
      <c r="C42" s="9"/>
    </row>
    <row r="43" spans="1:18">
      <c r="A43" s="9" t="s">
        <v>1888</v>
      </c>
      <c r="B43" s="9" t="s">
        <v>112</v>
      </c>
      <c r="C43" s="9"/>
    </row>
    <row r="44" spans="1:18">
      <c r="A44" s="9" t="s">
        <v>1880</v>
      </c>
      <c r="B44" s="9" t="s">
        <v>112</v>
      </c>
      <c r="C44" s="9"/>
    </row>
    <row r="45" spans="1:18">
      <c r="A45" s="9" t="s">
        <v>1880</v>
      </c>
      <c r="B45" s="9" t="s">
        <v>112</v>
      </c>
      <c r="C45" s="9"/>
    </row>
    <row r="46" spans="1:18">
      <c r="A46" s="9" t="s">
        <v>1880</v>
      </c>
      <c r="B46" s="9" t="s">
        <v>112</v>
      </c>
      <c r="C46" s="9"/>
    </row>
    <row r="47" spans="1:18">
      <c r="A47" s="9" t="s">
        <v>1880</v>
      </c>
      <c r="B47" s="9" t="s">
        <v>112</v>
      </c>
      <c r="C47" s="9"/>
    </row>
    <row r="48" spans="1:18">
      <c r="A48" s="9" t="s">
        <v>1880</v>
      </c>
      <c r="B48" s="9" t="s">
        <v>112</v>
      </c>
      <c r="C48" s="9"/>
    </row>
    <row r="49" spans="1:18">
      <c r="A49" s="9" t="s">
        <v>1880</v>
      </c>
      <c r="B49" s="9" t="s">
        <v>112</v>
      </c>
      <c r="C49" s="9"/>
    </row>
    <row r="50" spans="1:18">
      <c r="A50" s="9" t="s">
        <v>1880</v>
      </c>
      <c r="B50" s="9" t="s">
        <v>112</v>
      </c>
      <c r="C50" s="9"/>
    </row>
    <row r="51" spans="1:18">
      <c r="A51" s="9" t="s">
        <v>1880</v>
      </c>
      <c r="B51" s="9" t="s">
        <v>112</v>
      </c>
      <c r="C51" s="9"/>
    </row>
    <row r="52" spans="1:18">
      <c r="A52" s="9" t="s">
        <v>1880</v>
      </c>
      <c r="B52" s="9" t="s">
        <v>112</v>
      </c>
      <c r="C52" s="9"/>
    </row>
    <row r="53" spans="1:18">
      <c r="A53" s="9" t="s">
        <v>1880</v>
      </c>
      <c r="B53" s="9" t="s">
        <v>112</v>
      </c>
      <c r="C53" s="9"/>
    </row>
    <row r="54" spans="1:18">
      <c r="A54" s="9" t="s">
        <v>1880</v>
      </c>
      <c r="B54" s="9" t="s">
        <v>112</v>
      </c>
      <c r="C54" s="9"/>
    </row>
    <row r="55" spans="1:18">
      <c r="A55" s="9" t="s">
        <v>1880</v>
      </c>
      <c r="B55" s="9"/>
      <c r="C55" s="9"/>
    </row>
    <row r="56" spans="1:18">
      <c r="A56" s="9" t="s">
        <v>1880</v>
      </c>
      <c r="C56" s="9"/>
      <c r="D56" s="269"/>
      <c r="O56" s="60" t="s">
        <v>620</v>
      </c>
    </row>
    <row r="57" spans="1:18">
      <c r="A57" s="9" t="s">
        <v>1878</v>
      </c>
      <c r="B57" s="9" t="s">
        <v>124</v>
      </c>
      <c r="C57" s="9"/>
      <c r="D57" s="269" t="s">
        <v>1876</v>
      </c>
      <c r="O57" s="60"/>
    </row>
    <row r="58" spans="1:18" s="74" customFormat="1">
      <c r="A58" s="9" t="s">
        <v>1880</v>
      </c>
      <c r="D58" s="73"/>
      <c r="E58" s="73"/>
      <c r="F58" s="73"/>
      <c r="G58" s="73"/>
      <c r="H58" s="73"/>
      <c r="I58" s="73"/>
      <c r="J58" s="73"/>
      <c r="K58" s="73"/>
      <c r="L58" s="73"/>
      <c r="M58" s="73"/>
      <c r="N58" s="73"/>
      <c r="O58" s="73"/>
      <c r="P58" s="73"/>
    </row>
    <row r="59" spans="1:18">
      <c r="A59" s="70" t="s">
        <v>1902</v>
      </c>
      <c r="B59" s="70" t="s">
        <v>119</v>
      </c>
      <c r="C59" s="70"/>
      <c r="D59" s="314" t="s">
        <v>1901</v>
      </c>
      <c r="E59" s="70"/>
      <c r="F59" s="70"/>
      <c r="G59" s="70"/>
      <c r="H59" s="70"/>
      <c r="I59" s="70"/>
      <c r="J59" s="70"/>
      <c r="K59" s="70"/>
      <c r="L59" s="70"/>
      <c r="M59" s="70"/>
      <c r="N59" s="70"/>
      <c r="O59" s="70"/>
      <c r="P59" s="70"/>
      <c r="Q59" s="70"/>
      <c r="R59" s="70"/>
    </row>
    <row r="60" spans="1:18">
      <c r="A60" s="9" t="s">
        <v>1903</v>
      </c>
      <c r="B60" s="9" t="s">
        <v>122</v>
      </c>
      <c r="C60" s="9"/>
      <c r="D60" s="315" t="s">
        <v>1922</v>
      </c>
    </row>
    <row r="61" spans="1:18">
      <c r="A61" s="9" t="s">
        <v>1903</v>
      </c>
      <c r="B61" s="9"/>
      <c r="C61" s="9"/>
    </row>
    <row r="62" spans="1:18">
      <c r="A62" s="9" t="s">
        <v>1903</v>
      </c>
      <c r="B62" s="9" t="s">
        <v>111</v>
      </c>
      <c r="C62" s="9"/>
      <c r="D62" s="3" t="s">
        <v>19</v>
      </c>
      <c r="E62" s="9" t="s">
        <v>1899</v>
      </c>
      <c r="F62" s="9" t="s">
        <v>168</v>
      </c>
      <c r="G62" s="9" t="s">
        <v>169</v>
      </c>
      <c r="H62" s="9" t="s">
        <v>170</v>
      </c>
      <c r="I62" s="9" t="s">
        <v>171</v>
      </c>
      <c r="J62" s="9" t="s">
        <v>183</v>
      </c>
      <c r="K62" s="3" t="s">
        <v>184</v>
      </c>
      <c r="L62" s="9" t="s">
        <v>1900</v>
      </c>
      <c r="M62" s="9" t="s">
        <v>1889</v>
      </c>
    </row>
    <row r="63" spans="1:18">
      <c r="A63" s="9" t="s">
        <v>1903</v>
      </c>
      <c r="B63" s="9" t="s">
        <v>111</v>
      </c>
      <c r="C63" s="9"/>
      <c r="D63" s="60" t="s">
        <v>1906</v>
      </c>
      <c r="E63" s="617">
        <v>21.73</v>
      </c>
      <c r="F63" s="3">
        <v>26.04</v>
      </c>
      <c r="G63" s="617">
        <v>27.94</v>
      </c>
      <c r="H63" s="617">
        <v>30.04</v>
      </c>
      <c r="I63" s="617">
        <v>31.1</v>
      </c>
      <c r="J63" s="617">
        <v>31.88</v>
      </c>
      <c r="K63" s="625">
        <v>33.29</v>
      </c>
      <c r="L63" s="624">
        <v>5</v>
      </c>
      <c r="M63" s="371"/>
      <c r="O63" s="47"/>
    </row>
    <row r="64" spans="1:18">
      <c r="A64" s="9" t="s">
        <v>1903</v>
      </c>
      <c r="B64" s="9" t="s">
        <v>111</v>
      </c>
      <c r="C64" s="9"/>
      <c r="D64" s="60" t="s">
        <v>1907</v>
      </c>
      <c r="E64" s="617">
        <v>16.649999999999999</v>
      </c>
      <c r="F64" s="3">
        <v>18.63</v>
      </c>
      <c r="G64" s="617">
        <v>21.09</v>
      </c>
      <c r="H64" s="617">
        <v>22.79</v>
      </c>
      <c r="I64" s="617">
        <v>24.07</v>
      </c>
      <c r="J64" s="617">
        <v>25.32</v>
      </c>
      <c r="K64" s="625">
        <v>26.52</v>
      </c>
      <c r="L64" s="624">
        <v>7.3</v>
      </c>
      <c r="M64" s="372"/>
      <c r="N64" s="9"/>
      <c r="O64" s="47"/>
      <c r="R64" s="370"/>
    </row>
    <row r="65" spans="1:18">
      <c r="A65" s="9" t="s">
        <v>1903</v>
      </c>
      <c r="B65" s="9" t="s">
        <v>111</v>
      </c>
      <c r="C65" s="9"/>
      <c r="D65" s="9" t="s">
        <v>1908</v>
      </c>
      <c r="E65" s="619">
        <v>36.83</v>
      </c>
      <c r="F65" s="3">
        <v>41.25</v>
      </c>
      <c r="G65" s="619">
        <v>47.36</v>
      </c>
      <c r="H65" s="619">
        <v>51.41</v>
      </c>
      <c r="I65" s="619">
        <v>54.4</v>
      </c>
      <c r="J65" s="619">
        <v>57.1</v>
      </c>
      <c r="K65" s="625">
        <v>59.08</v>
      </c>
      <c r="L65" s="624">
        <v>7.5</v>
      </c>
      <c r="M65" s="371"/>
      <c r="N65" s="43"/>
      <c r="O65" s="173"/>
      <c r="P65" s="47"/>
      <c r="R65" s="370"/>
    </row>
    <row r="66" spans="1:18">
      <c r="A66" s="9" t="s">
        <v>1903</v>
      </c>
      <c r="B66" s="9" t="s">
        <v>111</v>
      </c>
      <c r="C66" s="9"/>
      <c r="D66" s="622"/>
      <c r="E66" s="629"/>
      <c r="F66" s="628"/>
      <c r="G66" s="628"/>
      <c r="H66" s="628"/>
      <c r="I66" s="628"/>
      <c r="J66" s="628"/>
      <c r="K66" s="628"/>
      <c r="L66" s="624"/>
      <c r="M66" s="371"/>
      <c r="N66" s="43"/>
      <c r="O66" s="9"/>
      <c r="P66" s="47"/>
      <c r="R66" s="370"/>
    </row>
    <row r="67" spans="1:18">
      <c r="A67" s="9" t="s">
        <v>1903</v>
      </c>
      <c r="N67" s="43"/>
      <c r="O67" s="9"/>
      <c r="P67" s="47"/>
      <c r="R67" s="370"/>
    </row>
    <row r="68" spans="1:18">
      <c r="A68" s="9" t="s">
        <v>1903</v>
      </c>
      <c r="B68" s="3" t="s">
        <v>112</v>
      </c>
      <c r="N68" s="43"/>
      <c r="O68" s="9"/>
      <c r="P68" s="47"/>
      <c r="R68" s="370"/>
    </row>
    <row r="69" spans="1:18">
      <c r="A69" s="9" t="s">
        <v>1903</v>
      </c>
      <c r="B69" s="9" t="s">
        <v>112</v>
      </c>
      <c r="C69" s="9"/>
      <c r="D69" s="9"/>
      <c r="E69" s="619"/>
      <c r="F69" s="619"/>
      <c r="G69" s="619"/>
      <c r="H69" s="619"/>
      <c r="I69" s="619"/>
      <c r="J69" s="619"/>
      <c r="K69" s="625"/>
      <c r="L69" s="624"/>
      <c r="M69" s="371"/>
      <c r="N69" s="43"/>
      <c r="O69" s="9"/>
      <c r="P69" s="47"/>
      <c r="R69" s="370"/>
    </row>
    <row r="70" spans="1:18">
      <c r="A70" s="9" t="s">
        <v>1903</v>
      </c>
      <c r="B70" s="9" t="s">
        <v>112</v>
      </c>
      <c r="C70" s="9"/>
      <c r="D70" s="9"/>
      <c r="E70" s="619"/>
      <c r="F70" s="619"/>
      <c r="G70" s="619"/>
      <c r="H70" s="619"/>
      <c r="I70" s="619"/>
      <c r="J70" s="619"/>
      <c r="K70" s="625"/>
      <c r="L70" s="624"/>
    </row>
    <row r="71" spans="1:18">
      <c r="A71" s="9" t="s">
        <v>1903</v>
      </c>
      <c r="B71" s="9" t="s">
        <v>112</v>
      </c>
      <c r="C71" s="9"/>
      <c r="D71" s="9"/>
      <c r="E71" s="619"/>
      <c r="F71" s="619"/>
      <c r="G71" s="619"/>
      <c r="H71" s="619"/>
      <c r="I71" s="619"/>
      <c r="J71" s="619"/>
      <c r="K71" s="625"/>
      <c r="L71" s="624"/>
    </row>
    <row r="72" spans="1:18">
      <c r="A72" s="9" t="s">
        <v>1903</v>
      </c>
      <c r="B72" s="9" t="s">
        <v>112</v>
      </c>
      <c r="C72" s="9"/>
      <c r="D72" s="9"/>
      <c r="E72" s="619"/>
      <c r="F72" s="619"/>
      <c r="G72" s="619"/>
      <c r="H72" s="619"/>
      <c r="I72" s="619"/>
      <c r="J72" s="619"/>
      <c r="K72" s="625"/>
      <c r="L72" s="624"/>
    </row>
    <row r="73" spans="1:18">
      <c r="A73" s="9" t="s">
        <v>1903</v>
      </c>
      <c r="B73" s="9" t="s">
        <v>112</v>
      </c>
      <c r="C73" s="9"/>
      <c r="D73" s="9"/>
      <c r="E73" s="619"/>
      <c r="F73" s="619"/>
      <c r="G73" s="619"/>
      <c r="H73" s="619"/>
      <c r="I73" s="619"/>
      <c r="J73" s="619"/>
      <c r="K73" s="625"/>
      <c r="L73" s="624"/>
    </row>
    <row r="74" spans="1:18">
      <c r="A74" s="9" t="s">
        <v>1903</v>
      </c>
      <c r="B74" s="9" t="s">
        <v>112</v>
      </c>
      <c r="C74" s="9"/>
      <c r="D74" s="9"/>
      <c r="E74" s="619"/>
      <c r="F74" s="619"/>
      <c r="G74" s="619"/>
      <c r="H74" s="619"/>
      <c r="I74" s="619"/>
      <c r="J74" s="619"/>
      <c r="K74" s="625"/>
      <c r="L74" s="81"/>
    </row>
    <row r="75" spans="1:18">
      <c r="A75" s="9" t="s">
        <v>1903</v>
      </c>
      <c r="B75" s="9" t="s">
        <v>112</v>
      </c>
      <c r="C75" s="9"/>
      <c r="D75" s="9"/>
      <c r="E75" s="619"/>
      <c r="F75" s="626"/>
      <c r="G75" s="619"/>
      <c r="H75" s="619"/>
      <c r="I75" s="619"/>
      <c r="J75" s="619"/>
      <c r="K75" s="625"/>
    </row>
    <row r="76" spans="1:18">
      <c r="A76" s="9" t="s">
        <v>1903</v>
      </c>
      <c r="B76" s="9" t="s">
        <v>112</v>
      </c>
      <c r="C76" s="9"/>
    </row>
    <row r="77" spans="1:18">
      <c r="A77" s="9" t="s">
        <v>1903</v>
      </c>
      <c r="B77" s="9" t="s">
        <v>112</v>
      </c>
      <c r="C77" s="9"/>
    </row>
    <row r="78" spans="1:18">
      <c r="A78" s="9" t="s">
        <v>1903</v>
      </c>
      <c r="B78" s="9" t="s">
        <v>112</v>
      </c>
      <c r="C78" s="9"/>
    </row>
    <row r="79" spans="1:18">
      <c r="A79" s="9" t="s">
        <v>1903</v>
      </c>
      <c r="B79" s="9" t="s">
        <v>112</v>
      </c>
      <c r="C79" s="9"/>
    </row>
    <row r="80" spans="1:18">
      <c r="A80" s="9" t="s">
        <v>1903</v>
      </c>
      <c r="B80" s="9" t="s">
        <v>112</v>
      </c>
      <c r="C80" s="9"/>
    </row>
    <row r="81" spans="1:20">
      <c r="A81" s="9" t="s">
        <v>1903</v>
      </c>
      <c r="B81" s="9" t="s">
        <v>112</v>
      </c>
      <c r="C81" s="9"/>
    </row>
    <row r="82" spans="1:20">
      <c r="A82" s="9" t="s">
        <v>1903</v>
      </c>
      <c r="B82" s="9" t="s">
        <v>112</v>
      </c>
      <c r="C82" s="9"/>
    </row>
    <row r="83" spans="1:20">
      <c r="A83" s="9" t="s">
        <v>1903</v>
      </c>
      <c r="B83" s="9"/>
      <c r="C83" s="9"/>
    </row>
    <row r="84" spans="1:20">
      <c r="A84" s="9" t="s">
        <v>1903</v>
      </c>
      <c r="B84" s="9" t="s">
        <v>124</v>
      </c>
      <c r="C84" s="9"/>
      <c r="D84" s="269" t="s">
        <v>1876</v>
      </c>
    </row>
    <row r="85" spans="1:20" s="74" customFormat="1">
      <c r="A85" s="9" t="s">
        <v>1903</v>
      </c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</row>
    <row r="86" spans="1:20">
      <c r="A86" s="70" t="s">
        <v>1904</v>
      </c>
      <c r="B86" s="380" t="s">
        <v>1905</v>
      </c>
      <c r="C86" s="380"/>
      <c r="D86" s="314" t="s">
        <v>1909</v>
      </c>
      <c r="E86" s="627"/>
      <c r="F86" s="627"/>
      <c r="G86" s="627"/>
      <c r="H86" s="627"/>
      <c r="I86" s="627"/>
      <c r="J86" s="627"/>
      <c r="K86" s="627"/>
      <c r="L86" s="627"/>
      <c r="M86" s="627"/>
      <c r="N86" s="627"/>
      <c r="O86" s="627"/>
      <c r="P86" s="627"/>
      <c r="Q86" s="627"/>
      <c r="R86" s="627"/>
    </row>
    <row r="87" spans="1:20">
      <c r="A87" s="9" t="s">
        <v>1910</v>
      </c>
      <c r="B87" s="9" t="s">
        <v>122</v>
      </c>
      <c r="C87" s="9"/>
      <c r="D87" s="59" t="s">
        <v>1923</v>
      </c>
    </row>
    <row r="88" spans="1:20">
      <c r="A88" s="9" t="s">
        <v>1910</v>
      </c>
      <c r="B88" s="9"/>
      <c r="C88" s="9"/>
    </row>
    <row r="89" spans="1:20">
      <c r="A89" s="9" t="s">
        <v>1910</v>
      </c>
      <c r="B89" s="9" t="s">
        <v>111</v>
      </c>
      <c r="C89" s="9"/>
    </row>
    <row r="90" spans="1:20">
      <c r="A90" s="9" t="s">
        <v>1910</v>
      </c>
      <c r="B90" s="9" t="s">
        <v>111</v>
      </c>
      <c r="C90" s="9"/>
      <c r="D90" s="3" t="s">
        <v>19</v>
      </c>
      <c r="E90" s="9" t="s">
        <v>1899</v>
      </c>
      <c r="F90" s="9" t="s">
        <v>168</v>
      </c>
      <c r="G90" s="9" t="s">
        <v>169</v>
      </c>
      <c r="H90" s="9" t="s">
        <v>170</v>
      </c>
      <c r="I90" s="9" t="s">
        <v>171</v>
      </c>
      <c r="J90" s="9" t="s">
        <v>183</v>
      </c>
      <c r="K90" s="3" t="s">
        <v>184</v>
      </c>
      <c r="L90" s="9" t="s">
        <v>1900</v>
      </c>
      <c r="M90" s="9" t="s">
        <v>1889</v>
      </c>
    </row>
    <row r="91" spans="1:20">
      <c r="A91" s="9" t="s">
        <v>1910</v>
      </c>
      <c r="B91" s="9" t="s">
        <v>111</v>
      </c>
      <c r="C91" s="9"/>
      <c r="D91" s="60" t="s">
        <v>1911</v>
      </c>
      <c r="E91" s="617">
        <v>27.45</v>
      </c>
      <c r="F91" s="3">
        <v>32.22</v>
      </c>
      <c r="G91" s="617">
        <v>35.18</v>
      </c>
      <c r="H91" s="617">
        <v>38.57</v>
      </c>
      <c r="I91" s="617">
        <v>40.54</v>
      </c>
      <c r="J91" s="617">
        <v>42.29</v>
      </c>
      <c r="K91" s="625">
        <v>44.58</v>
      </c>
      <c r="L91" s="624">
        <v>6.7</v>
      </c>
      <c r="M91" s="371"/>
      <c r="O91" s="47"/>
    </row>
    <row r="92" spans="1:20">
      <c r="A92" s="9" t="s">
        <v>1910</v>
      </c>
      <c r="B92" s="9" t="s">
        <v>111</v>
      </c>
      <c r="C92" s="9"/>
      <c r="D92" s="60" t="s">
        <v>1912</v>
      </c>
      <c r="E92" s="617">
        <v>18.420000000000002</v>
      </c>
      <c r="F92" s="3">
        <v>21.05</v>
      </c>
      <c r="G92" s="617">
        <v>23.13</v>
      </c>
      <c r="H92" s="617">
        <v>24.49</v>
      </c>
      <c r="I92" s="617">
        <v>25.75</v>
      </c>
      <c r="J92" s="617">
        <v>26.29</v>
      </c>
      <c r="K92" s="625">
        <v>26.75</v>
      </c>
      <c r="L92" s="624">
        <v>4.9000000000000004</v>
      </c>
      <c r="M92" s="372"/>
      <c r="N92" s="9"/>
      <c r="O92" s="47"/>
      <c r="R92" s="370"/>
      <c r="T92" s="74"/>
    </row>
    <row r="93" spans="1:20">
      <c r="A93" s="9" t="s">
        <v>1910</v>
      </c>
      <c r="B93" s="9" t="s">
        <v>111</v>
      </c>
      <c r="C93" s="9"/>
      <c r="D93" s="9" t="s">
        <v>1913</v>
      </c>
      <c r="E93" s="619">
        <v>17.29</v>
      </c>
      <c r="F93" s="3">
        <v>18.899999999999999</v>
      </c>
      <c r="G93" s="619">
        <v>22.17</v>
      </c>
      <c r="H93" s="619">
        <v>24.49</v>
      </c>
      <c r="I93" s="619">
        <v>26.3</v>
      </c>
      <c r="J93" s="619">
        <v>27.43</v>
      </c>
      <c r="K93" s="625">
        <v>28.83</v>
      </c>
      <c r="L93" s="624">
        <v>8.8000000000000007</v>
      </c>
      <c r="M93" s="371"/>
      <c r="N93" s="43"/>
      <c r="O93" s="173"/>
      <c r="P93" s="47"/>
      <c r="R93" s="370"/>
    </row>
    <row r="94" spans="1:20">
      <c r="A94" s="9" t="s">
        <v>1910</v>
      </c>
      <c r="D94" s="60" t="s">
        <v>1914</v>
      </c>
      <c r="E94" s="617">
        <v>12.03</v>
      </c>
      <c r="F94" s="3">
        <v>13.75</v>
      </c>
      <c r="G94" s="617">
        <v>15.9</v>
      </c>
      <c r="H94" s="617">
        <v>16.68</v>
      </c>
      <c r="I94" s="617">
        <v>16.98</v>
      </c>
      <c r="J94" s="617">
        <v>18.29</v>
      </c>
      <c r="K94" s="625">
        <v>18.72</v>
      </c>
      <c r="L94" s="624">
        <v>6.4</v>
      </c>
      <c r="M94" s="371"/>
      <c r="N94" s="43"/>
      <c r="O94" s="173"/>
      <c r="P94" s="47"/>
      <c r="R94" s="370"/>
    </row>
    <row r="95" spans="1:20">
      <c r="A95" s="9" t="s">
        <v>1910</v>
      </c>
      <c r="B95" s="3" t="s">
        <v>112</v>
      </c>
      <c r="D95" s="622"/>
      <c r="E95" s="629"/>
      <c r="F95" s="628"/>
      <c r="G95" s="628"/>
      <c r="H95" s="628"/>
      <c r="I95" s="628"/>
      <c r="J95" s="628"/>
      <c r="K95" s="628"/>
      <c r="N95" s="43"/>
      <c r="O95" s="9"/>
      <c r="P95" s="47"/>
      <c r="R95" s="370"/>
    </row>
    <row r="96" spans="1:20">
      <c r="A96" s="9" t="s">
        <v>1910</v>
      </c>
      <c r="B96" s="9" t="s">
        <v>112</v>
      </c>
      <c r="C96" s="9"/>
      <c r="N96" s="43"/>
      <c r="O96" s="9"/>
      <c r="P96" s="47"/>
      <c r="R96" s="370"/>
    </row>
    <row r="97" spans="1:18">
      <c r="A97" s="9" t="s">
        <v>1910</v>
      </c>
      <c r="B97" s="9" t="s">
        <v>112</v>
      </c>
      <c r="C97" s="9"/>
      <c r="D97" s="9"/>
      <c r="E97" s="619"/>
      <c r="F97" s="619"/>
      <c r="G97" s="619"/>
      <c r="H97" s="619"/>
      <c r="I97" s="619"/>
      <c r="J97" s="619"/>
      <c r="K97" s="625"/>
      <c r="L97" s="624"/>
      <c r="M97" s="371"/>
      <c r="N97" s="43"/>
      <c r="O97" s="9"/>
      <c r="P97" s="47"/>
      <c r="R97" s="370"/>
    </row>
    <row r="98" spans="1:18">
      <c r="A98" s="9" t="s">
        <v>1910</v>
      </c>
      <c r="B98" s="9" t="s">
        <v>112</v>
      </c>
      <c r="C98" s="9"/>
      <c r="D98" s="9"/>
      <c r="E98" s="619"/>
      <c r="F98" s="619"/>
      <c r="G98" s="619"/>
      <c r="H98" s="619"/>
      <c r="I98" s="619"/>
      <c r="J98" s="619"/>
      <c r="K98" s="625"/>
      <c r="L98" s="624"/>
    </row>
    <row r="99" spans="1:18">
      <c r="A99" s="9" t="s">
        <v>1910</v>
      </c>
      <c r="B99" s="9" t="s">
        <v>112</v>
      </c>
      <c r="C99" s="9"/>
      <c r="D99" s="9"/>
      <c r="E99" s="619"/>
      <c r="F99" s="619"/>
      <c r="G99" s="619"/>
      <c r="H99" s="619"/>
      <c r="I99" s="619"/>
      <c r="J99" s="619"/>
      <c r="K99" s="625"/>
      <c r="L99" s="624"/>
    </row>
    <row r="100" spans="1:18">
      <c r="A100" s="9" t="s">
        <v>1910</v>
      </c>
      <c r="B100" s="9" t="s">
        <v>112</v>
      </c>
      <c r="C100" s="9"/>
      <c r="D100" s="9"/>
      <c r="E100" s="619"/>
      <c r="F100" s="619"/>
      <c r="G100" s="619"/>
      <c r="H100" s="619"/>
      <c r="I100" s="619"/>
      <c r="J100" s="619"/>
      <c r="K100" s="625"/>
      <c r="L100" s="624"/>
    </row>
    <row r="101" spans="1:18">
      <c r="A101" s="9" t="s">
        <v>1910</v>
      </c>
      <c r="B101" s="9" t="s">
        <v>112</v>
      </c>
      <c r="C101" s="9"/>
      <c r="D101" s="9"/>
      <c r="E101" s="619"/>
      <c r="F101" s="619"/>
      <c r="G101" s="619"/>
      <c r="H101" s="619"/>
      <c r="I101" s="619"/>
      <c r="J101" s="619"/>
      <c r="K101" s="625"/>
      <c r="L101" s="624"/>
    </row>
    <row r="102" spans="1:18">
      <c r="A102" s="9" t="s">
        <v>1910</v>
      </c>
      <c r="B102" s="9" t="s">
        <v>112</v>
      </c>
      <c r="C102" s="9"/>
      <c r="D102" s="9"/>
      <c r="E102" s="619"/>
      <c r="F102" s="619"/>
      <c r="G102" s="619"/>
      <c r="H102" s="619"/>
      <c r="I102" s="619"/>
      <c r="J102" s="619"/>
      <c r="K102" s="625"/>
      <c r="L102" s="81"/>
    </row>
    <row r="103" spans="1:18">
      <c r="A103" s="9" t="s">
        <v>1910</v>
      </c>
      <c r="B103" s="9" t="s">
        <v>112</v>
      </c>
      <c r="C103" s="9"/>
      <c r="D103" s="9"/>
      <c r="E103" s="619"/>
      <c r="F103" s="626"/>
      <c r="G103" s="619"/>
      <c r="H103" s="619"/>
      <c r="I103" s="619"/>
      <c r="J103" s="619"/>
      <c r="K103" s="625"/>
    </row>
    <row r="104" spans="1:18">
      <c r="A104" s="9" t="s">
        <v>1910</v>
      </c>
      <c r="B104" s="9" t="s">
        <v>112</v>
      </c>
      <c r="C104" s="9"/>
    </row>
    <row r="105" spans="1:18">
      <c r="A105" s="9" t="s">
        <v>1910</v>
      </c>
      <c r="B105" s="9" t="s">
        <v>112</v>
      </c>
      <c r="C105" s="9"/>
    </row>
    <row r="106" spans="1:18">
      <c r="A106" s="9" t="s">
        <v>1910</v>
      </c>
      <c r="B106" s="9" t="s">
        <v>112</v>
      </c>
      <c r="C106" s="9"/>
    </row>
    <row r="107" spans="1:18">
      <c r="A107" s="9" t="s">
        <v>1910</v>
      </c>
      <c r="B107" s="9" t="s">
        <v>112</v>
      </c>
      <c r="C107" s="9"/>
    </row>
    <row r="108" spans="1:18">
      <c r="A108" s="9" t="s">
        <v>1910</v>
      </c>
      <c r="B108" s="9" t="s">
        <v>112</v>
      </c>
      <c r="C108" s="9"/>
    </row>
    <row r="109" spans="1:18">
      <c r="A109" s="9" t="s">
        <v>1910</v>
      </c>
      <c r="B109" s="9" t="s">
        <v>112</v>
      </c>
      <c r="C109" s="9"/>
    </row>
    <row r="110" spans="1:18">
      <c r="A110" s="9" t="s">
        <v>1910</v>
      </c>
      <c r="B110" s="9"/>
      <c r="C110" s="9"/>
    </row>
    <row r="111" spans="1:18">
      <c r="A111" s="9" t="s">
        <v>1910</v>
      </c>
      <c r="B111" s="9" t="s">
        <v>124</v>
      </c>
      <c r="C111" s="9"/>
      <c r="D111" s="269" t="s">
        <v>1876</v>
      </c>
    </row>
    <row r="112" spans="1:18">
      <c r="A112" s="9" t="s">
        <v>1910</v>
      </c>
      <c r="B112" s="74"/>
      <c r="C112" s="74"/>
    </row>
    <row r="113" spans="1:16" s="74" customFormat="1">
      <c r="A113" s="9"/>
      <c r="B113" s="373"/>
      <c r="D113" s="269"/>
      <c r="E113" s="73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</row>
  </sheetData>
  <autoFilter ref="A1:B113" xr:uid="{00000000-0009-0000-0000-00000A000000}"/>
  <phoneticPr fontId="13" type="noConversion"/>
  <pageMargins left="0.7" right="0.7" top="0.75" bottom="0.75" header="0.3" footer="0.3"/>
  <pageSetup paperSize="9" orientation="portrait" horizontalDpi="1200" verticalDpi="1200" r:id="rId1"/>
  <drawing r:id="rId2"/>
  <tableParts count="4">
    <tablePart r:id="rId3"/>
    <tablePart r:id="rId4"/>
    <tablePart r:id="rId5"/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S108"/>
  <sheetViews>
    <sheetView zoomScale="85" zoomScaleNormal="85" workbookViewId="0">
      <selection activeCell="D24" sqref="D24"/>
    </sheetView>
  </sheetViews>
  <sheetFormatPr defaultColWidth="10.625" defaultRowHeight="16.5"/>
  <cols>
    <col min="1" max="1" width="23" style="3" customWidth="1"/>
    <col min="2" max="2" width="15.625" style="3" customWidth="1"/>
    <col min="3" max="3" width="1.625" style="3" customWidth="1"/>
    <col min="4" max="12" width="10.625" style="3"/>
    <col min="13" max="13" width="10.625" style="3" customWidth="1"/>
    <col min="14" max="16384" width="10.625" style="3"/>
  </cols>
  <sheetData>
    <row r="1" spans="1:18">
      <c r="A1" s="6" t="s">
        <v>149</v>
      </c>
      <c r="B1" s="7" t="s">
        <v>340</v>
      </c>
      <c r="C1" s="7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10"/>
      <c r="R1" s="10"/>
    </row>
    <row r="2" spans="1:18">
      <c r="A2" s="70" t="s">
        <v>1929</v>
      </c>
      <c r="B2" s="70" t="s">
        <v>119</v>
      </c>
      <c r="C2" s="70"/>
      <c r="D2" s="205" t="s">
        <v>1952</v>
      </c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</row>
    <row r="3" spans="1:18">
      <c r="A3" s="9" t="s">
        <v>1928</v>
      </c>
      <c r="B3" s="9" t="s">
        <v>122</v>
      </c>
      <c r="C3" s="9"/>
      <c r="D3" s="269" t="s">
        <v>1934</v>
      </c>
    </row>
    <row r="4" spans="1:18">
      <c r="A4" s="9" t="s">
        <v>1928</v>
      </c>
      <c r="B4" s="73"/>
      <c r="C4" s="73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608"/>
    </row>
    <row r="5" spans="1:18">
      <c r="A5" s="9" t="s">
        <v>1928</v>
      </c>
      <c r="B5" s="9" t="s">
        <v>111</v>
      </c>
      <c r="C5" s="9"/>
      <c r="D5" s="3" t="s">
        <v>19</v>
      </c>
      <c r="E5" s="9" t="s">
        <v>1931</v>
      </c>
      <c r="F5" s="9" t="s">
        <v>1932</v>
      </c>
      <c r="G5" s="9" t="s">
        <v>167</v>
      </c>
      <c r="H5" s="9" t="s">
        <v>168</v>
      </c>
      <c r="I5" s="9" t="s">
        <v>169</v>
      </c>
      <c r="J5" s="9" t="s">
        <v>170</v>
      </c>
      <c r="K5" s="9" t="s">
        <v>171</v>
      </c>
      <c r="L5" s="9" t="s">
        <v>183</v>
      </c>
      <c r="M5" s="60" t="s">
        <v>184</v>
      </c>
      <c r="N5" s="9" t="s">
        <v>1933</v>
      </c>
      <c r="O5" s="9" t="s">
        <v>1050</v>
      </c>
      <c r="R5" s="521"/>
    </row>
    <row r="6" spans="1:18">
      <c r="A6" s="9" t="s">
        <v>1928</v>
      </c>
      <c r="B6" s="9" t="s">
        <v>111</v>
      </c>
      <c r="C6" s="9"/>
      <c r="D6" s="3" t="s">
        <v>165</v>
      </c>
      <c r="E6" s="378">
        <v>0.4</v>
      </c>
      <c r="F6" s="378">
        <v>0.5</v>
      </c>
      <c r="G6" s="378">
        <v>0.6</v>
      </c>
      <c r="H6" s="378">
        <v>0.9</v>
      </c>
      <c r="I6" s="378">
        <v>1.6</v>
      </c>
      <c r="J6" s="378">
        <v>1.8</v>
      </c>
      <c r="K6" s="378">
        <v>2</v>
      </c>
      <c r="L6" s="43">
        <v>2.2000000000000002</v>
      </c>
      <c r="M6" s="379">
        <v>2.4</v>
      </c>
      <c r="N6" s="375">
        <v>26</v>
      </c>
      <c r="O6" s="9"/>
      <c r="R6" s="521"/>
    </row>
    <row r="7" spans="1:18">
      <c r="A7" s="9" t="s">
        <v>1928</v>
      </c>
      <c r="B7" s="74"/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</row>
    <row r="8" spans="1:18">
      <c r="A8" s="9" t="s">
        <v>1928</v>
      </c>
      <c r="B8" s="9" t="s">
        <v>112</v>
      </c>
      <c r="C8" s="9"/>
    </row>
    <row r="9" spans="1:18">
      <c r="A9" s="9" t="s">
        <v>1928</v>
      </c>
      <c r="B9" s="9" t="s">
        <v>112</v>
      </c>
      <c r="C9" s="9"/>
    </row>
    <row r="10" spans="1:18">
      <c r="A10" s="9" t="s">
        <v>1928</v>
      </c>
      <c r="B10" s="9" t="s">
        <v>112</v>
      </c>
      <c r="C10" s="9"/>
    </row>
    <row r="11" spans="1:18">
      <c r="A11" s="9" t="s">
        <v>1928</v>
      </c>
      <c r="B11" s="9" t="s">
        <v>112</v>
      </c>
      <c r="C11" s="9"/>
    </row>
    <row r="12" spans="1:18">
      <c r="A12" s="9" t="s">
        <v>1928</v>
      </c>
      <c r="B12" s="9" t="s">
        <v>112</v>
      </c>
      <c r="C12" s="9"/>
    </row>
    <row r="13" spans="1:18">
      <c r="A13" s="9" t="s">
        <v>1928</v>
      </c>
      <c r="B13" s="9" t="s">
        <v>112</v>
      </c>
      <c r="C13" s="9"/>
    </row>
    <row r="14" spans="1:18">
      <c r="A14" s="9" t="s">
        <v>1928</v>
      </c>
      <c r="B14" s="9" t="s">
        <v>112</v>
      </c>
      <c r="C14" s="9"/>
    </row>
    <row r="15" spans="1:18">
      <c r="A15" s="9" t="s">
        <v>1928</v>
      </c>
      <c r="B15" s="9" t="s">
        <v>112</v>
      </c>
      <c r="C15" s="9"/>
    </row>
    <row r="16" spans="1:18">
      <c r="A16" s="9" t="s">
        <v>1928</v>
      </c>
      <c r="B16" s="9" t="s">
        <v>112</v>
      </c>
      <c r="C16" s="9"/>
    </row>
    <row r="17" spans="1:18">
      <c r="A17" s="9" t="s">
        <v>1928</v>
      </c>
      <c r="B17" s="9" t="s">
        <v>112</v>
      </c>
      <c r="C17" s="9"/>
    </row>
    <row r="18" spans="1:18">
      <c r="A18" s="9" t="s">
        <v>1928</v>
      </c>
      <c r="B18" s="9" t="s">
        <v>112</v>
      </c>
      <c r="C18" s="9"/>
    </row>
    <row r="19" spans="1:18">
      <c r="A19" s="9" t="s">
        <v>1928</v>
      </c>
      <c r="B19" s="9" t="s">
        <v>112</v>
      </c>
      <c r="C19" s="9"/>
    </row>
    <row r="20" spans="1:18">
      <c r="A20" s="9" t="s">
        <v>1928</v>
      </c>
      <c r="B20" s="9" t="s">
        <v>112</v>
      </c>
      <c r="C20" s="9"/>
    </row>
    <row r="21" spans="1:18">
      <c r="A21" s="9" t="s">
        <v>1928</v>
      </c>
      <c r="B21" s="9" t="s">
        <v>112</v>
      </c>
      <c r="C21" s="9"/>
    </row>
    <row r="22" spans="1:18">
      <c r="A22" s="9" t="s">
        <v>1928</v>
      </c>
      <c r="B22" s="9" t="s">
        <v>112</v>
      </c>
      <c r="C22" s="9"/>
    </row>
    <row r="23" spans="1:18">
      <c r="A23" s="9" t="s">
        <v>1928</v>
      </c>
      <c r="B23" s="9"/>
      <c r="C23" s="9"/>
    </row>
    <row r="24" spans="1:18">
      <c r="A24" s="9" t="s">
        <v>1929</v>
      </c>
      <c r="B24" s="9" t="s">
        <v>124</v>
      </c>
      <c r="C24" s="9"/>
      <c r="D24" s="269" t="s">
        <v>1936</v>
      </c>
    </row>
    <row r="25" spans="1:18" s="74" customFormat="1">
      <c r="A25" s="9" t="s">
        <v>1928</v>
      </c>
      <c r="D25" s="73"/>
      <c r="F25" s="73"/>
      <c r="G25" s="73"/>
      <c r="H25" s="73"/>
      <c r="I25" s="73"/>
      <c r="J25" s="73"/>
      <c r="K25" s="73"/>
      <c r="L25" s="73"/>
      <c r="M25" s="73"/>
      <c r="N25" s="73"/>
      <c r="O25" s="73"/>
      <c r="P25" s="73"/>
    </row>
    <row r="26" spans="1:18">
      <c r="A26" s="70" t="s">
        <v>1930</v>
      </c>
      <c r="B26" s="380" t="s">
        <v>119</v>
      </c>
      <c r="C26" s="70"/>
      <c r="D26" s="205" t="s">
        <v>1935</v>
      </c>
      <c r="E26" s="381"/>
      <c r="F26" s="70"/>
      <c r="G26" s="70"/>
      <c r="H26" s="70"/>
      <c r="I26" s="70"/>
      <c r="J26" s="70"/>
      <c r="K26" s="70"/>
      <c r="L26" s="70"/>
      <c r="M26" s="70"/>
      <c r="N26" s="70"/>
      <c r="O26" s="70"/>
      <c r="P26" s="70"/>
      <c r="Q26" s="70"/>
      <c r="R26" s="70"/>
    </row>
    <row r="27" spans="1:18">
      <c r="A27" s="9" t="s">
        <v>1930</v>
      </c>
      <c r="B27" s="9" t="s">
        <v>122</v>
      </c>
      <c r="C27" s="9"/>
      <c r="D27" s="315" t="s">
        <v>1946</v>
      </c>
    </row>
    <row r="28" spans="1:18">
      <c r="A28" s="9" t="s">
        <v>1930</v>
      </c>
      <c r="B28" s="9"/>
      <c r="C28" s="9"/>
      <c r="D28" s="277" t="s">
        <v>1947</v>
      </c>
    </row>
    <row r="29" spans="1:18">
      <c r="A29" s="9" t="s">
        <v>1930</v>
      </c>
      <c r="B29" s="9"/>
      <c r="C29" s="9"/>
      <c r="N29" s="9"/>
      <c r="R29" s="370"/>
    </row>
    <row r="30" spans="1:18">
      <c r="A30" s="9" t="s">
        <v>1930</v>
      </c>
      <c r="B30" s="9" t="s">
        <v>111</v>
      </c>
      <c r="C30" s="9"/>
      <c r="D30" s="3" t="s">
        <v>19</v>
      </c>
      <c r="E30" s="60" t="s">
        <v>1943</v>
      </c>
      <c r="F30" s="60" t="s">
        <v>1932</v>
      </c>
      <c r="G30" s="60" t="s">
        <v>1944</v>
      </c>
      <c r="H30" s="60" t="s">
        <v>1945</v>
      </c>
      <c r="I30" s="3" t="s">
        <v>169</v>
      </c>
      <c r="J30" s="3" t="s">
        <v>170</v>
      </c>
      <c r="K30" s="3" t="s">
        <v>171</v>
      </c>
      <c r="L30" s="9" t="s">
        <v>183</v>
      </c>
      <c r="M30" s="9" t="s">
        <v>184</v>
      </c>
      <c r="N30" s="9" t="s">
        <v>1050</v>
      </c>
      <c r="O30" s="9"/>
      <c r="P30" s="47"/>
      <c r="R30" s="370"/>
    </row>
    <row r="31" spans="1:18">
      <c r="A31" s="9" t="s">
        <v>1930</v>
      </c>
      <c r="B31" s="9" t="s">
        <v>111</v>
      </c>
      <c r="C31" s="9"/>
      <c r="D31" s="60" t="s">
        <v>1937</v>
      </c>
      <c r="E31" s="382">
        <v>0.34</v>
      </c>
      <c r="F31" s="382">
        <v>0.56000000000000005</v>
      </c>
      <c r="G31" s="382">
        <v>0.63</v>
      </c>
      <c r="H31" s="382">
        <v>0.99</v>
      </c>
      <c r="I31" s="382">
        <v>1.24</v>
      </c>
      <c r="J31" s="382">
        <v>1.35</v>
      </c>
      <c r="K31" s="382">
        <v>1.47</v>
      </c>
      <c r="L31" s="638">
        <v>1.58</v>
      </c>
      <c r="M31" s="638">
        <v>1.69</v>
      </c>
      <c r="N31" s="43"/>
      <c r="O31" s="9"/>
      <c r="P31" s="47"/>
      <c r="R31" s="370"/>
    </row>
    <row r="32" spans="1:18">
      <c r="A32" s="9" t="s">
        <v>1930</v>
      </c>
      <c r="B32" s="9" t="s">
        <v>111</v>
      </c>
      <c r="C32" s="9"/>
      <c r="D32" s="60" t="s">
        <v>1938</v>
      </c>
      <c r="E32" s="382">
        <v>0.28000000000000003</v>
      </c>
      <c r="F32" s="382">
        <v>0.51</v>
      </c>
      <c r="G32" s="382">
        <v>0.56000000000000005</v>
      </c>
      <c r="H32" s="382">
        <v>0.68</v>
      </c>
      <c r="I32" s="382">
        <v>0.96</v>
      </c>
      <c r="J32" s="382">
        <v>1.18</v>
      </c>
      <c r="K32" s="382">
        <v>1.3</v>
      </c>
      <c r="L32" s="638">
        <v>1.47</v>
      </c>
      <c r="M32" s="638">
        <v>1.63</v>
      </c>
      <c r="N32" s="43"/>
      <c r="O32" s="9"/>
      <c r="P32" s="47"/>
      <c r="Q32" s="60"/>
      <c r="R32" s="370"/>
    </row>
    <row r="33" spans="1:18">
      <c r="A33" s="9" t="s">
        <v>1930</v>
      </c>
      <c r="B33" s="9" t="s">
        <v>111</v>
      </c>
      <c r="C33" s="9"/>
      <c r="D33" s="60" t="s">
        <v>1939</v>
      </c>
      <c r="E33" s="382">
        <v>0.23</v>
      </c>
      <c r="F33" s="382">
        <v>0.28000000000000003</v>
      </c>
      <c r="G33" s="382">
        <v>0.34</v>
      </c>
      <c r="H33" s="382">
        <v>0.56000000000000005</v>
      </c>
      <c r="I33" s="382">
        <v>0.79</v>
      </c>
      <c r="J33" s="382">
        <v>1.1299999999999999</v>
      </c>
      <c r="K33" s="382">
        <v>1.24</v>
      </c>
      <c r="L33" s="638">
        <v>1.69</v>
      </c>
      <c r="M33" s="638">
        <v>2.14</v>
      </c>
      <c r="N33" s="43"/>
      <c r="O33" s="9"/>
      <c r="P33" s="47"/>
      <c r="R33" s="370"/>
    </row>
    <row r="34" spans="1:18">
      <c r="A34" s="9" t="s">
        <v>1930</v>
      </c>
      <c r="B34" s="9" t="s">
        <v>111</v>
      </c>
      <c r="D34" s="60" t="s">
        <v>1940</v>
      </c>
      <c r="E34" s="382">
        <v>0.23</v>
      </c>
      <c r="F34" s="382">
        <v>0.28000000000000003</v>
      </c>
      <c r="G34" s="382">
        <v>0.34</v>
      </c>
      <c r="H34" s="382">
        <v>0.51</v>
      </c>
      <c r="I34" s="382">
        <v>0.9</v>
      </c>
      <c r="J34" s="382">
        <v>1.01</v>
      </c>
      <c r="K34" s="382">
        <v>1.1299999999999999</v>
      </c>
      <c r="L34" s="638">
        <v>1.24</v>
      </c>
      <c r="M34" s="638">
        <v>1.35</v>
      </c>
      <c r="N34" s="43"/>
      <c r="O34" s="9"/>
      <c r="P34" s="47"/>
      <c r="R34" s="370"/>
    </row>
    <row r="35" spans="1:18">
      <c r="A35" s="9" t="s">
        <v>1930</v>
      </c>
      <c r="B35" s="9" t="s">
        <v>111</v>
      </c>
      <c r="C35" s="9"/>
      <c r="D35" s="60" t="s">
        <v>1941</v>
      </c>
      <c r="E35" s="382">
        <v>0.11</v>
      </c>
      <c r="F35" s="382">
        <v>0.23</v>
      </c>
      <c r="G35" s="382">
        <v>0.28000000000000003</v>
      </c>
      <c r="H35" s="382">
        <v>0.34</v>
      </c>
      <c r="I35" s="382">
        <v>0.45</v>
      </c>
      <c r="J35" s="382">
        <v>1.41</v>
      </c>
      <c r="K35" s="382">
        <v>1.97</v>
      </c>
      <c r="L35" s="638">
        <v>2.54</v>
      </c>
      <c r="M35" s="638">
        <v>3.1</v>
      </c>
    </row>
    <row r="36" spans="1:18">
      <c r="A36" s="9" t="s">
        <v>1930</v>
      </c>
      <c r="B36" s="9" t="s">
        <v>111</v>
      </c>
      <c r="C36" s="9"/>
      <c r="D36" s="60" t="s">
        <v>1942</v>
      </c>
      <c r="E36" s="382">
        <v>0.09</v>
      </c>
      <c r="F36" s="382">
        <v>0.17</v>
      </c>
      <c r="G36" s="382">
        <v>0.28000000000000003</v>
      </c>
      <c r="H36" s="382">
        <v>0.45</v>
      </c>
      <c r="I36" s="382">
        <v>0.45</v>
      </c>
      <c r="J36" s="382">
        <v>0.79</v>
      </c>
      <c r="K36" s="382">
        <v>0.9</v>
      </c>
      <c r="L36" s="638">
        <v>1.24</v>
      </c>
      <c r="M36" s="638">
        <v>1.58</v>
      </c>
    </row>
    <row r="37" spans="1:18">
      <c r="A37" s="9" t="s">
        <v>1930</v>
      </c>
      <c r="B37" s="9"/>
      <c r="C37" s="9"/>
      <c r="D37" s="622"/>
      <c r="E37" s="637"/>
      <c r="F37" s="637"/>
      <c r="G37" s="637"/>
      <c r="H37" s="637"/>
      <c r="I37" s="637"/>
      <c r="J37" s="637"/>
      <c r="K37" s="637"/>
      <c r="L37" s="637"/>
      <c r="M37" s="637"/>
    </row>
    <row r="38" spans="1:18">
      <c r="A38" s="9" t="s">
        <v>1930</v>
      </c>
      <c r="B38" s="9"/>
      <c r="C38" s="9"/>
      <c r="D38" s="60"/>
      <c r="E38" s="382"/>
      <c r="F38" s="382"/>
      <c r="G38" s="382"/>
      <c r="H38" s="382"/>
      <c r="I38" s="382"/>
      <c r="J38" s="382"/>
      <c r="K38" s="382"/>
      <c r="L38" s="638"/>
      <c r="M38" s="638"/>
    </row>
    <row r="39" spans="1:18">
      <c r="A39" s="9" t="s">
        <v>1930</v>
      </c>
      <c r="B39" s="9" t="s">
        <v>112</v>
      </c>
      <c r="C39" s="9"/>
    </row>
    <row r="40" spans="1:18">
      <c r="A40" s="9" t="s">
        <v>1930</v>
      </c>
      <c r="B40" s="9" t="s">
        <v>112</v>
      </c>
      <c r="C40" s="9"/>
    </row>
    <row r="41" spans="1:18">
      <c r="A41" s="9" t="s">
        <v>1930</v>
      </c>
      <c r="B41" s="9" t="s">
        <v>112</v>
      </c>
      <c r="C41" s="9"/>
    </row>
    <row r="42" spans="1:18">
      <c r="A42" s="9" t="s">
        <v>1930</v>
      </c>
      <c r="B42" s="9" t="s">
        <v>112</v>
      </c>
      <c r="C42" s="9"/>
    </row>
    <row r="43" spans="1:18">
      <c r="A43" s="9" t="s">
        <v>1930</v>
      </c>
      <c r="B43" s="9" t="s">
        <v>112</v>
      </c>
      <c r="C43" s="9"/>
    </row>
    <row r="44" spans="1:18">
      <c r="A44" s="9" t="s">
        <v>1930</v>
      </c>
      <c r="B44" s="9" t="s">
        <v>112</v>
      </c>
      <c r="C44" s="9"/>
    </row>
    <row r="45" spans="1:18">
      <c r="A45" s="9" t="s">
        <v>1930</v>
      </c>
      <c r="B45" s="9" t="s">
        <v>112</v>
      </c>
      <c r="C45" s="9"/>
    </row>
    <row r="46" spans="1:18">
      <c r="A46" s="9" t="s">
        <v>1930</v>
      </c>
      <c r="B46" s="9" t="s">
        <v>112</v>
      </c>
      <c r="C46" s="9"/>
    </row>
    <row r="47" spans="1:18">
      <c r="A47" s="9" t="s">
        <v>1930</v>
      </c>
      <c r="B47" s="9" t="s">
        <v>112</v>
      </c>
      <c r="C47" s="9"/>
    </row>
    <row r="48" spans="1:18">
      <c r="A48" s="9" t="s">
        <v>1930</v>
      </c>
      <c r="B48" s="9" t="s">
        <v>112</v>
      </c>
      <c r="C48" s="9"/>
    </row>
    <row r="49" spans="1:19">
      <c r="A49" s="9" t="s">
        <v>1930</v>
      </c>
      <c r="B49" s="9" t="s">
        <v>112</v>
      </c>
      <c r="C49" s="9"/>
    </row>
    <row r="50" spans="1:19">
      <c r="A50" s="9" t="s">
        <v>1930</v>
      </c>
      <c r="B50" s="9" t="s">
        <v>112</v>
      </c>
      <c r="C50" s="9"/>
    </row>
    <row r="51" spans="1:19">
      <c r="A51" s="9" t="s">
        <v>1930</v>
      </c>
      <c r="C51" s="9"/>
    </row>
    <row r="52" spans="1:19">
      <c r="A52" s="9" t="s">
        <v>1930</v>
      </c>
      <c r="B52" s="9" t="s">
        <v>124</v>
      </c>
      <c r="C52" s="9"/>
      <c r="D52" s="269" t="s">
        <v>1936</v>
      </c>
    </row>
    <row r="53" spans="1:19" s="74" customFormat="1">
      <c r="A53" s="9" t="s">
        <v>1930</v>
      </c>
      <c r="D53" s="73"/>
      <c r="E53" s="73"/>
      <c r="F53" s="73"/>
      <c r="G53" s="73"/>
      <c r="H53" s="73"/>
      <c r="I53" s="73"/>
      <c r="J53" s="73"/>
      <c r="K53" s="73"/>
      <c r="L53" s="73"/>
      <c r="M53" s="73"/>
      <c r="N53" s="73"/>
      <c r="O53" s="73"/>
      <c r="P53" s="73"/>
    </row>
    <row r="54" spans="1:19">
      <c r="A54" s="70"/>
      <c r="B54" s="70"/>
      <c r="C54" s="70"/>
      <c r="D54" s="314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  <c r="R54" s="70"/>
    </row>
    <row r="55" spans="1:19">
      <c r="A55" s="9"/>
      <c r="B55" s="9"/>
      <c r="C55" s="9"/>
      <c r="D55" s="315"/>
    </row>
    <row r="56" spans="1:19">
      <c r="A56" s="73"/>
      <c r="B56" s="73"/>
      <c r="C56" s="73"/>
      <c r="D56" s="283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/>
    </row>
    <row r="57" spans="1:19">
      <c r="A57" s="73"/>
      <c r="B57" s="73"/>
      <c r="C57" s="73"/>
      <c r="D57" s="74"/>
      <c r="E57" s="74"/>
      <c r="F57" s="373"/>
      <c r="G57" s="74"/>
      <c r="H57" s="74"/>
      <c r="I57" s="74"/>
      <c r="J57" s="74"/>
      <c r="K57" s="74"/>
      <c r="L57" s="74"/>
      <c r="M57" s="74"/>
      <c r="N57" s="73"/>
      <c r="O57" s="74"/>
      <c r="P57" s="74"/>
      <c r="Q57" s="74"/>
      <c r="R57" s="74"/>
      <c r="S57" s="74"/>
    </row>
    <row r="58" spans="1:19">
      <c r="A58" s="73"/>
      <c r="B58" s="73"/>
      <c r="C58" s="73"/>
      <c r="D58" s="373"/>
      <c r="E58" s="630"/>
      <c r="F58" s="630"/>
      <c r="G58" s="631"/>
      <c r="H58" s="373"/>
      <c r="I58" s="631"/>
      <c r="J58" s="631"/>
      <c r="K58" s="74"/>
      <c r="L58" s="631"/>
      <c r="M58" s="631"/>
      <c r="N58" s="632"/>
      <c r="O58" s="74"/>
      <c r="P58" s="74"/>
      <c r="Q58" s="74"/>
      <c r="R58" s="74"/>
      <c r="S58" s="74"/>
    </row>
    <row r="59" spans="1:19">
      <c r="A59" s="73"/>
      <c r="B59" s="73"/>
      <c r="C59" s="73"/>
      <c r="D59" s="373"/>
      <c r="E59" s="630"/>
      <c r="F59" s="630"/>
      <c r="G59" s="631"/>
      <c r="H59" s="631"/>
      <c r="I59" s="631"/>
      <c r="J59" s="631"/>
      <c r="K59" s="631"/>
      <c r="L59" s="631"/>
      <c r="M59" s="631"/>
      <c r="N59" s="632"/>
      <c r="O59" s="74"/>
      <c r="P59" s="633"/>
      <c r="Q59" s="74"/>
      <c r="R59" s="74"/>
      <c r="S59" s="74"/>
    </row>
    <row r="60" spans="1:19">
      <c r="A60" s="73"/>
      <c r="B60" s="73"/>
      <c r="C60" s="73"/>
      <c r="D60" s="73"/>
      <c r="E60" s="630"/>
      <c r="F60" s="630"/>
      <c r="G60" s="631"/>
      <c r="H60" s="631"/>
      <c r="I60" s="631"/>
      <c r="J60" s="631"/>
      <c r="K60" s="373"/>
      <c r="L60" s="631"/>
      <c r="M60" s="631"/>
      <c r="N60" s="632"/>
      <c r="O60" s="74"/>
      <c r="P60" s="633"/>
      <c r="Q60" s="74"/>
      <c r="R60" s="74"/>
      <c r="S60" s="74"/>
    </row>
    <row r="61" spans="1:19">
      <c r="A61" s="73"/>
      <c r="B61" s="73"/>
      <c r="C61" s="73"/>
      <c r="D61" s="373"/>
      <c r="E61" s="630"/>
      <c r="F61" s="630"/>
      <c r="G61" s="631"/>
      <c r="H61" s="631"/>
      <c r="I61" s="631"/>
      <c r="J61" s="631"/>
      <c r="K61" s="631"/>
      <c r="L61" s="631"/>
      <c r="M61" s="631"/>
      <c r="N61" s="632"/>
      <c r="O61" s="74"/>
      <c r="P61" s="74"/>
      <c r="Q61" s="74"/>
      <c r="R61" s="74"/>
      <c r="S61" s="74"/>
    </row>
    <row r="62" spans="1:19">
      <c r="A62" s="73"/>
      <c r="B62" s="74"/>
      <c r="C62" s="74"/>
      <c r="D62" s="73"/>
      <c r="E62" s="630"/>
      <c r="F62" s="630"/>
      <c r="G62" s="631"/>
      <c r="H62" s="631"/>
      <c r="I62" s="631"/>
      <c r="J62" s="631"/>
      <c r="K62" s="631"/>
      <c r="L62" s="631"/>
      <c r="M62" s="631"/>
      <c r="N62" s="632"/>
      <c r="O62" s="74"/>
      <c r="P62" s="74"/>
      <c r="Q62" s="74"/>
      <c r="R62" s="74"/>
      <c r="S62" s="74"/>
    </row>
    <row r="63" spans="1:19">
      <c r="A63" s="73"/>
      <c r="B63" s="74"/>
      <c r="C63" s="74"/>
      <c r="D63" s="373"/>
      <c r="E63" s="630"/>
      <c r="F63" s="630"/>
      <c r="G63" s="631"/>
      <c r="H63" s="631"/>
      <c r="I63" s="631"/>
      <c r="J63" s="631"/>
      <c r="K63" s="631"/>
      <c r="L63" s="631"/>
      <c r="M63" s="631"/>
      <c r="N63" s="632"/>
      <c r="O63" s="74"/>
      <c r="P63" s="74"/>
      <c r="Q63" s="74"/>
      <c r="R63" s="74"/>
      <c r="S63" s="74"/>
    </row>
    <row r="64" spans="1:19">
      <c r="A64" s="73"/>
      <c r="B64" s="73"/>
      <c r="C64" s="73"/>
      <c r="D64" s="73"/>
      <c r="E64" s="630"/>
      <c r="F64" s="630"/>
      <c r="G64" s="631"/>
      <c r="H64" s="631"/>
      <c r="I64" s="631"/>
      <c r="J64" s="631"/>
      <c r="K64" s="631"/>
      <c r="L64" s="631"/>
      <c r="M64" s="631"/>
      <c r="N64" s="632"/>
      <c r="O64" s="74"/>
      <c r="P64" s="74"/>
      <c r="Q64" s="74"/>
      <c r="R64" s="74"/>
      <c r="S64" s="74"/>
    </row>
    <row r="65" spans="1:19">
      <c r="A65" s="73"/>
      <c r="B65" s="73"/>
      <c r="C65" s="73"/>
      <c r="D65" s="73"/>
      <c r="E65" s="634"/>
      <c r="F65" s="634"/>
      <c r="G65" s="631"/>
      <c r="H65" s="631"/>
      <c r="I65" s="631"/>
      <c r="J65" s="631"/>
      <c r="K65" s="631"/>
      <c r="L65" s="631"/>
      <c r="M65" s="631"/>
      <c r="N65" s="632"/>
      <c r="O65" s="74"/>
      <c r="P65" s="74"/>
      <c r="Q65" s="74"/>
      <c r="R65" s="74"/>
      <c r="S65" s="74"/>
    </row>
    <row r="66" spans="1:19">
      <c r="A66" s="73"/>
      <c r="B66" s="73"/>
      <c r="C66" s="73"/>
      <c r="D66" s="73"/>
      <c r="E66" s="73"/>
      <c r="F66" s="73"/>
      <c r="G66" s="73"/>
      <c r="H66" s="73"/>
      <c r="I66" s="73"/>
      <c r="J66" s="73"/>
      <c r="K66" s="73"/>
      <c r="L66" s="635"/>
      <c r="M66" s="73"/>
      <c r="N66" s="73"/>
      <c r="O66" s="74"/>
      <c r="P66" s="74"/>
      <c r="Q66" s="74"/>
      <c r="R66" s="74"/>
      <c r="S66" s="74"/>
    </row>
    <row r="67" spans="1:19">
      <c r="A67" s="73"/>
      <c r="B67" s="73"/>
      <c r="C67" s="73"/>
      <c r="D67" s="74"/>
      <c r="E67" s="74"/>
      <c r="F67" s="74"/>
      <c r="G67" s="74"/>
      <c r="H67" s="74"/>
      <c r="I67" s="74"/>
      <c r="J67" s="74"/>
      <c r="K67" s="74"/>
      <c r="L67" s="74"/>
      <c r="M67" s="74"/>
      <c r="N67" s="74"/>
      <c r="O67" s="74"/>
      <c r="P67" s="74"/>
      <c r="Q67" s="74"/>
      <c r="R67" s="74"/>
      <c r="S67" s="74"/>
    </row>
    <row r="68" spans="1:19">
      <c r="A68" s="73"/>
      <c r="B68" s="73"/>
      <c r="C68" s="73"/>
      <c r="D68" s="74"/>
      <c r="E68" s="74"/>
      <c r="F68" s="74"/>
      <c r="G68" s="74"/>
      <c r="H68" s="74"/>
      <c r="I68" s="74"/>
      <c r="J68" s="74"/>
      <c r="K68" s="74"/>
      <c r="L68" s="74"/>
      <c r="M68" s="74"/>
      <c r="N68" s="74"/>
      <c r="O68" s="74"/>
      <c r="P68" s="74"/>
      <c r="Q68" s="74"/>
      <c r="R68" s="74"/>
      <c r="S68" s="74"/>
    </row>
    <row r="69" spans="1:19">
      <c r="A69" s="73"/>
      <c r="B69" s="73"/>
      <c r="C69" s="73"/>
      <c r="D69" s="74"/>
      <c r="E69" s="74"/>
      <c r="F69" s="74"/>
      <c r="G69" s="74"/>
      <c r="H69" s="74"/>
      <c r="I69" s="74"/>
      <c r="J69" s="74"/>
      <c r="K69" s="74"/>
      <c r="L69" s="74"/>
      <c r="M69" s="74"/>
      <c r="N69" s="74"/>
      <c r="O69" s="74"/>
      <c r="P69" s="74"/>
      <c r="Q69" s="74"/>
      <c r="R69" s="74"/>
      <c r="S69" s="74"/>
    </row>
    <row r="70" spans="1:19">
      <c r="A70" s="73"/>
      <c r="B70" s="73"/>
      <c r="C70" s="73"/>
      <c r="D70" s="74"/>
      <c r="E70" s="74"/>
      <c r="F70" s="74"/>
      <c r="G70" s="74"/>
      <c r="H70" s="74"/>
      <c r="I70" s="74"/>
      <c r="J70" s="74"/>
      <c r="K70" s="74"/>
      <c r="L70" s="74"/>
      <c r="M70" s="74"/>
      <c r="N70" s="74"/>
      <c r="O70" s="74"/>
      <c r="P70" s="74"/>
      <c r="Q70" s="74"/>
      <c r="R70" s="74"/>
      <c r="S70" s="74"/>
    </row>
    <row r="71" spans="1:19">
      <c r="A71" s="73"/>
      <c r="B71" s="73"/>
      <c r="C71" s="73"/>
      <c r="D71" s="74"/>
      <c r="E71" s="74"/>
      <c r="F71" s="74"/>
      <c r="G71" s="74"/>
      <c r="H71" s="74"/>
      <c r="I71" s="74"/>
      <c r="J71" s="74"/>
      <c r="K71" s="74"/>
      <c r="L71" s="74"/>
      <c r="M71" s="74"/>
      <c r="N71" s="74"/>
      <c r="O71" s="74"/>
      <c r="P71" s="74"/>
      <c r="Q71" s="74"/>
      <c r="R71" s="74"/>
      <c r="S71" s="74"/>
    </row>
    <row r="72" spans="1:19">
      <c r="A72" s="73"/>
      <c r="B72" s="73"/>
      <c r="C72" s="73"/>
      <c r="D72" s="74"/>
      <c r="E72" s="74"/>
      <c r="F72" s="74"/>
      <c r="G72" s="74"/>
      <c r="H72" s="74"/>
      <c r="I72" s="74"/>
      <c r="J72" s="74"/>
      <c r="K72" s="74"/>
      <c r="L72" s="74"/>
      <c r="M72" s="74"/>
      <c r="N72" s="74"/>
      <c r="O72" s="74"/>
      <c r="P72" s="74"/>
      <c r="Q72" s="74"/>
      <c r="R72" s="74"/>
      <c r="S72" s="74"/>
    </row>
    <row r="73" spans="1:19">
      <c r="A73" s="73"/>
      <c r="B73" s="73"/>
      <c r="C73" s="73"/>
      <c r="D73" s="74"/>
      <c r="E73" s="74"/>
      <c r="F73" s="74"/>
      <c r="G73" s="74"/>
      <c r="H73" s="74"/>
      <c r="I73" s="74"/>
      <c r="J73" s="74"/>
      <c r="K73" s="74"/>
      <c r="L73" s="74"/>
      <c r="M73" s="74"/>
      <c r="N73" s="74"/>
      <c r="O73" s="74"/>
      <c r="P73" s="74"/>
      <c r="Q73" s="74"/>
      <c r="R73" s="74"/>
      <c r="S73" s="74"/>
    </row>
    <row r="74" spans="1:19">
      <c r="A74" s="73"/>
      <c r="B74" s="73"/>
      <c r="C74" s="73"/>
      <c r="D74" s="74"/>
      <c r="E74" s="74"/>
      <c r="F74" s="74"/>
      <c r="G74" s="74"/>
      <c r="H74" s="74"/>
      <c r="I74" s="74"/>
      <c r="J74" s="74"/>
      <c r="K74" s="74"/>
      <c r="L74" s="74"/>
      <c r="M74" s="74"/>
      <c r="N74" s="74"/>
      <c r="O74" s="74"/>
      <c r="P74" s="74"/>
      <c r="Q74" s="74"/>
      <c r="R74" s="74"/>
      <c r="S74" s="74"/>
    </row>
    <row r="75" spans="1:19">
      <c r="A75" s="73"/>
      <c r="B75" s="73"/>
      <c r="C75" s="73"/>
      <c r="D75" s="74"/>
      <c r="E75" s="74"/>
      <c r="F75" s="74"/>
      <c r="G75" s="74"/>
      <c r="H75" s="74"/>
      <c r="I75" s="74"/>
      <c r="J75" s="74"/>
      <c r="K75" s="74"/>
      <c r="L75" s="74"/>
      <c r="M75" s="74"/>
      <c r="N75" s="74"/>
      <c r="O75" s="74"/>
      <c r="P75" s="74"/>
      <c r="Q75" s="74"/>
      <c r="R75" s="74"/>
      <c r="S75" s="74"/>
    </row>
    <row r="76" spans="1:19">
      <c r="A76" s="73"/>
      <c r="B76" s="73"/>
      <c r="C76" s="73"/>
      <c r="D76" s="74"/>
      <c r="E76" s="74"/>
      <c r="F76" s="74"/>
      <c r="G76" s="74"/>
      <c r="H76" s="74"/>
      <c r="I76" s="74"/>
      <c r="J76" s="74"/>
      <c r="K76" s="74"/>
      <c r="L76" s="74"/>
      <c r="M76" s="74"/>
      <c r="N76" s="74"/>
      <c r="O76" s="74"/>
      <c r="P76" s="74"/>
      <c r="Q76" s="74"/>
      <c r="R76" s="74"/>
      <c r="S76" s="74"/>
    </row>
    <row r="77" spans="1:19">
      <c r="A77" s="73"/>
      <c r="B77" s="73"/>
      <c r="C77" s="73"/>
      <c r="D77" s="74"/>
      <c r="E77" s="74"/>
      <c r="F77" s="74"/>
      <c r="G77" s="74"/>
      <c r="H77" s="74"/>
      <c r="I77" s="74"/>
      <c r="J77" s="74"/>
      <c r="K77" s="74"/>
      <c r="L77" s="74"/>
      <c r="M77" s="74"/>
      <c r="N77" s="74"/>
      <c r="O77" s="74"/>
      <c r="P77" s="74"/>
      <c r="Q77" s="74"/>
      <c r="R77" s="74"/>
      <c r="S77" s="74"/>
    </row>
    <row r="78" spans="1:19">
      <c r="A78" s="73"/>
      <c r="B78" s="73"/>
      <c r="C78" s="73"/>
      <c r="D78" s="74"/>
      <c r="E78" s="74"/>
      <c r="F78" s="74"/>
      <c r="G78" s="74"/>
      <c r="H78" s="74"/>
      <c r="I78" s="74"/>
      <c r="J78" s="74"/>
      <c r="K78" s="74"/>
      <c r="L78" s="74"/>
      <c r="M78" s="74"/>
      <c r="N78" s="74"/>
      <c r="O78" s="74"/>
      <c r="P78" s="74"/>
      <c r="Q78" s="74"/>
      <c r="R78" s="74"/>
      <c r="S78" s="74"/>
    </row>
    <row r="79" spans="1:19">
      <c r="A79" s="73"/>
      <c r="B79" s="74"/>
      <c r="C79" s="73"/>
      <c r="D79" s="74"/>
      <c r="E79" s="74"/>
      <c r="F79" s="74"/>
      <c r="G79" s="74"/>
      <c r="H79" s="74"/>
      <c r="I79" s="74"/>
      <c r="J79" s="74"/>
      <c r="K79" s="74"/>
      <c r="L79" s="74"/>
      <c r="M79" s="74"/>
      <c r="N79" s="74"/>
      <c r="O79" s="74"/>
      <c r="P79" s="74"/>
      <c r="Q79" s="74"/>
      <c r="R79" s="74"/>
      <c r="S79" s="74"/>
    </row>
    <row r="80" spans="1:19" s="74" customFormat="1">
      <c r="A80" s="73"/>
      <c r="B80" s="73"/>
      <c r="D80" s="283"/>
      <c r="E80" s="73"/>
      <c r="F80" s="73"/>
      <c r="G80" s="73"/>
      <c r="H80" s="73"/>
      <c r="I80" s="73"/>
      <c r="J80" s="73"/>
      <c r="K80" s="73"/>
      <c r="L80" s="73"/>
      <c r="M80" s="73"/>
      <c r="N80" s="73"/>
      <c r="O80" s="73"/>
      <c r="P80" s="73"/>
    </row>
    <row r="81" spans="1:19">
      <c r="A81" s="392"/>
      <c r="B81" s="392"/>
      <c r="C81" s="392"/>
      <c r="D81" s="393"/>
      <c r="E81" s="392"/>
      <c r="F81" s="392"/>
      <c r="G81" s="392"/>
      <c r="H81" s="392"/>
      <c r="I81" s="392"/>
      <c r="J81" s="392"/>
      <c r="K81" s="392"/>
      <c r="L81" s="392"/>
      <c r="M81" s="392"/>
      <c r="N81" s="392"/>
      <c r="O81" s="392"/>
      <c r="P81" s="392"/>
      <c r="Q81" s="392"/>
      <c r="R81" s="392"/>
      <c r="S81" s="74"/>
    </row>
    <row r="82" spans="1:19">
      <c r="A82" s="73"/>
      <c r="B82" s="73"/>
      <c r="C82" s="73"/>
      <c r="D82" s="636"/>
      <c r="E82" s="74"/>
      <c r="F82" s="74"/>
      <c r="G82" s="74"/>
      <c r="H82" s="74"/>
      <c r="I82" s="74"/>
      <c r="J82" s="74"/>
      <c r="K82" s="74"/>
      <c r="L82" s="74"/>
      <c r="M82" s="74"/>
      <c r="N82" s="74"/>
      <c r="O82" s="74"/>
      <c r="P82" s="74"/>
      <c r="Q82" s="74"/>
      <c r="R82" s="74"/>
      <c r="S82" s="74"/>
    </row>
    <row r="83" spans="1:19">
      <c r="A83" s="73"/>
      <c r="B83" s="74"/>
      <c r="C83" s="74"/>
      <c r="D83" s="74"/>
      <c r="E83" s="74"/>
      <c r="F83" s="74"/>
      <c r="G83" s="74"/>
      <c r="H83" s="74"/>
      <c r="I83" s="74"/>
      <c r="J83" s="74"/>
      <c r="K83" s="74"/>
      <c r="L83" s="74"/>
      <c r="M83" s="74"/>
      <c r="N83" s="74"/>
      <c r="O83" s="74"/>
      <c r="P83" s="74"/>
      <c r="Q83" s="74"/>
      <c r="R83" s="74"/>
      <c r="S83" s="74"/>
    </row>
    <row r="84" spans="1:19">
      <c r="A84" s="9"/>
      <c r="B84" s="9"/>
      <c r="C84" s="9"/>
      <c r="N84" s="9"/>
      <c r="O84" s="9"/>
    </row>
    <row r="85" spans="1:19">
      <c r="A85" s="9"/>
      <c r="B85" s="9"/>
      <c r="C85" s="9"/>
      <c r="D85" s="9"/>
      <c r="E85" s="386"/>
      <c r="F85" s="374"/>
      <c r="G85" s="374"/>
      <c r="H85" s="374"/>
      <c r="I85" s="374"/>
      <c r="J85" s="374"/>
      <c r="K85" s="374"/>
      <c r="L85" s="374"/>
      <c r="M85" s="374"/>
      <c r="N85" s="43"/>
      <c r="O85" s="9"/>
    </row>
    <row r="86" spans="1:19">
      <c r="A86" s="9"/>
      <c r="B86" s="9"/>
      <c r="C86" s="9"/>
      <c r="D86" s="60"/>
      <c r="E86" s="386"/>
      <c r="F86" s="374"/>
      <c r="G86" s="374"/>
      <c r="H86" s="374"/>
      <c r="I86" s="374"/>
      <c r="J86" s="374"/>
      <c r="K86" s="374"/>
      <c r="L86" s="374"/>
      <c r="M86" s="374"/>
      <c r="N86" s="43"/>
      <c r="O86" s="9"/>
    </row>
    <row r="87" spans="1:19">
      <c r="A87" s="9"/>
      <c r="B87" s="9"/>
      <c r="C87" s="9"/>
      <c r="D87"/>
      <c r="E87" s="386"/>
      <c r="F87" s="374"/>
      <c r="G87" s="374"/>
      <c r="H87" s="374"/>
      <c r="I87" s="374"/>
      <c r="J87" s="374"/>
      <c r="K87" s="374"/>
      <c r="L87" s="374"/>
      <c r="M87" s="374"/>
      <c r="N87" s="43"/>
      <c r="O87" s="9"/>
    </row>
    <row r="88" spans="1:19">
      <c r="A88" s="9"/>
      <c r="B88" s="9"/>
      <c r="C88" s="9"/>
      <c r="D88"/>
      <c r="E88" s="386"/>
      <c r="F88" s="374"/>
      <c r="G88" s="374"/>
      <c r="H88" s="374"/>
      <c r="I88" s="374"/>
      <c r="J88" s="374"/>
      <c r="K88" s="374"/>
      <c r="L88" s="374"/>
      <c r="M88" s="374"/>
      <c r="N88" s="43"/>
      <c r="O88" s="9"/>
    </row>
    <row r="89" spans="1:19">
      <c r="A89" s="9"/>
      <c r="B89" s="9"/>
      <c r="C89" s="9"/>
      <c r="D89"/>
      <c r="E89" s="386"/>
      <c r="F89" s="374"/>
      <c r="G89" s="374"/>
      <c r="H89" s="374"/>
      <c r="I89" s="374"/>
      <c r="J89" s="374"/>
      <c r="K89" s="374"/>
      <c r="L89" s="374"/>
      <c r="M89" s="374"/>
      <c r="N89" s="43"/>
      <c r="O89" s="9"/>
    </row>
    <row r="90" spans="1:19">
      <c r="A90" s="9"/>
      <c r="D90" s="9"/>
      <c r="E90" s="384"/>
    </row>
    <row r="91" spans="1:19">
      <c r="A91" s="9"/>
      <c r="S91" s="385"/>
    </row>
    <row r="92" spans="1:19">
      <c r="A92" s="9"/>
      <c r="B92" s="9"/>
      <c r="C92" s="9"/>
      <c r="S92" s="385"/>
    </row>
    <row r="93" spans="1:19">
      <c r="A93" s="9"/>
      <c r="B93" s="9"/>
      <c r="C93" s="9"/>
      <c r="S93" s="83"/>
    </row>
    <row r="94" spans="1:19">
      <c r="A94" s="9"/>
      <c r="B94" s="9"/>
      <c r="C94" s="9"/>
      <c r="S94" s="83"/>
    </row>
    <row r="95" spans="1:19">
      <c r="A95" s="9"/>
      <c r="B95" s="9"/>
      <c r="C95" s="9"/>
      <c r="S95" s="83"/>
    </row>
    <row r="96" spans="1:19">
      <c r="A96" s="9"/>
      <c r="B96" s="9"/>
      <c r="C96" s="9"/>
      <c r="S96" s="83"/>
    </row>
    <row r="97" spans="1:16">
      <c r="A97" s="9"/>
      <c r="B97" s="9"/>
      <c r="C97" s="9"/>
    </row>
    <row r="98" spans="1:16">
      <c r="A98" s="9"/>
      <c r="B98" s="9"/>
      <c r="C98" s="9"/>
    </row>
    <row r="99" spans="1:16">
      <c r="A99" s="9"/>
      <c r="B99" s="9"/>
      <c r="C99" s="9"/>
    </row>
    <row r="100" spans="1:16">
      <c r="A100" s="9"/>
      <c r="B100" s="9"/>
      <c r="C100" s="9"/>
    </row>
    <row r="101" spans="1:16">
      <c r="A101" s="9"/>
      <c r="B101" s="9"/>
      <c r="C101" s="9"/>
    </row>
    <row r="102" spans="1:16">
      <c r="A102" s="9"/>
      <c r="B102" s="9"/>
      <c r="C102" s="9"/>
    </row>
    <row r="103" spans="1:16">
      <c r="A103" s="9"/>
      <c r="B103" s="9"/>
      <c r="C103" s="9"/>
    </row>
    <row r="104" spans="1:16">
      <c r="A104" s="9"/>
      <c r="B104" s="9"/>
      <c r="C104" s="9"/>
    </row>
    <row r="105" spans="1:16">
      <c r="A105" s="9"/>
      <c r="B105" s="9"/>
      <c r="C105" s="9"/>
    </row>
    <row r="106" spans="1:16">
      <c r="A106" s="9"/>
    </row>
    <row r="107" spans="1:16">
      <c r="A107" s="9"/>
      <c r="B107" s="9"/>
      <c r="C107" s="9"/>
      <c r="D107" s="4"/>
    </row>
    <row r="108" spans="1:16" s="74" customFormat="1">
      <c r="A108" s="9"/>
      <c r="B108" s="373"/>
      <c r="D108" s="269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P108" s="73"/>
    </row>
  </sheetData>
  <autoFilter ref="A1:B108" xr:uid="{00000000-0009-0000-0000-00000B000000}"/>
  <phoneticPr fontId="13" type="noConversion"/>
  <pageMargins left="0.7" right="0.7" top="0.75" bottom="0.75" header="0.3" footer="0.3"/>
  <pageSetup paperSize="9" orientation="portrait" horizontalDpi="1200" verticalDpi="1200" r:id="rId1"/>
  <drawing r:id="rId2"/>
  <tableParts count="2">
    <tablePart r:id="rId3"/>
    <tablePart r:id="rId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S100"/>
  <sheetViews>
    <sheetView topLeftCell="A78" zoomScale="85" zoomScaleNormal="85" workbookViewId="0">
      <selection activeCell="S15" sqref="S15"/>
    </sheetView>
  </sheetViews>
  <sheetFormatPr defaultColWidth="10.625" defaultRowHeight="16.5"/>
  <cols>
    <col min="1" max="1" width="19.75" style="3" customWidth="1"/>
    <col min="2" max="2" width="15.625" style="3" customWidth="1"/>
    <col min="3" max="3" width="1.625" style="3" customWidth="1"/>
    <col min="4" max="12" width="10.625" style="3"/>
    <col min="13" max="13" width="10.625" style="3" customWidth="1"/>
    <col min="14" max="16384" width="10.625" style="3"/>
  </cols>
  <sheetData>
    <row r="1" spans="1:18">
      <c r="A1" s="6" t="s">
        <v>149</v>
      </c>
      <c r="B1" s="7" t="s">
        <v>340</v>
      </c>
      <c r="C1" s="7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10"/>
      <c r="R1" s="10"/>
    </row>
    <row r="2" spans="1:18">
      <c r="A2" s="70" t="s">
        <v>1968</v>
      </c>
      <c r="B2" s="70" t="s">
        <v>119</v>
      </c>
      <c r="C2" s="70"/>
      <c r="D2" s="205" t="s">
        <v>1957</v>
      </c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</row>
    <row r="3" spans="1:18">
      <c r="A3" s="9" t="s">
        <v>1970</v>
      </c>
      <c r="B3" s="9" t="s">
        <v>122</v>
      </c>
      <c r="C3" s="9"/>
      <c r="D3" s="269" t="s">
        <v>1959</v>
      </c>
    </row>
    <row r="4" spans="1:18">
      <c r="A4" s="9" t="s">
        <v>1956</v>
      </c>
      <c r="B4" s="73"/>
      <c r="C4" s="73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</row>
    <row r="5" spans="1:18">
      <c r="A5" s="9" t="s">
        <v>1956</v>
      </c>
      <c r="B5" s="9" t="s">
        <v>111</v>
      </c>
      <c r="C5" s="9"/>
      <c r="D5" s="3" t="s">
        <v>19</v>
      </c>
      <c r="E5" s="60" t="s">
        <v>168</v>
      </c>
      <c r="F5" s="60" t="s">
        <v>169</v>
      </c>
      <c r="G5" s="60" t="s">
        <v>170</v>
      </c>
      <c r="H5" s="60" t="s">
        <v>171</v>
      </c>
      <c r="I5" s="60" t="s">
        <v>183</v>
      </c>
      <c r="J5" s="60" t="s">
        <v>184</v>
      </c>
      <c r="K5" s="60" t="s">
        <v>1960</v>
      </c>
      <c r="L5" s="9" t="s">
        <v>172</v>
      </c>
      <c r="N5" s="9" t="s">
        <v>1961</v>
      </c>
    </row>
    <row r="6" spans="1:18">
      <c r="A6" s="9" t="s">
        <v>1956</v>
      </c>
      <c r="B6" s="9" t="s">
        <v>111</v>
      </c>
      <c r="C6" s="9"/>
      <c r="D6" s="3" t="s">
        <v>165</v>
      </c>
      <c r="E6" s="378">
        <v>11.38</v>
      </c>
      <c r="F6" s="378">
        <v>12.79</v>
      </c>
      <c r="G6" s="378">
        <v>14.32</v>
      </c>
      <c r="H6" s="378">
        <v>15.73</v>
      </c>
      <c r="I6" s="378">
        <v>17.25</v>
      </c>
      <c r="J6" s="43">
        <v>18.88</v>
      </c>
      <c r="K6" s="378">
        <v>20.309999999999999</v>
      </c>
      <c r="L6" s="379">
        <v>10.1</v>
      </c>
      <c r="M6" s="379"/>
      <c r="N6" s="379"/>
      <c r="O6" s="9"/>
    </row>
    <row r="7" spans="1:18">
      <c r="A7" s="9" t="s">
        <v>1956</v>
      </c>
      <c r="B7" s="74"/>
      <c r="C7" s="74"/>
      <c r="D7" s="73" t="s">
        <v>1962</v>
      </c>
      <c r="E7" s="640"/>
      <c r="F7" s="639">
        <v>12.4</v>
      </c>
      <c r="G7" s="639">
        <v>11.9</v>
      </c>
      <c r="H7" s="639">
        <v>9.9</v>
      </c>
      <c r="I7" s="639">
        <v>9.6</v>
      </c>
      <c r="J7" s="639">
        <v>9.4</v>
      </c>
      <c r="K7" s="639">
        <v>7.6</v>
      </c>
      <c r="L7" s="74"/>
      <c r="M7" s="74"/>
      <c r="N7" s="74"/>
      <c r="O7" s="74"/>
      <c r="P7" s="74"/>
      <c r="Q7" s="74"/>
      <c r="R7" s="74"/>
    </row>
    <row r="8" spans="1:18">
      <c r="A8" s="9" t="s">
        <v>1956</v>
      </c>
      <c r="B8" s="9" t="s">
        <v>112</v>
      </c>
      <c r="C8" s="9"/>
    </row>
    <row r="9" spans="1:18">
      <c r="A9" s="9" t="s">
        <v>1956</v>
      </c>
      <c r="B9" s="9" t="s">
        <v>112</v>
      </c>
      <c r="C9" s="9"/>
    </row>
    <row r="10" spans="1:18">
      <c r="A10" s="9" t="s">
        <v>1956</v>
      </c>
      <c r="B10" s="9" t="s">
        <v>112</v>
      </c>
      <c r="C10" s="9"/>
    </row>
    <row r="11" spans="1:18">
      <c r="A11" s="9" t="s">
        <v>1956</v>
      </c>
      <c r="B11" s="9" t="s">
        <v>112</v>
      </c>
      <c r="C11" s="9"/>
    </row>
    <row r="12" spans="1:18">
      <c r="A12" s="9" t="s">
        <v>1956</v>
      </c>
      <c r="B12" s="9" t="s">
        <v>112</v>
      </c>
      <c r="C12" s="9"/>
    </row>
    <row r="13" spans="1:18">
      <c r="A13" s="9" t="s">
        <v>1956</v>
      </c>
      <c r="B13" s="9" t="s">
        <v>112</v>
      </c>
      <c r="C13" s="9"/>
    </row>
    <row r="14" spans="1:18">
      <c r="A14" s="9" t="s">
        <v>1956</v>
      </c>
      <c r="B14" s="9" t="s">
        <v>112</v>
      </c>
      <c r="C14" s="9"/>
    </row>
    <row r="15" spans="1:18">
      <c r="A15" s="9" t="s">
        <v>1956</v>
      </c>
      <c r="B15" s="9" t="s">
        <v>112</v>
      </c>
      <c r="C15" s="9"/>
    </row>
    <row r="16" spans="1:18">
      <c r="A16" s="9" t="s">
        <v>1956</v>
      </c>
      <c r="B16" s="9" t="s">
        <v>112</v>
      </c>
      <c r="C16" s="9"/>
    </row>
    <row r="17" spans="1:19">
      <c r="A17" s="9" t="s">
        <v>1956</v>
      </c>
      <c r="B17" s="9" t="s">
        <v>112</v>
      </c>
      <c r="C17" s="9"/>
    </row>
    <row r="18" spans="1:19">
      <c r="A18" s="9" t="s">
        <v>1956</v>
      </c>
      <c r="B18" s="9" t="s">
        <v>112</v>
      </c>
      <c r="C18" s="9"/>
    </row>
    <row r="19" spans="1:19">
      <c r="A19" s="9" t="s">
        <v>1956</v>
      </c>
      <c r="B19" s="9" t="s">
        <v>112</v>
      </c>
      <c r="C19" s="9"/>
    </row>
    <row r="20" spans="1:19">
      <c r="A20" s="9" t="s">
        <v>1956</v>
      </c>
      <c r="B20" s="9" t="s">
        <v>112</v>
      </c>
      <c r="C20" s="9"/>
    </row>
    <row r="21" spans="1:19">
      <c r="A21" s="9" t="s">
        <v>1956</v>
      </c>
      <c r="B21" s="9" t="s">
        <v>112</v>
      </c>
      <c r="C21" s="9"/>
    </row>
    <row r="22" spans="1:19">
      <c r="A22" s="9" t="s">
        <v>1956</v>
      </c>
      <c r="B22" s="9" t="s">
        <v>112</v>
      </c>
      <c r="C22" s="9"/>
    </row>
    <row r="23" spans="1:19">
      <c r="A23" s="9" t="s">
        <v>1956</v>
      </c>
      <c r="B23" s="9"/>
      <c r="C23" s="9"/>
    </row>
    <row r="24" spans="1:19">
      <c r="A24" s="9" t="s">
        <v>1956</v>
      </c>
      <c r="B24" s="9" t="s">
        <v>124</v>
      </c>
      <c r="C24" s="9"/>
      <c r="D24" s="272" t="s">
        <v>1958</v>
      </c>
    </row>
    <row r="25" spans="1:19" s="74" customFormat="1">
      <c r="A25" s="9" t="s">
        <v>1956</v>
      </c>
      <c r="D25" s="73"/>
      <c r="F25" s="73"/>
      <c r="G25" s="73"/>
      <c r="H25" s="73"/>
      <c r="I25" s="73"/>
      <c r="J25" s="73"/>
      <c r="K25" s="73"/>
      <c r="L25" s="73"/>
      <c r="M25" s="73"/>
      <c r="N25" s="73"/>
      <c r="O25" s="73"/>
      <c r="P25" s="73"/>
    </row>
    <row r="26" spans="1:19">
      <c r="A26" s="70" t="s">
        <v>1969</v>
      </c>
      <c r="B26" s="380" t="s">
        <v>119</v>
      </c>
      <c r="C26" s="70"/>
      <c r="D26" s="205" t="s">
        <v>1963</v>
      </c>
      <c r="E26" s="381"/>
      <c r="F26" s="70"/>
      <c r="G26" s="70"/>
      <c r="H26" s="70"/>
      <c r="I26" s="70"/>
      <c r="J26" s="70"/>
      <c r="K26" s="70"/>
      <c r="L26" s="70"/>
      <c r="M26" s="70"/>
      <c r="N26" s="70"/>
      <c r="O26" s="70"/>
      <c r="P26" s="70"/>
      <c r="Q26" s="70"/>
      <c r="R26" s="70"/>
    </row>
    <row r="27" spans="1:19">
      <c r="A27" s="9" t="s">
        <v>1971</v>
      </c>
      <c r="B27" s="9" t="s">
        <v>122</v>
      </c>
      <c r="C27" s="9"/>
      <c r="D27" s="315" t="s">
        <v>1967</v>
      </c>
    </row>
    <row r="28" spans="1:19">
      <c r="A28" s="9" t="s">
        <v>1971</v>
      </c>
      <c r="B28" s="9"/>
      <c r="C28" s="9"/>
      <c r="N28" s="9"/>
      <c r="R28" s="370"/>
      <c r="S28" s="385"/>
    </row>
    <row r="29" spans="1:19">
      <c r="A29" s="9" t="s">
        <v>1971</v>
      </c>
      <c r="B29" s="9" t="s">
        <v>111</v>
      </c>
      <c r="C29" s="9"/>
      <c r="D29" s="4" t="s">
        <v>19</v>
      </c>
      <c r="E29" s="60" t="s">
        <v>168</v>
      </c>
      <c r="F29" s="60" t="s">
        <v>169</v>
      </c>
      <c r="G29" s="60" t="s">
        <v>170</v>
      </c>
      <c r="H29" s="60" t="s">
        <v>171</v>
      </c>
      <c r="I29" s="60" t="s">
        <v>183</v>
      </c>
      <c r="J29" s="60" t="s">
        <v>184</v>
      </c>
      <c r="K29" s="60" t="s">
        <v>1960</v>
      </c>
      <c r="L29" s="389" t="s">
        <v>172</v>
      </c>
      <c r="M29" s="389" t="s">
        <v>1966</v>
      </c>
      <c r="O29" s="9"/>
      <c r="P29" s="47"/>
      <c r="R29" s="370"/>
      <c r="S29" s="521"/>
    </row>
    <row r="30" spans="1:19">
      <c r="A30" s="9" t="s">
        <v>1971</v>
      </c>
      <c r="B30" s="9" t="s">
        <v>111</v>
      </c>
      <c r="C30" s="9"/>
      <c r="D30" s="60" t="s">
        <v>1965</v>
      </c>
      <c r="E30" s="641">
        <v>4.91</v>
      </c>
      <c r="F30" s="641">
        <v>5.59</v>
      </c>
      <c r="G30" s="641">
        <v>6.19</v>
      </c>
      <c r="H30" s="641">
        <v>6.78</v>
      </c>
      <c r="I30" s="641">
        <v>7.24</v>
      </c>
      <c r="J30" s="641">
        <v>7.98</v>
      </c>
      <c r="K30" s="641">
        <v>9.0500000000000007</v>
      </c>
      <c r="L30" s="643">
        <v>10.7</v>
      </c>
      <c r="M30" s="642"/>
      <c r="N30" s="43"/>
      <c r="O30" s="9"/>
      <c r="P30" s="47"/>
      <c r="R30" s="370"/>
      <c r="S30" s="521"/>
    </row>
    <row r="31" spans="1:19">
      <c r="A31" s="9" t="s">
        <v>1971</v>
      </c>
      <c r="B31" s="9" t="s">
        <v>111</v>
      </c>
      <c r="C31" s="9"/>
      <c r="D31" s="60" t="s">
        <v>1964</v>
      </c>
      <c r="E31" s="641">
        <v>6.47</v>
      </c>
      <c r="F31" s="641">
        <v>7.2</v>
      </c>
      <c r="G31" s="641">
        <v>8.1300000000000008</v>
      </c>
      <c r="H31" s="641">
        <v>8.9499999999999993</v>
      </c>
      <c r="I31" s="641">
        <v>10.01</v>
      </c>
      <c r="J31" s="641">
        <v>10.9</v>
      </c>
      <c r="K31" s="641">
        <v>11.26</v>
      </c>
      <c r="L31" s="643">
        <v>9.6999999999999993</v>
      </c>
      <c r="M31" s="642"/>
      <c r="N31" s="43"/>
      <c r="O31" s="9"/>
      <c r="P31" s="47"/>
      <c r="R31" s="370"/>
      <c r="S31" s="606"/>
    </row>
    <row r="32" spans="1:19">
      <c r="A32" s="9" t="s">
        <v>1971</v>
      </c>
      <c r="B32" s="9" t="s">
        <v>111</v>
      </c>
      <c r="C32" s="9"/>
      <c r="D32" s="9"/>
      <c r="E32" s="383"/>
      <c r="F32" s="644"/>
      <c r="G32" s="644"/>
      <c r="H32" s="383"/>
      <c r="I32" s="383"/>
      <c r="J32" s="383"/>
      <c r="K32" s="642"/>
      <c r="L32" s="643"/>
      <c r="M32" s="38"/>
      <c r="N32" s="43"/>
      <c r="O32" s="9"/>
      <c r="P32" s="47"/>
      <c r="R32" s="370"/>
      <c r="S32" s="521"/>
    </row>
    <row r="33" spans="1:19">
      <c r="A33" s="9" t="s">
        <v>1971</v>
      </c>
      <c r="B33" s="9"/>
      <c r="C33" s="9"/>
      <c r="S33" s="385"/>
    </row>
    <row r="34" spans="1:19">
      <c r="A34" s="9" t="s">
        <v>1971</v>
      </c>
      <c r="B34" s="9" t="s">
        <v>112</v>
      </c>
      <c r="C34" s="9"/>
    </row>
    <row r="35" spans="1:19">
      <c r="A35" s="9" t="s">
        <v>1971</v>
      </c>
      <c r="B35" s="9" t="s">
        <v>112</v>
      </c>
      <c r="C35" s="9"/>
    </row>
    <row r="36" spans="1:19">
      <c r="A36" s="9" t="s">
        <v>1971</v>
      </c>
      <c r="B36" s="9" t="s">
        <v>112</v>
      </c>
      <c r="C36" s="9"/>
    </row>
    <row r="37" spans="1:19">
      <c r="A37" s="9" t="s">
        <v>1971</v>
      </c>
      <c r="B37" s="9" t="s">
        <v>112</v>
      </c>
      <c r="C37" s="9"/>
    </row>
    <row r="38" spans="1:19">
      <c r="A38" s="9" t="s">
        <v>1971</v>
      </c>
      <c r="B38" s="9" t="s">
        <v>112</v>
      </c>
      <c r="C38" s="9"/>
    </row>
    <row r="39" spans="1:19">
      <c r="A39" s="9" t="s">
        <v>1971</v>
      </c>
      <c r="B39" s="9" t="s">
        <v>112</v>
      </c>
      <c r="C39" s="9"/>
    </row>
    <row r="40" spans="1:19">
      <c r="A40" s="9" t="s">
        <v>1971</v>
      </c>
      <c r="B40" s="9" t="s">
        <v>112</v>
      </c>
      <c r="C40" s="9"/>
    </row>
    <row r="41" spans="1:19">
      <c r="A41" s="9" t="s">
        <v>1971</v>
      </c>
      <c r="B41" s="9" t="s">
        <v>112</v>
      </c>
      <c r="C41" s="9"/>
    </row>
    <row r="42" spans="1:19">
      <c r="A42" s="9" t="s">
        <v>1971</v>
      </c>
      <c r="B42" s="9" t="s">
        <v>112</v>
      </c>
      <c r="C42" s="9"/>
    </row>
    <row r="43" spans="1:19">
      <c r="A43" s="9" t="s">
        <v>1971</v>
      </c>
      <c r="B43" s="9" t="s">
        <v>112</v>
      </c>
      <c r="C43" s="9"/>
    </row>
    <row r="44" spans="1:19">
      <c r="A44" s="9" t="s">
        <v>1971</v>
      </c>
      <c r="B44" s="9" t="s">
        <v>112</v>
      </c>
      <c r="C44" s="9"/>
    </row>
    <row r="45" spans="1:19">
      <c r="A45" s="9" t="s">
        <v>1971</v>
      </c>
      <c r="B45" s="9" t="s">
        <v>112</v>
      </c>
      <c r="C45" s="9"/>
    </row>
    <row r="46" spans="1:19">
      <c r="A46" s="9" t="s">
        <v>1971</v>
      </c>
      <c r="B46" s="9"/>
      <c r="C46" s="9"/>
    </row>
    <row r="47" spans="1:19">
      <c r="A47" s="9" t="s">
        <v>1971</v>
      </c>
      <c r="B47" s="9" t="s">
        <v>124</v>
      </c>
      <c r="C47" s="9"/>
      <c r="D47" s="272" t="s">
        <v>1958</v>
      </c>
    </row>
    <row r="48" spans="1:19" s="74" customFormat="1">
      <c r="A48" s="9" t="s">
        <v>1971</v>
      </c>
      <c r="D48" s="73"/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3"/>
      <c r="P48" s="73"/>
    </row>
    <row r="49" spans="1:19">
      <c r="A49" s="70" t="s">
        <v>1972</v>
      </c>
      <c r="B49" s="380" t="s">
        <v>119</v>
      </c>
      <c r="C49" s="70"/>
      <c r="D49" s="205" t="s">
        <v>1973</v>
      </c>
      <c r="E49" s="381"/>
      <c r="F49" s="70"/>
      <c r="G49" s="70"/>
      <c r="H49" s="70"/>
      <c r="I49" s="70"/>
      <c r="J49" s="70"/>
      <c r="K49" s="70"/>
      <c r="L49" s="70"/>
      <c r="M49" s="70"/>
      <c r="N49" s="70"/>
      <c r="O49" s="70"/>
      <c r="P49" s="70"/>
      <c r="Q49" s="70"/>
      <c r="R49" s="70"/>
    </row>
    <row r="50" spans="1:19">
      <c r="A50" s="9" t="s">
        <v>1974</v>
      </c>
      <c r="B50" s="9" t="s">
        <v>122</v>
      </c>
      <c r="C50" s="9"/>
      <c r="D50" s="315" t="s">
        <v>1978</v>
      </c>
    </row>
    <row r="51" spans="1:19">
      <c r="A51" s="9" t="s">
        <v>1974</v>
      </c>
      <c r="B51" s="9"/>
      <c r="C51" s="9"/>
      <c r="N51" s="9"/>
      <c r="R51" s="370"/>
      <c r="S51" s="385"/>
    </row>
    <row r="52" spans="1:19">
      <c r="A52" s="9" t="s">
        <v>1974</v>
      </c>
      <c r="B52" s="9" t="s">
        <v>111</v>
      </c>
      <c r="C52" s="9"/>
      <c r="D52" s="4" t="s">
        <v>19</v>
      </c>
      <c r="E52" s="60" t="s">
        <v>168</v>
      </c>
      <c r="F52" s="60" t="s">
        <v>169</v>
      </c>
      <c r="G52" s="60" t="s">
        <v>170</v>
      </c>
      <c r="H52" s="60" t="s">
        <v>171</v>
      </c>
      <c r="I52" s="60" t="s">
        <v>183</v>
      </c>
      <c r="J52" s="60" t="s">
        <v>184</v>
      </c>
      <c r="K52" s="60" t="s">
        <v>1960</v>
      </c>
      <c r="L52" s="389" t="s">
        <v>172</v>
      </c>
      <c r="M52" s="389" t="s">
        <v>1966</v>
      </c>
      <c r="O52" s="9"/>
      <c r="P52" s="47"/>
      <c r="R52" s="370"/>
      <c r="S52" s="521"/>
    </row>
    <row r="53" spans="1:19">
      <c r="A53" s="9" t="s">
        <v>1974</v>
      </c>
      <c r="B53" s="9" t="s">
        <v>111</v>
      </c>
      <c r="C53" s="9"/>
      <c r="D53" s="60" t="s">
        <v>1975</v>
      </c>
      <c r="E53" s="641">
        <v>3.87</v>
      </c>
      <c r="F53" s="641">
        <v>4.22</v>
      </c>
      <c r="G53" s="641">
        <v>4.58</v>
      </c>
      <c r="H53" s="641">
        <v>4.88</v>
      </c>
      <c r="I53" s="641">
        <v>5.26</v>
      </c>
      <c r="J53" s="641">
        <v>5.57</v>
      </c>
      <c r="K53" s="641">
        <v>5.89</v>
      </c>
      <c r="L53" s="643">
        <v>7.3</v>
      </c>
      <c r="M53" s="642"/>
      <c r="N53" s="43"/>
      <c r="O53" s="173">
        <f>표11_100106[[#This Row],[2020년]]/표11_100106[[#Totals],[2020년]]</f>
        <v>0.34007029876977157</v>
      </c>
      <c r="P53" s="47"/>
      <c r="R53" s="370"/>
      <c r="S53" s="521"/>
    </row>
    <row r="54" spans="1:19">
      <c r="A54" s="9" t="s">
        <v>1974</v>
      </c>
      <c r="B54" s="9" t="s">
        <v>111</v>
      </c>
      <c r="C54" s="9"/>
      <c r="D54" s="60" t="s">
        <v>1976</v>
      </c>
      <c r="E54" s="641">
        <v>6.49</v>
      </c>
      <c r="F54" s="641">
        <v>7.36</v>
      </c>
      <c r="G54" s="641">
        <v>8.3000000000000007</v>
      </c>
      <c r="H54" s="641">
        <v>9.1300000000000008</v>
      </c>
      <c r="I54" s="641">
        <v>9.92</v>
      </c>
      <c r="J54" s="641">
        <v>10.76</v>
      </c>
      <c r="K54" s="641">
        <v>11.38</v>
      </c>
      <c r="L54" s="643">
        <v>9.8000000000000007</v>
      </c>
      <c r="M54" s="642"/>
      <c r="N54" s="43"/>
      <c r="O54" s="173">
        <f>표11_100106[[#This Row],[2020년]]/표11_100106[[#Totals],[2020년]]</f>
        <v>0.57029876977152905</v>
      </c>
      <c r="P54" s="47"/>
      <c r="R54" s="370"/>
      <c r="S54" s="606"/>
    </row>
    <row r="55" spans="1:19">
      <c r="A55" s="9" t="s">
        <v>1974</v>
      </c>
      <c r="B55" s="9" t="s">
        <v>111</v>
      </c>
      <c r="C55" s="9"/>
      <c r="D55" s="9" t="s">
        <v>1977</v>
      </c>
      <c r="E55" s="383">
        <v>1.02</v>
      </c>
      <c r="F55" s="644">
        <v>1.22</v>
      </c>
      <c r="G55" s="644">
        <v>1.43</v>
      </c>
      <c r="H55" s="383">
        <v>1.73</v>
      </c>
      <c r="I55" s="383">
        <v>2.0699999999999998</v>
      </c>
      <c r="J55" s="383">
        <v>2.5499999999999998</v>
      </c>
      <c r="K55" s="642">
        <v>3.05</v>
      </c>
      <c r="L55" s="643">
        <v>19.899999999999999</v>
      </c>
      <c r="M55" s="38"/>
      <c r="N55" s="43"/>
      <c r="O55" s="173">
        <f>표11_100106[[#This Row],[2020년]]/표11_100106[[#Totals],[2020년]]</f>
        <v>8.9630931458699478E-2</v>
      </c>
      <c r="P55" s="47"/>
      <c r="R55" s="370"/>
      <c r="S55" s="521"/>
    </row>
    <row r="56" spans="1:19">
      <c r="A56" s="9" t="s">
        <v>1974</v>
      </c>
      <c r="D56" s="622"/>
      <c r="E56" s="637">
        <f>SUM(E53:E55)</f>
        <v>11.379999999999999</v>
      </c>
      <c r="F56" s="645"/>
      <c r="G56" s="645"/>
      <c r="H56" s="637"/>
      <c r="I56" s="637"/>
      <c r="J56" s="637"/>
      <c r="K56" s="646"/>
      <c r="L56" s="647"/>
      <c r="M56" s="390"/>
      <c r="N56" s="43"/>
      <c r="O56" s="9"/>
      <c r="P56" s="47"/>
      <c r="R56" s="370"/>
      <c r="S56" s="385"/>
    </row>
    <row r="57" spans="1:19">
      <c r="A57" s="9" t="s">
        <v>1974</v>
      </c>
      <c r="B57" s="9"/>
      <c r="C57" s="9"/>
    </row>
    <row r="58" spans="1:19">
      <c r="A58" s="9" t="s">
        <v>1974</v>
      </c>
      <c r="B58" s="9" t="s">
        <v>112</v>
      </c>
      <c r="C58" s="9"/>
    </row>
    <row r="59" spans="1:19">
      <c r="A59" s="9" t="s">
        <v>1974</v>
      </c>
      <c r="B59" s="9" t="s">
        <v>112</v>
      </c>
      <c r="C59" s="9"/>
    </row>
    <row r="60" spans="1:19">
      <c r="A60" s="9" t="s">
        <v>1974</v>
      </c>
      <c r="B60" s="9" t="s">
        <v>112</v>
      </c>
      <c r="C60" s="9"/>
    </row>
    <row r="61" spans="1:19">
      <c r="A61" s="9" t="s">
        <v>1974</v>
      </c>
      <c r="B61" s="9" t="s">
        <v>112</v>
      </c>
      <c r="C61" s="9"/>
    </row>
    <row r="62" spans="1:19">
      <c r="A62" s="9" t="s">
        <v>1974</v>
      </c>
      <c r="B62" s="9" t="s">
        <v>112</v>
      </c>
      <c r="C62" s="9"/>
    </row>
    <row r="63" spans="1:19">
      <c r="A63" s="9" t="s">
        <v>1974</v>
      </c>
      <c r="B63" s="9" t="s">
        <v>112</v>
      </c>
      <c r="C63" s="9"/>
    </row>
    <row r="64" spans="1:19">
      <c r="A64" s="9" t="s">
        <v>1974</v>
      </c>
      <c r="B64" s="9" t="s">
        <v>112</v>
      </c>
      <c r="C64" s="9"/>
    </row>
    <row r="65" spans="1:18">
      <c r="A65" s="9" t="s">
        <v>1974</v>
      </c>
      <c r="B65" s="9" t="s">
        <v>112</v>
      </c>
      <c r="C65" s="9"/>
    </row>
    <row r="66" spans="1:18">
      <c r="A66" s="9" t="s">
        <v>1974</v>
      </c>
      <c r="B66" s="9" t="s">
        <v>112</v>
      </c>
      <c r="C66" s="9"/>
    </row>
    <row r="67" spans="1:18">
      <c r="A67" s="9" t="s">
        <v>1974</v>
      </c>
      <c r="B67" s="9" t="s">
        <v>112</v>
      </c>
      <c r="C67" s="9"/>
    </row>
    <row r="68" spans="1:18">
      <c r="A68" s="9" t="s">
        <v>1974</v>
      </c>
      <c r="B68" s="9" t="s">
        <v>112</v>
      </c>
      <c r="C68" s="9"/>
    </row>
    <row r="69" spans="1:18">
      <c r="A69" s="9" t="s">
        <v>1974</v>
      </c>
      <c r="B69" s="9" t="s">
        <v>112</v>
      </c>
      <c r="C69" s="9"/>
    </row>
    <row r="70" spans="1:18">
      <c r="A70" s="9" t="s">
        <v>1974</v>
      </c>
      <c r="B70" s="9"/>
      <c r="C70" s="9"/>
    </row>
    <row r="71" spans="1:18">
      <c r="A71" s="9" t="s">
        <v>1974</v>
      </c>
      <c r="B71" s="9" t="s">
        <v>124</v>
      </c>
      <c r="C71" s="9"/>
      <c r="D71" s="272" t="s">
        <v>1958</v>
      </c>
    </row>
    <row r="72" spans="1:18" s="74" customFormat="1">
      <c r="A72" s="9" t="s">
        <v>1974</v>
      </c>
      <c r="D72" s="73"/>
      <c r="E72" s="73"/>
      <c r="F72" s="73"/>
      <c r="G72" s="73"/>
      <c r="H72" s="73"/>
      <c r="I72" s="73"/>
      <c r="J72" s="73"/>
      <c r="K72" s="73"/>
      <c r="L72" s="73"/>
      <c r="M72" s="73"/>
      <c r="N72" s="73"/>
      <c r="O72" s="73"/>
      <c r="P72" s="73"/>
    </row>
    <row r="73" spans="1:18">
      <c r="A73" s="70" t="s">
        <v>1979</v>
      </c>
      <c r="B73" s="380" t="s">
        <v>119</v>
      </c>
      <c r="C73" s="70"/>
      <c r="D73" s="314" t="s">
        <v>1981</v>
      </c>
      <c r="E73" s="70"/>
      <c r="F73" s="70"/>
      <c r="G73" s="70"/>
      <c r="H73" s="70"/>
      <c r="I73" s="70"/>
      <c r="J73" s="70"/>
      <c r="K73" s="70"/>
      <c r="L73" s="70"/>
      <c r="M73" s="70"/>
      <c r="N73" s="70"/>
      <c r="O73" s="70"/>
      <c r="P73" s="70"/>
      <c r="Q73" s="70"/>
      <c r="R73" s="70"/>
    </row>
    <row r="74" spans="1:18">
      <c r="A74" s="9" t="s">
        <v>1980</v>
      </c>
      <c r="B74" s="9" t="s">
        <v>122</v>
      </c>
      <c r="C74" s="9"/>
      <c r="D74" s="315" t="s">
        <v>1984</v>
      </c>
    </row>
    <row r="75" spans="1:18">
      <c r="A75" s="9" t="s">
        <v>1980</v>
      </c>
      <c r="B75" s="9"/>
      <c r="C75" s="9"/>
      <c r="N75" s="9"/>
      <c r="R75" s="370"/>
    </row>
    <row r="76" spans="1:18">
      <c r="A76" s="9" t="s">
        <v>1980</v>
      </c>
      <c r="B76" s="9" t="s">
        <v>111</v>
      </c>
      <c r="C76" s="9"/>
      <c r="D76" s="4" t="s">
        <v>19</v>
      </c>
      <c r="E76" s="60" t="s">
        <v>1991</v>
      </c>
      <c r="F76" s="60"/>
      <c r="G76" s="60"/>
      <c r="H76" s="60"/>
      <c r="I76" s="60"/>
      <c r="J76" s="60"/>
      <c r="K76" s="60"/>
      <c r="L76" s="389"/>
      <c r="M76" s="389"/>
      <c r="O76" s="9"/>
      <c r="P76" s="47"/>
      <c r="R76" s="370"/>
    </row>
    <row r="77" spans="1:18">
      <c r="A77" s="9" t="s">
        <v>1980</v>
      </c>
      <c r="B77" s="9" t="s">
        <v>111</v>
      </c>
      <c r="C77" s="9"/>
      <c r="D77" s="60" t="s">
        <v>1982</v>
      </c>
      <c r="E77" s="388">
        <v>25.2</v>
      </c>
      <c r="F77" s="641"/>
      <c r="G77" s="641"/>
      <c r="H77" s="641"/>
      <c r="I77" s="641"/>
      <c r="J77" s="641"/>
      <c r="K77" s="641"/>
      <c r="L77" s="643"/>
      <c r="M77" s="642"/>
      <c r="N77" s="43"/>
      <c r="O77" s="173"/>
      <c r="P77" s="47"/>
      <c r="R77" s="370"/>
    </row>
    <row r="78" spans="1:18">
      <c r="A78" s="9" t="s">
        <v>1980</v>
      </c>
      <c r="B78" s="9" t="s">
        <v>111</v>
      </c>
      <c r="C78" s="9"/>
      <c r="D78" s="60" t="s">
        <v>1983</v>
      </c>
      <c r="E78" s="388">
        <v>9.1</v>
      </c>
      <c r="F78" s="641"/>
      <c r="G78" s="641"/>
      <c r="H78" s="641"/>
      <c r="I78" s="641"/>
      <c r="J78" s="641"/>
      <c r="K78" s="641"/>
      <c r="L78" s="643"/>
      <c r="M78" s="642"/>
      <c r="N78" s="43"/>
      <c r="O78" s="173"/>
      <c r="P78" s="47"/>
      <c r="R78" s="370"/>
    </row>
    <row r="79" spans="1:18">
      <c r="A79" s="9" t="s">
        <v>1980</v>
      </c>
      <c r="B79" s="9" t="s">
        <v>111</v>
      </c>
      <c r="C79" s="9"/>
      <c r="D79" s="9" t="s">
        <v>1985</v>
      </c>
      <c r="E79" s="648">
        <v>9</v>
      </c>
      <c r="F79" s="644"/>
      <c r="G79" s="644"/>
      <c r="H79" s="383"/>
      <c r="I79" s="383"/>
      <c r="J79" s="383"/>
      <c r="K79" s="642"/>
      <c r="L79" s="643"/>
      <c r="M79" s="38"/>
      <c r="N79" s="43"/>
      <c r="O79" s="173"/>
      <c r="P79" s="47"/>
      <c r="R79" s="370"/>
    </row>
    <row r="80" spans="1:18">
      <c r="A80" s="9" t="s">
        <v>1980</v>
      </c>
      <c r="D80" s="9" t="s">
        <v>1986</v>
      </c>
      <c r="E80" s="648">
        <v>8.1999999999999993</v>
      </c>
      <c r="F80" s="644"/>
      <c r="G80" s="644"/>
      <c r="H80" s="383"/>
      <c r="I80" s="383"/>
      <c r="J80" s="383"/>
      <c r="K80" s="383"/>
      <c r="L80" s="648"/>
      <c r="M80" s="390"/>
      <c r="N80" s="43"/>
      <c r="O80" s="9"/>
      <c r="P80" s="47"/>
      <c r="R80" s="370"/>
    </row>
    <row r="81" spans="1:19">
      <c r="A81" s="9" t="s">
        <v>1980</v>
      </c>
      <c r="B81" s="9"/>
      <c r="C81" s="9"/>
      <c r="D81" s="9" t="s">
        <v>1987</v>
      </c>
      <c r="E81" s="648">
        <v>7.9</v>
      </c>
      <c r="F81" s="644"/>
      <c r="G81" s="644"/>
      <c r="H81" s="383"/>
      <c r="I81" s="383"/>
      <c r="J81" s="383"/>
      <c r="K81" s="383"/>
      <c r="L81" s="648"/>
    </row>
    <row r="82" spans="1:19">
      <c r="A82" s="9" t="s">
        <v>1980</v>
      </c>
      <c r="B82" s="9" t="s">
        <v>112</v>
      </c>
      <c r="C82" s="9"/>
      <c r="D82" s="9" t="s">
        <v>1988</v>
      </c>
      <c r="E82" s="648">
        <v>7.6</v>
      </c>
      <c r="F82" s="644"/>
      <c r="G82" s="644"/>
      <c r="H82" s="383"/>
      <c r="I82" s="383"/>
      <c r="J82" s="383"/>
      <c r="K82" s="383"/>
      <c r="L82" s="648"/>
    </row>
    <row r="83" spans="1:19">
      <c r="A83" s="9" t="s">
        <v>1980</v>
      </c>
      <c r="B83" s="9" t="s">
        <v>112</v>
      </c>
      <c r="C83" s="9"/>
      <c r="D83" s="622" t="s">
        <v>1989</v>
      </c>
      <c r="E83" s="648">
        <v>32.9</v>
      </c>
      <c r="F83" s="645"/>
      <c r="G83" s="645"/>
      <c r="H83" s="637"/>
      <c r="I83" s="637"/>
      <c r="J83" s="637"/>
      <c r="K83" s="646"/>
      <c r="L83" s="647"/>
      <c r="S83" s="385"/>
    </row>
    <row r="84" spans="1:19">
      <c r="A84" s="9" t="s">
        <v>1980</v>
      </c>
      <c r="B84" s="9" t="s">
        <v>112</v>
      </c>
      <c r="C84" s="9"/>
      <c r="D84" s="622" t="s">
        <v>1990</v>
      </c>
      <c r="E84" s="463" t="s">
        <v>1992</v>
      </c>
      <c r="S84" s="385"/>
    </row>
    <row r="85" spans="1:19">
      <c r="A85" s="9" t="s">
        <v>1980</v>
      </c>
      <c r="B85" s="9" t="s">
        <v>112</v>
      </c>
      <c r="C85" s="9"/>
      <c r="S85" s="83"/>
    </row>
    <row r="86" spans="1:19">
      <c r="A86" s="9" t="s">
        <v>1980</v>
      </c>
      <c r="B86" s="9" t="s">
        <v>112</v>
      </c>
      <c r="C86" s="9"/>
      <c r="S86" s="83"/>
    </row>
    <row r="87" spans="1:19">
      <c r="A87" s="9" t="s">
        <v>1980</v>
      </c>
      <c r="B87" s="9" t="s">
        <v>112</v>
      </c>
      <c r="C87" s="9"/>
      <c r="S87" s="83"/>
    </row>
    <row r="88" spans="1:19">
      <c r="A88" s="9" t="s">
        <v>1980</v>
      </c>
      <c r="B88" s="9" t="s">
        <v>112</v>
      </c>
      <c r="C88" s="9"/>
      <c r="S88" s="83"/>
    </row>
    <row r="89" spans="1:19">
      <c r="A89" s="9" t="s">
        <v>1980</v>
      </c>
      <c r="B89" s="9" t="s">
        <v>112</v>
      </c>
      <c r="C89" s="9"/>
    </row>
    <row r="90" spans="1:19">
      <c r="A90" s="9" t="s">
        <v>1980</v>
      </c>
      <c r="B90" s="9" t="s">
        <v>112</v>
      </c>
      <c r="C90" s="9"/>
    </row>
    <row r="91" spans="1:19">
      <c r="A91" s="9" t="s">
        <v>1980</v>
      </c>
      <c r="B91" s="9" t="s">
        <v>112</v>
      </c>
      <c r="C91" s="9"/>
    </row>
    <row r="92" spans="1:19">
      <c r="A92" s="9" t="s">
        <v>1980</v>
      </c>
      <c r="B92" s="9" t="s">
        <v>112</v>
      </c>
      <c r="C92" s="9"/>
    </row>
    <row r="93" spans="1:19">
      <c r="A93" s="9" t="s">
        <v>1980</v>
      </c>
      <c r="B93" s="9" t="s">
        <v>112</v>
      </c>
      <c r="C93" s="9"/>
    </row>
    <row r="94" spans="1:19">
      <c r="A94" s="9" t="s">
        <v>1980</v>
      </c>
      <c r="B94" s="9"/>
      <c r="C94" s="9"/>
    </row>
    <row r="95" spans="1:19">
      <c r="A95" s="9" t="s">
        <v>1980</v>
      </c>
      <c r="B95" s="9" t="s">
        <v>124</v>
      </c>
      <c r="C95" s="9"/>
      <c r="D95" s="272" t="s">
        <v>1958</v>
      </c>
    </row>
    <row r="96" spans="1:19">
      <c r="A96" s="9" t="s">
        <v>1980</v>
      </c>
      <c r="B96" s="74"/>
      <c r="C96" s="74"/>
      <c r="D96" s="73"/>
      <c r="E96" s="73"/>
      <c r="F96" s="73"/>
      <c r="G96" s="73"/>
      <c r="H96" s="73"/>
      <c r="I96" s="73"/>
      <c r="J96" s="73"/>
      <c r="K96" s="73"/>
      <c r="L96" s="73"/>
      <c r="M96" s="73"/>
      <c r="N96" s="73"/>
      <c r="O96" s="73"/>
      <c r="P96" s="73"/>
      <c r="Q96" s="74"/>
      <c r="R96" s="74"/>
    </row>
    <row r="97" spans="1:16">
      <c r="A97" s="9"/>
      <c r="B97" s="9"/>
      <c r="C97" s="9"/>
    </row>
    <row r="98" spans="1:16">
      <c r="A98" s="9"/>
    </row>
    <row r="99" spans="1:16">
      <c r="A99" s="9"/>
      <c r="B99" s="9"/>
      <c r="C99" s="9"/>
      <c r="D99" s="4"/>
    </row>
    <row r="100" spans="1:16" s="74" customFormat="1">
      <c r="A100" s="9"/>
      <c r="B100" s="373"/>
      <c r="D100" s="269"/>
      <c r="E100" s="73"/>
      <c r="F100" s="73"/>
      <c r="G100" s="73"/>
      <c r="H100" s="73"/>
      <c r="I100" s="73"/>
      <c r="J100" s="73"/>
      <c r="K100" s="73"/>
      <c r="L100" s="73"/>
      <c r="M100" s="73"/>
      <c r="N100" s="73"/>
      <c r="O100" s="73"/>
      <c r="P100" s="73"/>
    </row>
  </sheetData>
  <autoFilter ref="A1:B100" xr:uid="{00000000-0009-0000-0000-00000C000000}"/>
  <phoneticPr fontId="13" type="noConversion"/>
  <pageMargins left="0.7" right="0.7" top="0.75" bottom="0.75" header="0.3" footer="0.3"/>
  <pageSetup paperSize="9" orientation="portrait" horizontalDpi="1200" verticalDpi="1200" r:id="rId1"/>
  <drawing r:id="rId2"/>
  <tableParts count="4">
    <tablePart r:id="rId3"/>
    <tablePart r:id="rId4"/>
    <tablePart r:id="rId5"/>
    <tablePart r:id="rId6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S263"/>
  <sheetViews>
    <sheetView zoomScale="85" zoomScaleNormal="85" workbookViewId="0">
      <selection activeCell="M4" sqref="M4"/>
    </sheetView>
  </sheetViews>
  <sheetFormatPr defaultColWidth="10.625" defaultRowHeight="16.5"/>
  <cols>
    <col min="1" max="1" width="19.75" style="3" customWidth="1"/>
    <col min="2" max="2" width="15.625" style="3" customWidth="1"/>
    <col min="3" max="3" width="1.625" style="3" customWidth="1"/>
    <col min="4" max="12" width="10.625" style="3"/>
    <col min="13" max="13" width="10.625" style="3" customWidth="1"/>
    <col min="14" max="16384" width="10.625" style="3"/>
  </cols>
  <sheetData>
    <row r="1" spans="1:18">
      <c r="A1" s="6" t="s">
        <v>149</v>
      </c>
      <c r="B1" s="7" t="s">
        <v>340</v>
      </c>
      <c r="C1" s="7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10"/>
      <c r="R1" s="10"/>
    </row>
    <row r="2" spans="1:18">
      <c r="A2" s="70" t="s">
        <v>2052</v>
      </c>
      <c r="B2" s="70" t="s">
        <v>119</v>
      </c>
      <c r="C2" s="70"/>
      <c r="D2" s="205" t="s">
        <v>2059</v>
      </c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</row>
    <row r="3" spans="1:18">
      <c r="A3" s="9" t="s">
        <v>2053</v>
      </c>
      <c r="B3" s="9" t="s">
        <v>122</v>
      </c>
      <c r="C3" s="9"/>
      <c r="D3" s="269" t="s">
        <v>2060</v>
      </c>
    </row>
    <row r="4" spans="1:18">
      <c r="A4" s="9" t="s">
        <v>2053</v>
      </c>
      <c r="B4" s="9" t="s">
        <v>122</v>
      </c>
      <c r="C4" s="73"/>
      <c r="D4" s="283" t="s">
        <v>2058</v>
      </c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283"/>
      <c r="R4" s="74"/>
    </row>
    <row r="5" spans="1:18">
      <c r="A5" s="9" t="s">
        <v>2053</v>
      </c>
    </row>
    <row r="6" spans="1:18">
      <c r="A6" s="9" t="s">
        <v>2053</v>
      </c>
      <c r="B6" s="9" t="s">
        <v>111</v>
      </c>
      <c r="C6" s="9"/>
      <c r="D6" s="3" t="s">
        <v>19</v>
      </c>
      <c r="E6" s="60" t="s">
        <v>169</v>
      </c>
      <c r="F6" s="60" t="s">
        <v>170</v>
      </c>
      <c r="G6" s="60" t="s">
        <v>171</v>
      </c>
      <c r="H6" s="60" t="s">
        <v>183</v>
      </c>
      <c r="I6" s="60" t="s">
        <v>184</v>
      </c>
      <c r="J6" s="60" t="s">
        <v>1960</v>
      </c>
      <c r="K6" s="60" t="s">
        <v>1048</v>
      </c>
      <c r="L6" s="9" t="s">
        <v>172</v>
      </c>
      <c r="M6" s="9" t="s">
        <v>1961</v>
      </c>
      <c r="O6" s="9"/>
    </row>
    <row r="7" spans="1:18">
      <c r="A7" s="9" t="s">
        <v>2053</v>
      </c>
      <c r="B7" s="9" t="s">
        <v>111</v>
      </c>
      <c r="C7" s="9"/>
      <c r="D7" s="3" t="s">
        <v>165</v>
      </c>
      <c r="E7">
        <v>36.68</v>
      </c>
      <c r="F7">
        <v>38.83</v>
      </c>
      <c r="G7">
        <v>41.37</v>
      </c>
      <c r="H7">
        <v>44.73</v>
      </c>
      <c r="I7">
        <v>48.79</v>
      </c>
      <c r="J7">
        <v>53.65</v>
      </c>
      <c r="K7">
        <v>59.17</v>
      </c>
      <c r="L7" s="379">
        <v>8.3000000000000007</v>
      </c>
      <c r="M7" s="74"/>
      <c r="N7" s="74"/>
      <c r="O7" s="74"/>
      <c r="P7" s="74"/>
      <c r="Q7" s="74"/>
      <c r="R7" s="74"/>
    </row>
    <row r="8" spans="1:18">
      <c r="A8" s="9" t="s">
        <v>2053</v>
      </c>
      <c r="B8" s="9"/>
      <c r="C8" s="9"/>
    </row>
    <row r="9" spans="1:18">
      <c r="A9" s="9" t="s">
        <v>2053</v>
      </c>
      <c r="B9" s="9" t="s">
        <v>112</v>
      </c>
      <c r="C9" s="9"/>
    </row>
    <row r="10" spans="1:18">
      <c r="A10" s="9" t="s">
        <v>2053</v>
      </c>
      <c r="B10" s="9" t="s">
        <v>112</v>
      </c>
      <c r="C10" s="9"/>
    </row>
    <row r="11" spans="1:18">
      <c r="A11" s="9" t="s">
        <v>2053</v>
      </c>
      <c r="B11" s="9" t="s">
        <v>112</v>
      </c>
      <c r="C11" s="9"/>
    </row>
    <row r="12" spans="1:18">
      <c r="A12" s="9" t="s">
        <v>2053</v>
      </c>
      <c r="B12" s="9" t="s">
        <v>112</v>
      </c>
      <c r="C12" s="9"/>
    </row>
    <row r="13" spans="1:18">
      <c r="A13" s="9" t="s">
        <v>2053</v>
      </c>
      <c r="B13" s="9" t="s">
        <v>112</v>
      </c>
      <c r="C13" s="9"/>
    </row>
    <row r="14" spans="1:18">
      <c r="A14" s="9" t="s">
        <v>2053</v>
      </c>
      <c r="B14" s="9" t="s">
        <v>112</v>
      </c>
      <c r="C14" s="9"/>
    </row>
    <row r="15" spans="1:18">
      <c r="A15" s="9" t="s">
        <v>2053</v>
      </c>
      <c r="B15" s="9" t="s">
        <v>112</v>
      </c>
      <c r="C15" s="9"/>
    </row>
    <row r="16" spans="1:18">
      <c r="A16" s="9" t="s">
        <v>2053</v>
      </c>
      <c r="B16" s="9" t="s">
        <v>112</v>
      </c>
      <c r="C16" s="9"/>
    </row>
    <row r="17" spans="1:19">
      <c r="A17" s="9" t="s">
        <v>2053</v>
      </c>
      <c r="B17" s="9" t="s">
        <v>112</v>
      </c>
      <c r="C17" s="9"/>
    </row>
    <row r="18" spans="1:19">
      <c r="A18" s="9" t="s">
        <v>2053</v>
      </c>
      <c r="B18" s="9" t="s">
        <v>112</v>
      </c>
      <c r="C18" s="9"/>
    </row>
    <row r="19" spans="1:19">
      <c r="A19" s="9" t="s">
        <v>2053</v>
      </c>
      <c r="B19" s="9" t="s">
        <v>112</v>
      </c>
      <c r="C19" s="9"/>
    </row>
    <row r="20" spans="1:19">
      <c r="A20" s="9" t="s">
        <v>2053</v>
      </c>
      <c r="B20" s="9" t="s">
        <v>112</v>
      </c>
      <c r="C20" s="9"/>
    </row>
    <row r="21" spans="1:19">
      <c r="A21" s="9" t="s">
        <v>2053</v>
      </c>
      <c r="B21" s="9" t="s">
        <v>112</v>
      </c>
      <c r="C21" s="9"/>
    </row>
    <row r="22" spans="1:19">
      <c r="A22" s="9" t="s">
        <v>2053</v>
      </c>
      <c r="B22" s="9" t="s">
        <v>112</v>
      </c>
      <c r="C22" s="9"/>
    </row>
    <row r="23" spans="1:19">
      <c r="A23" s="9" t="s">
        <v>2053</v>
      </c>
      <c r="B23" s="9"/>
      <c r="C23" s="9"/>
    </row>
    <row r="24" spans="1:19">
      <c r="A24" s="9" t="s">
        <v>2053</v>
      </c>
      <c r="B24" s="9" t="s">
        <v>124</v>
      </c>
      <c r="C24" s="9"/>
      <c r="D24" s="272" t="s">
        <v>2056</v>
      </c>
    </row>
    <row r="25" spans="1:19" s="74" customFormat="1">
      <c r="A25" s="9" t="s">
        <v>2053</v>
      </c>
      <c r="D25" s="73"/>
      <c r="F25" s="73"/>
      <c r="G25" s="73"/>
      <c r="H25" s="73"/>
      <c r="I25" s="73"/>
      <c r="J25" s="73"/>
      <c r="K25" s="73"/>
      <c r="L25" s="73"/>
      <c r="M25" s="73"/>
      <c r="N25" s="73"/>
      <c r="O25" s="73"/>
      <c r="P25" s="73"/>
    </row>
    <row r="26" spans="1:19">
      <c r="A26" s="70" t="s">
        <v>2054</v>
      </c>
      <c r="B26" s="380" t="s">
        <v>119</v>
      </c>
      <c r="C26" s="70"/>
      <c r="D26" s="205" t="s">
        <v>2062</v>
      </c>
      <c r="E26" s="381"/>
      <c r="F26" s="70"/>
      <c r="G26" s="70"/>
      <c r="H26" s="70"/>
      <c r="I26" s="70"/>
      <c r="J26" s="70"/>
      <c r="K26" s="70"/>
      <c r="L26" s="70"/>
      <c r="M26" s="70"/>
      <c r="N26" s="70"/>
      <c r="O26" s="70"/>
      <c r="P26" s="70"/>
      <c r="Q26" s="70"/>
      <c r="R26" s="70"/>
    </row>
    <row r="27" spans="1:19">
      <c r="A27" s="9" t="s">
        <v>2055</v>
      </c>
      <c r="B27" s="9" t="s">
        <v>122</v>
      </c>
      <c r="C27" s="9"/>
      <c r="D27" s="315" t="s">
        <v>2069</v>
      </c>
    </row>
    <row r="28" spans="1:19">
      <c r="A28" s="9" t="s">
        <v>2055</v>
      </c>
      <c r="B28" s="9"/>
      <c r="C28" s="9"/>
      <c r="N28" s="9"/>
      <c r="R28" s="370"/>
      <c r="S28" s="385"/>
    </row>
    <row r="29" spans="1:19">
      <c r="A29" s="9" t="s">
        <v>2055</v>
      </c>
      <c r="B29" s="9" t="s">
        <v>111</v>
      </c>
      <c r="C29" s="9"/>
      <c r="D29" s="4" t="s">
        <v>19</v>
      </c>
      <c r="E29" s="60" t="s">
        <v>169</v>
      </c>
      <c r="F29" s="60" t="s">
        <v>170</v>
      </c>
      <c r="G29" s="60" t="s">
        <v>171</v>
      </c>
      <c r="H29" s="60" t="s">
        <v>183</v>
      </c>
      <c r="I29" s="60" t="s">
        <v>184</v>
      </c>
      <c r="J29" s="60" t="s">
        <v>1960</v>
      </c>
      <c r="K29" s="60" t="s">
        <v>1048</v>
      </c>
      <c r="L29" s="389" t="s">
        <v>172</v>
      </c>
      <c r="M29" s="389" t="s">
        <v>1966</v>
      </c>
      <c r="O29" s="9"/>
      <c r="P29" s="47"/>
      <c r="R29" s="370"/>
      <c r="S29" s="521"/>
    </row>
    <row r="30" spans="1:19">
      <c r="A30" s="9" t="s">
        <v>2055</v>
      </c>
      <c r="B30" s="9" t="s">
        <v>111</v>
      </c>
      <c r="C30" s="9"/>
      <c r="D30" s="668" t="s">
        <v>2068</v>
      </c>
      <c r="E30" s="2">
        <v>5.3</v>
      </c>
      <c r="F30" s="2">
        <v>5.57</v>
      </c>
      <c r="G30" s="2">
        <v>5.95</v>
      </c>
      <c r="H30" s="2">
        <v>6.44</v>
      </c>
      <c r="I30" s="2">
        <v>6.95</v>
      </c>
      <c r="J30" s="2">
        <v>7.42</v>
      </c>
      <c r="K30" s="2">
        <v>7.83</v>
      </c>
      <c r="L30" s="670">
        <v>6.7000000000000004E-2</v>
      </c>
      <c r="M30" s="642"/>
      <c r="N30" s="173"/>
      <c r="O30" s="173"/>
      <c r="P30" s="47"/>
      <c r="Q30" s="373"/>
      <c r="R30" s="370"/>
      <c r="S30" s="521"/>
    </row>
    <row r="31" spans="1:19">
      <c r="A31" s="9" t="s">
        <v>2055</v>
      </c>
      <c r="B31" s="9" t="s">
        <v>111</v>
      </c>
      <c r="C31" s="9"/>
      <c r="D31" s="667" t="s">
        <v>2063</v>
      </c>
      <c r="E31" s="2">
        <v>7.81</v>
      </c>
      <c r="F31" s="2">
        <v>8.06</v>
      </c>
      <c r="G31" s="2">
        <v>8.36</v>
      </c>
      <c r="H31" s="2">
        <v>8.85</v>
      </c>
      <c r="I31" s="2">
        <v>9.34</v>
      </c>
      <c r="J31" s="2">
        <v>9.6999999999999993</v>
      </c>
      <c r="K31" s="2">
        <v>9.91</v>
      </c>
      <c r="L31" s="670">
        <v>0.04</v>
      </c>
      <c r="M31" s="642"/>
      <c r="N31" s="173"/>
      <c r="O31" s="173"/>
      <c r="P31" s="47"/>
      <c r="Q31" s="373"/>
      <c r="R31" s="370"/>
      <c r="S31" s="606"/>
    </row>
    <row r="32" spans="1:19">
      <c r="A32" s="9" t="s">
        <v>2055</v>
      </c>
      <c r="B32" s="9" t="s">
        <v>111</v>
      </c>
      <c r="C32" s="9"/>
      <c r="D32" s="60" t="s">
        <v>2064</v>
      </c>
      <c r="E32" s="2">
        <v>4.95</v>
      </c>
      <c r="F32" s="2">
        <v>5.1100000000000003</v>
      </c>
      <c r="G32" s="2">
        <v>5.22</v>
      </c>
      <c r="H32" s="2">
        <v>5.34</v>
      </c>
      <c r="I32" s="2">
        <v>5.42</v>
      </c>
      <c r="J32" s="2">
        <v>5.45</v>
      </c>
      <c r="K32" s="2">
        <v>5.41</v>
      </c>
      <c r="L32" s="670">
        <v>1.4999999999999999E-2</v>
      </c>
      <c r="M32" s="38"/>
      <c r="N32" s="173"/>
      <c r="O32" s="173"/>
      <c r="P32" s="47"/>
      <c r="Q32" s="73"/>
      <c r="R32" s="370"/>
      <c r="S32" s="521"/>
    </row>
    <row r="33" spans="1:19">
      <c r="A33" s="9" t="s">
        <v>2055</v>
      </c>
      <c r="B33" s="9" t="s">
        <v>111</v>
      </c>
      <c r="C33" s="9"/>
      <c r="D33" s="668" t="s">
        <v>2065</v>
      </c>
      <c r="E33" s="2">
        <v>1.32</v>
      </c>
      <c r="F33" s="2">
        <v>1.32</v>
      </c>
      <c r="G33" s="2">
        <v>1.33</v>
      </c>
      <c r="H33" s="2">
        <v>1.38</v>
      </c>
      <c r="I33" s="2">
        <v>1.42</v>
      </c>
      <c r="J33" s="2">
        <v>1.45</v>
      </c>
      <c r="K33" s="2">
        <v>1.46</v>
      </c>
      <c r="L33" s="670">
        <v>1.7000000000000001E-2</v>
      </c>
      <c r="M33" s="38"/>
      <c r="N33" s="173"/>
      <c r="O33" s="173"/>
      <c r="P33" s="47"/>
      <c r="Q33" s="73"/>
      <c r="R33" s="370"/>
      <c r="S33" s="521"/>
    </row>
    <row r="34" spans="1:19">
      <c r="A34" s="9" t="s">
        <v>2055</v>
      </c>
      <c r="B34" s="9" t="s">
        <v>111</v>
      </c>
      <c r="C34" s="9"/>
      <c r="D34" s="9" t="s">
        <v>2066</v>
      </c>
      <c r="E34" s="2">
        <v>14.33</v>
      </c>
      <c r="F34" s="2">
        <v>15.13</v>
      </c>
      <c r="G34" s="2">
        <v>15.71</v>
      </c>
      <c r="H34" s="2">
        <v>16.32</v>
      </c>
      <c r="I34" s="2">
        <v>16.829999999999998</v>
      </c>
      <c r="J34" s="2">
        <v>17.13</v>
      </c>
      <c r="K34" s="2">
        <v>17.190000000000001</v>
      </c>
      <c r="L34" s="670">
        <v>3.1E-2</v>
      </c>
      <c r="M34" s="38"/>
      <c r="N34" s="173"/>
      <c r="O34" s="173"/>
      <c r="P34" s="47"/>
      <c r="R34" s="370"/>
      <c r="S34" s="521"/>
    </row>
    <row r="35" spans="1:19">
      <c r="A35" s="9" t="s">
        <v>2055</v>
      </c>
      <c r="B35" s="9" t="s">
        <v>111</v>
      </c>
      <c r="C35" s="9"/>
      <c r="D35" s="9" t="s">
        <v>2067</v>
      </c>
      <c r="E35" s="2">
        <v>2.97</v>
      </c>
      <c r="F35" s="2">
        <v>3.63</v>
      </c>
      <c r="G35" s="2">
        <v>4.8</v>
      </c>
      <c r="H35" s="2">
        <v>6.41</v>
      </c>
      <c r="I35" s="2">
        <v>8.83</v>
      </c>
      <c r="J35" s="2">
        <v>12.5</v>
      </c>
      <c r="K35" s="2">
        <v>17.38</v>
      </c>
      <c r="L35" s="670">
        <v>0.34200000000000003</v>
      </c>
      <c r="M35" s="38"/>
      <c r="N35" s="173"/>
      <c r="O35" s="173"/>
      <c r="P35" s="47"/>
      <c r="Q35" s="173"/>
      <c r="R35" s="370"/>
      <c r="S35" s="521"/>
    </row>
    <row r="36" spans="1:19">
      <c r="A36" s="9" t="s">
        <v>2055</v>
      </c>
      <c r="B36" s="9"/>
      <c r="C36" s="9"/>
      <c r="D36" s="622"/>
      <c r="E36" s="637"/>
      <c r="F36" s="645"/>
      <c r="G36" s="645"/>
      <c r="H36" s="637"/>
      <c r="I36" s="637"/>
      <c r="J36" s="637"/>
      <c r="K36" s="646"/>
      <c r="L36" s="643"/>
      <c r="M36" s="38"/>
      <c r="N36" s="173"/>
      <c r="O36" s="9"/>
      <c r="P36" s="47"/>
      <c r="R36" s="370"/>
      <c r="S36" s="521"/>
    </row>
    <row r="37" spans="1:19">
      <c r="A37" s="9" t="s">
        <v>2055</v>
      </c>
      <c r="B37" s="9"/>
      <c r="C37" s="9"/>
      <c r="S37" s="385"/>
    </row>
    <row r="38" spans="1:19">
      <c r="A38" s="9" t="s">
        <v>2055</v>
      </c>
      <c r="B38" s="9" t="s">
        <v>112</v>
      </c>
      <c r="C38" s="9"/>
    </row>
    <row r="39" spans="1:19">
      <c r="A39" s="9" t="s">
        <v>2055</v>
      </c>
      <c r="B39" s="9" t="s">
        <v>112</v>
      </c>
      <c r="C39" s="9"/>
    </row>
    <row r="40" spans="1:19">
      <c r="A40" s="9" t="s">
        <v>2055</v>
      </c>
      <c r="B40" s="9" t="s">
        <v>112</v>
      </c>
      <c r="C40" s="9"/>
    </row>
    <row r="41" spans="1:19">
      <c r="A41" s="9" t="s">
        <v>2055</v>
      </c>
      <c r="B41" s="9" t="s">
        <v>112</v>
      </c>
      <c r="C41" s="9"/>
    </row>
    <row r="42" spans="1:19">
      <c r="A42" s="9" t="s">
        <v>2055</v>
      </c>
      <c r="B42" s="9" t="s">
        <v>112</v>
      </c>
      <c r="C42" s="9"/>
    </row>
    <row r="43" spans="1:19">
      <c r="A43" s="9" t="s">
        <v>2055</v>
      </c>
      <c r="B43" s="9" t="s">
        <v>112</v>
      </c>
      <c r="C43" s="9"/>
    </row>
    <row r="44" spans="1:19">
      <c r="A44" s="9" t="s">
        <v>2055</v>
      </c>
      <c r="B44" s="9" t="s">
        <v>112</v>
      </c>
      <c r="C44" s="9"/>
    </row>
    <row r="45" spans="1:19">
      <c r="A45" s="9" t="s">
        <v>2055</v>
      </c>
      <c r="B45" s="9" t="s">
        <v>112</v>
      </c>
      <c r="C45" s="9"/>
    </row>
    <row r="46" spans="1:19">
      <c r="A46" s="9" t="s">
        <v>2055</v>
      </c>
      <c r="B46" s="9" t="s">
        <v>112</v>
      </c>
      <c r="C46" s="9"/>
    </row>
    <row r="47" spans="1:19">
      <c r="A47" s="9" t="s">
        <v>2055</v>
      </c>
      <c r="B47" s="9" t="s">
        <v>112</v>
      </c>
      <c r="C47" s="9"/>
    </row>
    <row r="48" spans="1:19">
      <c r="A48" s="9" t="s">
        <v>2055</v>
      </c>
      <c r="B48" s="9" t="s">
        <v>112</v>
      </c>
      <c r="C48" s="9"/>
    </row>
    <row r="49" spans="1:19">
      <c r="A49" s="9" t="s">
        <v>2055</v>
      </c>
      <c r="B49" s="9" t="s">
        <v>112</v>
      </c>
      <c r="C49" s="9"/>
    </row>
    <row r="50" spans="1:19">
      <c r="A50" s="9" t="s">
        <v>2055</v>
      </c>
      <c r="B50" s="9"/>
      <c r="C50" s="9"/>
    </row>
    <row r="51" spans="1:19">
      <c r="A51" s="9" t="s">
        <v>2055</v>
      </c>
      <c r="B51" s="9" t="s">
        <v>124</v>
      </c>
      <c r="C51" s="9"/>
      <c r="D51" s="272" t="s">
        <v>2056</v>
      </c>
    </row>
    <row r="52" spans="1:19" s="74" customFormat="1">
      <c r="A52" s="9" t="s">
        <v>2055</v>
      </c>
      <c r="D52" s="73"/>
      <c r="E52" s="73"/>
      <c r="F52" s="73"/>
      <c r="G52" s="73"/>
      <c r="H52" s="73"/>
      <c r="I52" s="73"/>
      <c r="J52" s="73"/>
      <c r="K52" s="73"/>
      <c r="L52" s="73"/>
      <c r="M52" s="73"/>
      <c r="N52" s="73"/>
      <c r="O52" s="73"/>
      <c r="P52" s="73"/>
    </row>
    <row r="53" spans="1:19">
      <c r="A53" s="70" t="s">
        <v>2061</v>
      </c>
      <c r="B53" s="380" t="s">
        <v>119</v>
      </c>
      <c r="C53" s="70"/>
      <c r="D53" s="205" t="s">
        <v>2070</v>
      </c>
      <c r="E53" s="381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  <c r="R53" s="70"/>
    </row>
    <row r="54" spans="1:19">
      <c r="A54" s="9" t="s">
        <v>2084</v>
      </c>
      <c r="B54" s="9" t="s">
        <v>122</v>
      </c>
      <c r="C54" s="9"/>
      <c r="D54" s="315" t="s">
        <v>2089</v>
      </c>
    </row>
    <row r="55" spans="1:19">
      <c r="A55" s="9" t="s">
        <v>2084</v>
      </c>
      <c r="B55" s="9"/>
      <c r="C55" s="9"/>
      <c r="N55" s="9"/>
      <c r="R55" s="370"/>
      <c r="S55" s="385"/>
    </row>
    <row r="56" spans="1:19">
      <c r="A56" s="9" t="s">
        <v>2084</v>
      </c>
      <c r="B56" s="9" t="s">
        <v>111</v>
      </c>
      <c r="C56" s="9"/>
      <c r="D56" s="4" t="s">
        <v>19</v>
      </c>
      <c r="E56" s="60" t="s">
        <v>2080</v>
      </c>
      <c r="F56" s="389" t="s">
        <v>2081</v>
      </c>
      <c r="G56" s="60"/>
      <c r="H56" s="60"/>
      <c r="I56" s="60"/>
      <c r="J56" s="60"/>
      <c r="K56" s="60"/>
      <c r="L56" s="389"/>
      <c r="M56" s="389"/>
      <c r="O56" s="9"/>
      <c r="P56" s="47"/>
      <c r="R56" s="370"/>
      <c r="S56" s="521"/>
    </row>
    <row r="57" spans="1:19">
      <c r="A57" s="9" t="s">
        <v>2084</v>
      </c>
      <c r="B57" s="9" t="s">
        <v>111</v>
      </c>
      <c r="C57" s="9"/>
      <c r="D57" s="60" t="s">
        <v>2073</v>
      </c>
      <c r="E57" s="641">
        <v>14.01</v>
      </c>
      <c r="F57" s="676">
        <f>표11_10010697[[#This Row],[시장 규모]]/표11_10010697[[#Totals],[시장 규모]]</f>
        <v>0.38195201744820068</v>
      </c>
      <c r="G57" s="641"/>
      <c r="H57" s="641"/>
      <c r="I57" s="641"/>
      <c r="J57" s="641"/>
      <c r="K57" s="641"/>
      <c r="L57" s="643"/>
      <c r="M57" s="642"/>
      <c r="N57" s="43"/>
      <c r="O57" s="173"/>
      <c r="P57" s="47"/>
      <c r="R57" s="370"/>
      <c r="S57" s="521"/>
    </row>
    <row r="58" spans="1:19">
      <c r="A58" s="9" t="s">
        <v>2084</v>
      </c>
      <c r="B58" s="9" t="s">
        <v>111</v>
      </c>
      <c r="C58" s="9"/>
      <c r="D58" s="672" t="s">
        <v>2074</v>
      </c>
      <c r="E58" s="641">
        <v>4.1500000000000004</v>
      </c>
      <c r="F58" s="676">
        <f>표11_10010697[[#This Row],[시장 규모]]/표11_10010697[[#Totals],[시장 규모]]</f>
        <v>0.11314067611777537</v>
      </c>
      <c r="G58" s="641"/>
      <c r="H58" s="641"/>
      <c r="I58" s="641"/>
      <c r="J58" s="641"/>
      <c r="K58" s="641"/>
      <c r="L58" s="643"/>
      <c r="M58" s="642"/>
      <c r="N58" s="43"/>
      <c r="O58" s="173"/>
      <c r="P58" s="47"/>
      <c r="R58" s="370"/>
      <c r="S58" s="606"/>
    </row>
    <row r="59" spans="1:19">
      <c r="A59" s="9" t="s">
        <v>2084</v>
      </c>
      <c r="B59" s="9" t="s">
        <v>111</v>
      </c>
      <c r="C59" s="9"/>
      <c r="D59" t="s">
        <v>2072</v>
      </c>
      <c r="E59" s="383">
        <v>9</v>
      </c>
      <c r="F59" s="677">
        <f>표11_10010697[[#This Row],[시장 규모]]/표11_10010697[[#Totals],[시장 규모]]</f>
        <v>0.24536532170119957</v>
      </c>
      <c r="G59" s="644"/>
      <c r="H59" s="383"/>
      <c r="I59" s="383"/>
      <c r="J59" s="383"/>
      <c r="K59" s="642"/>
      <c r="L59" s="643"/>
      <c r="M59" s="38"/>
      <c r="N59" s="43"/>
      <c r="O59" s="173"/>
      <c r="P59" s="671"/>
      <c r="R59" s="370"/>
      <c r="S59" s="521"/>
    </row>
    <row r="60" spans="1:19">
      <c r="A60" s="9" t="s">
        <v>2084</v>
      </c>
      <c r="B60" s="9" t="s">
        <v>111</v>
      </c>
      <c r="D60" t="s">
        <v>2071</v>
      </c>
      <c r="E60" s="383">
        <v>4.1100000000000003</v>
      </c>
      <c r="F60" s="677">
        <f>표11_10010697[[#This Row],[시장 규모]]/표11_10010697[[#Totals],[시장 규모]]</f>
        <v>0.11205016357688115</v>
      </c>
      <c r="G60" s="645"/>
      <c r="H60" s="637"/>
      <c r="I60" s="637"/>
      <c r="J60" s="637"/>
      <c r="K60" s="646"/>
      <c r="L60" s="647"/>
      <c r="M60" s="390"/>
      <c r="N60" s="43"/>
      <c r="O60" s="9"/>
      <c r="P60" s="47"/>
      <c r="R60" s="370"/>
      <c r="S60" s="385"/>
    </row>
    <row r="61" spans="1:19">
      <c r="A61" s="9" t="s">
        <v>2084</v>
      </c>
      <c r="B61" s="9" t="s">
        <v>111</v>
      </c>
      <c r="C61" s="9"/>
      <c r="D61" t="s">
        <v>2075</v>
      </c>
      <c r="E61" s="383">
        <v>5.4</v>
      </c>
      <c r="F61" s="677">
        <f>표11_10010697[[#This Row],[시장 규모]]/표11_10010697[[#Totals],[시장 규모]]</f>
        <v>0.14721919302071976</v>
      </c>
    </row>
    <row r="62" spans="1:19">
      <c r="A62" s="9" t="s">
        <v>2084</v>
      </c>
      <c r="B62" s="9" t="s">
        <v>111</v>
      </c>
      <c r="C62" s="9"/>
      <c r="D62" s="622" t="s">
        <v>2082</v>
      </c>
      <c r="E62" s="675" t="s">
        <v>2083</v>
      </c>
      <c r="F62" s="615">
        <f>SUM(F57:F61)</f>
        <v>0.99972737186477645</v>
      </c>
    </row>
    <row r="63" spans="1:19">
      <c r="A63" s="9" t="s">
        <v>2084</v>
      </c>
      <c r="C63" s="9"/>
    </row>
    <row r="64" spans="1:19">
      <c r="A64" s="9" t="s">
        <v>2084</v>
      </c>
      <c r="B64" s="9"/>
      <c r="C64" s="9"/>
    </row>
    <row r="65" spans="1:18">
      <c r="A65" s="9" t="s">
        <v>2084</v>
      </c>
      <c r="B65" s="9" t="s">
        <v>112</v>
      </c>
      <c r="C65" s="9"/>
    </row>
    <row r="66" spans="1:18">
      <c r="A66" s="9" t="s">
        <v>2084</v>
      </c>
      <c r="B66" s="9" t="s">
        <v>112</v>
      </c>
      <c r="C66" s="9"/>
    </row>
    <row r="67" spans="1:18">
      <c r="A67" s="9" t="s">
        <v>2084</v>
      </c>
      <c r="B67" s="9" t="s">
        <v>112</v>
      </c>
      <c r="C67" s="9"/>
    </row>
    <row r="68" spans="1:18">
      <c r="A68" s="9" t="s">
        <v>2084</v>
      </c>
      <c r="B68" s="9" t="s">
        <v>112</v>
      </c>
      <c r="C68" s="9"/>
    </row>
    <row r="69" spans="1:18">
      <c r="A69" s="9" t="s">
        <v>2084</v>
      </c>
      <c r="B69" s="9" t="s">
        <v>112</v>
      </c>
      <c r="C69" s="9"/>
    </row>
    <row r="70" spans="1:18">
      <c r="A70" s="9" t="s">
        <v>2084</v>
      </c>
      <c r="B70" s="9" t="s">
        <v>112</v>
      </c>
      <c r="C70" s="9"/>
    </row>
    <row r="71" spans="1:18">
      <c r="A71" s="9" t="s">
        <v>2084</v>
      </c>
      <c r="B71" s="9" t="s">
        <v>112</v>
      </c>
      <c r="C71" s="9"/>
    </row>
    <row r="72" spans="1:18">
      <c r="A72" s="9" t="s">
        <v>2084</v>
      </c>
      <c r="B72" s="9" t="s">
        <v>112</v>
      </c>
      <c r="C72" s="9"/>
    </row>
    <row r="73" spans="1:18">
      <c r="A73" s="9" t="s">
        <v>2084</v>
      </c>
      <c r="B73" s="9" t="s">
        <v>112</v>
      </c>
      <c r="C73" s="9"/>
    </row>
    <row r="74" spans="1:18">
      <c r="A74" s="9" t="s">
        <v>2084</v>
      </c>
      <c r="B74" s="9" t="s">
        <v>112</v>
      </c>
      <c r="C74" s="9"/>
    </row>
    <row r="75" spans="1:18">
      <c r="A75" s="9" t="s">
        <v>2084</v>
      </c>
      <c r="B75" s="9" t="s">
        <v>112</v>
      </c>
      <c r="C75" s="9"/>
    </row>
    <row r="76" spans="1:18">
      <c r="A76" s="9" t="s">
        <v>2084</v>
      </c>
      <c r="B76" s="9"/>
      <c r="C76" s="9"/>
    </row>
    <row r="77" spans="1:18">
      <c r="A77" s="9" t="s">
        <v>2084</v>
      </c>
      <c r="C77" s="9"/>
      <c r="D77" s="272"/>
    </row>
    <row r="78" spans="1:18">
      <c r="A78" s="9" t="s">
        <v>2084</v>
      </c>
      <c r="B78" s="9" t="s">
        <v>124</v>
      </c>
      <c r="C78" s="9"/>
      <c r="D78" s="272" t="s">
        <v>2091</v>
      </c>
    </row>
    <row r="79" spans="1:18" s="74" customFormat="1">
      <c r="A79" s="9" t="s">
        <v>2084</v>
      </c>
      <c r="D79" s="73"/>
      <c r="E79" s="73"/>
      <c r="F79" s="73"/>
      <c r="G79" s="73"/>
      <c r="H79" s="73"/>
      <c r="I79" s="73"/>
      <c r="J79" s="73"/>
      <c r="K79" s="73"/>
      <c r="L79" s="73"/>
      <c r="M79" s="73"/>
      <c r="N79" s="73"/>
      <c r="O79" s="73"/>
      <c r="P79" s="73"/>
    </row>
    <row r="80" spans="1:18">
      <c r="A80" s="70" t="s">
        <v>2085</v>
      </c>
      <c r="B80" s="380" t="s">
        <v>119</v>
      </c>
      <c r="C80" s="70"/>
      <c r="D80" s="314" t="s">
        <v>2087</v>
      </c>
      <c r="E80" s="70"/>
      <c r="F80" s="70"/>
      <c r="G80" s="70"/>
      <c r="H80" s="70"/>
      <c r="I80" s="70"/>
      <c r="J80" s="70"/>
      <c r="K80" s="70"/>
      <c r="L80" s="70"/>
      <c r="M80" s="70"/>
      <c r="N80" s="70"/>
      <c r="O80" s="70"/>
      <c r="P80" s="70"/>
      <c r="Q80" s="70"/>
      <c r="R80" s="70"/>
    </row>
    <row r="81" spans="1:19">
      <c r="A81" s="9" t="s">
        <v>2086</v>
      </c>
      <c r="B81" s="9" t="s">
        <v>122</v>
      </c>
      <c r="C81" s="9"/>
      <c r="D81" s="315" t="s">
        <v>2093</v>
      </c>
    </row>
    <row r="82" spans="1:19">
      <c r="A82" s="9" t="s">
        <v>2086</v>
      </c>
      <c r="B82" s="9"/>
      <c r="C82" s="9"/>
      <c r="N82" s="9"/>
      <c r="R82" s="370"/>
    </row>
    <row r="83" spans="1:19">
      <c r="A83" s="9" t="s">
        <v>2086</v>
      </c>
      <c r="B83" s="9" t="s">
        <v>111</v>
      </c>
      <c r="C83" s="9"/>
      <c r="D83" s="4" t="s">
        <v>19</v>
      </c>
      <c r="E83" s="60" t="s">
        <v>2097</v>
      </c>
      <c r="F83" s="60"/>
      <c r="G83" s="60"/>
      <c r="H83" s="60"/>
      <c r="I83" s="60"/>
      <c r="J83" s="60"/>
      <c r="K83" s="60"/>
      <c r="L83" s="389"/>
      <c r="M83" s="389"/>
      <c r="O83" s="9"/>
      <c r="P83" s="47"/>
      <c r="R83" s="370"/>
    </row>
    <row r="84" spans="1:19">
      <c r="A84" s="9" t="s">
        <v>2086</v>
      </c>
      <c r="B84" s="9" t="s">
        <v>111</v>
      </c>
      <c r="C84" s="9"/>
      <c r="D84" s="60" t="s">
        <v>2076</v>
      </c>
      <c r="E84" s="388">
        <v>49</v>
      </c>
      <c r="F84" s="641"/>
      <c r="G84" s="641"/>
      <c r="H84" s="641"/>
      <c r="I84" s="641"/>
      <c r="J84" s="641"/>
      <c r="K84" s="641"/>
      <c r="L84" s="643"/>
      <c r="M84" s="642"/>
      <c r="N84" s="43"/>
      <c r="O84" s="173"/>
      <c r="P84" s="47"/>
      <c r="R84" s="370"/>
      <c r="S84" s="83"/>
    </row>
    <row r="85" spans="1:19">
      <c r="A85" s="9" t="s">
        <v>2086</v>
      </c>
      <c r="B85" s="9" t="s">
        <v>111</v>
      </c>
      <c r="C85" s="9"/>
      <c r="D85" s="60" t="s">
        <v>2077</v>
      </c>
      <c r="E85" s="388">
        <v>24</v>
      </c>
      <c r="F85" s="641"/>
      <c r="G85" s="641"/>
      <c r="H85" s="641"/>
      <c r="I85" s="641"/>
      <c r="J85" s="641"/>
      <c r="K85" s="641"/>
      <c r="L85" s="643"/>
      <c r="M85" s="642"/>
      <c r="N85" s="43"/>
      <c r="O85" s="173"/>
      <c r="P85" s="47"/>
      <c r="R85" s="370"/>
      <c r="S85" s="83"/>
    </row>
    <row r="86" spans="1:19">
      <c r="A86" s="9" t="s">
        <v>2086</v>
      </c>
      <c r="B86" s="9" t="s">
        <v>111</v>
      </c>
      <c r="C86" s="9"/>
      <c r="D86" s="9" t="s">
        <v>2078</v>
      </c>
      <c r="E86" s="648">
        <v>12</v>
      </c>
      <c r="F86" s="644"/>
      <c r="G86" s="644"/>
      <c r="H86" s="383"/>
      <c r="I86" s="383"/>
      <c r="J86" s="383"/>
      <c r="K86" s="642"/>
      <c r="L86" s="643"/>
      <c r="M86" s="38"/>
      <c r="N86" s="43"/>
      <c r="O86" s="173"/>
      <c r="P86" s="47"/>
      <c r="R86" s="370"/>
    </row>
    <row r="87" spans="1:19">
      <c r="A87" s="9" t="s">
        <v>2086</v>
      </c>
      <c r="B87" s="9" t="s">
        <v>111</v>
      </c>
      <c r="D87" s="9" t="s">
        <v>2079</v>
      </c>
      <c r="E87" s="648">
        <v>15</v>
      </c>
      <c r="F87" s="644"/>
      <c r="G87" s="644"/>
      <c r="H87" s="383"/>
      <c r="I87" s="383"/>
      <c r="J87" s="383"/>
      <c r="K87" s="383"/>
      <c r="L87" s="648"/>
      <c r="M87" s="390"/>
      <c r="N87" s="43"/>
      <c r="O87" s="9"/>
      <c r="P87" s="47"/>
      <c r="R87" s="370"/>
    </row>
    <row r="88" spans="1:19">
      <c r="A88" s="9" t="s">
        <v>2086</v>
      </c>
      <c r="B88" s="9" t="s">
        <v>111</v>
      </c>
      <c r="C88" s="9"/>
      <c r="D88" s="622"/>
      <c r="E88" s="463"/>
      <c r="F88" s="644"/>
      <c r="G88" s="644"/>
      <c r="H88" s="383"/>
      <c r="I88" s="383"/>
      <c r="J88" s="383"/>
      <c r="K88" s="383"/>
      <c r="L88" s="648"/>
    </row>
    <row r="89" spans="1:19">
      <c r="A89" s="9" t="s">
        <v>2086</v>
      </c>
      <c r="B89" s="9"/>
      <c r="C89" s="9"/>
      <c r="D89" s="9"/>
      <c r="E89" s="648"/>
      <c r="F89" s="644"/>
      <c r="G89" s="644"/>
      <c r="H89" s="383"/>
      <c r="I89" s="383"/>
      <c r="J89" s="383"/>
      <c r="K89" s="383"/>
      <c r="L89" s="648"/>
    </row>
    <row r="90" spans="1:19">
      <c r="A90" s="9" t="s">
        <v>2086</v>
      </c>
      <c r="B90" s="9" t="s">
        <v>2088</v>
      </c>
      <c r="C90" s="9"/>
      <c r="D90" s="9"/>
      <c r="E90" s="648"/>
      <c r="F90" s="645"/>
      <c r="G90" s="645"/>
      <c r="H90" s="637"/>
      <c r="I90" s="637"/>
      <c r="J90" s="637"/>
      <c r="K90" s="646"/>
      <c r="L90" s="647"/>
      <c r="S90" s="385"/>
    </row>
    <row r="91" spans="1:19">
      <c r="A91" s="9" t="s">
        <v>2086</v>
      </c>
      <c r="B91" s="9" t="s">
        <v>112</v>
      </c>
      <c r="C91" s="9"/>
      <c r="D91" s="622"/>
      <c r="E91" s="648"/>
      <c r="S91" s="385"/>
    </row>
    <row r="92" spans="1:19">
      <c r="A92" s="9" t="s">
        <v>2086</v>
      </c>
      <c r="B92" s="9" t="s">
        <v>112</v>
      </c>
      <c r="C92" s="9"/>
      <c r="S92" s="83"/>
    </row>
    <row r="93" spans="1:19">
      <c r="A93" s="9" t="s">
        <v>2086</v>
      </c>
      <c r="B93" s="9" t="s">
        <v>112</v>
      </c>
      <c r="C93" s="9"/>
      <c r="S93" s="83"/>
    </row>
    <row r="94" spans="1:19">
      <c r="A94" s="9" t="s">
        <v>2086</v>
      </c>
      <c r="B94" s="9" t="s">
        <v>112</v>
      </c>
      <c r="C94" s="9"/>
      <c r="S94" s="83"/>
    </row>
    <row r="95" spans="1:19">
      <c r="A95" s="9" t="s">
        <v>2086</v>
      </c>
      <c r="B95" s="9" t="s">
        <v>112</v>
      </c>
      <c r="C95" s="9"/>
      <c r="S95" s="83"/>
    </row>
    <row r="96" spans="1:19">
      <c r="A96" s="9" t="s">
        <v>2086</v>
      </c>
      <c r="B96" s="9" t="s">
        <v>112</v>
      </c>
      <c r="C96" s="9"/>
    </row>
    <row r="97" spans="1:18">
      <c r="A97" s="9" t="s">
        <v>2086</v>
      </c>
      <c r="B97" s="9" t="s">
        <v>112</v>
      </c>
      <c r="C97" s="9"/>
    </row>
    <row r="98" spans="1:18">
      <c r="A98" s="9" t="s">
        <v>2086</v>
      </c>
      <c r="B98" s="9" t="s">
        <v>112</v>
      </c>
      <c r="C98" s="9"/>
    </row>
    <row r="99" spans="1:18">
      <c r="A99" s="9" t="s">
        <v>2086</v>
      </c>
      <c r="B99" s="9" t="s">
        <v>112</v>
      </c>
      <c r="C99" s="9"/>
    </row>
    <row r="100" spans="1:18">
      <c r="A100" s="9" t="s">
        <v>2086</v>
      </c>
      <c r="B100" s="9" t="s">
        <v>112</v>
      </c>
      <c r="C100" s="9"/>
    </row>
    <row r="101" spans="1:18">
      <c r="A101" s="9" t="s">
        <v>2086</v>
      </c>
      <c r="B101" s="9" t="s">
        <v>112</v>
      </c>
      <c r="C101" s="9"/>
      <c r="P101" s="83"/>
    </row>
    <row r="102" spans="1:18">
      <c r="A102" s="9" t="s">
        <v>2086</v>
      </c>
      <c r="B102" s="9" t="s">
        <v>112</v>
      </c>
      <c r="C102" s="9"/>
      <c r="D102" s="272"/>
    </row>
    <row r="103" spans="1:18">
      <c r="A103" s="9" t="s">
        <v>2086</v>
      </c>
      <c r="B103" s="74"/>
      <c r="C103" s="74"/>
      <c r="D103" s="73"/>
      <c r="E103" s="73"/>
      <c r="F103" s="73"/>
      <c r="G103" s="73"/>
      <c r="H103" s="73"/>
      <c r="I103" s="73"/>
      <c r="J103" s="73"/>
      <c r="K103" s="73"/>
      <c r="L103" s="73"/>
      <c r="M103" s="73"/>
      <c r="N103" s="73"/>
      <c r="O103" s="73"/>
      <c r="P103" s="73"/>
      <c r="Q103" s="74"/>
      <c r="R103" s="74"/>
    </row>
    <row r="104" spans="1:18">
      <c r="A104" s="9" t="s">
        <v>2086</v>
      </c>
      <c r="B104" s="9" t="s">
        <v>124</v>
      </c>
      <c r="C104" s="9"/>
      <c r="D104" s="272" t="s">
        <v>2090</v>
      </c>
    </row>
    <row r="105" spans="1:18">
      <c r="A105" s="9" t="s">
        <v>2086</v>
      </c>
      <c r="B105" s="9"/>
      <c r="C105" s="9"/>
      <c r="D105" s="272"/>
    </row>
    <row r="106" spans="1:18">
      <c r="A106" s="70" t="s">
        <v>2092</v>
      </c>
      <c r="B106" s="380" t="s">
        <v>119</v>
      </c>
      <c r="C106" s="70"/>
      <c r="D106" s="314" t="s">
        <v>2095</v>
      </c>
      <c r="E106" s="70"/>
      <c r="F106" s="70"/>
      <c r="G106" s="70"/>
      <c r="H106" s="70"/>
      <c r="I106" s="70"/>
      <c r="J106" s="70"/>
      <c r="K106" s="70"/>
      <c r="L106" s="70"/>
      <c r="M106" s="70"/>
      <c r="N106" s="70"/>
      <c r="O106" s="70"/>
      <c r="P106" s="70"/>
      <c r="Q106" s="70"/>
      <c r="R106" s="70"/>
    </row>
    <row r="107" spans="1:18">
      <c r="A107" s="9" t="s">
        <v>2094</v>
      </c>
      <c r="B107" s="9" t="s">
        <v>122</v>
      </c>
      <c r="C107" s="9"/>
      <c r="D107" s="315" t="s">
        <v>2104</v>
      </c>
    </row>
    <row r="108" spans="1:18" s="74" customFormat="1">
      <c r="A108" s="9" t="s">
        <v>2094</v>
      </c>
      <c r="B108" s="373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P108" s="73"/>
    </row>
    <row r="109" spans="1:18">
      <c r="A109" s="9" t="s">
        <v>2094</v>
      </c>
      <c r="B109" s="9" t="s">
        <v>111</v>
      </c>
      <c r="C109" s="9"/>
      <c r="D109" s="59" t="s">
        <v>2098</v>
      </c>
      <c r="E109" s="60" t="s">
        <v>2099</v>
      </c>
      <c r="F109" s="389"/>
      <c r="G109" s="389"/>
      <c r="H109" s="60"/>
    </row>
    <row r="110" spans="1:18">
      <c r="A110" s="9" t="s">
        <v>2094</v>
      </c>
      <c r="B110" s="9" t="s">
        <v>111</v>
      </c>
      <c r="C110" s="9"/>
      <c r="D110" t="s">
        <v>2100</v>
      </c>
      <c r="E110" s="388">
        <v>29</v>
      </c>
      <c r="F110" s="674"/>
      <c r="G110" s="674"/>
      <c r="H110" s="641"/>
    </row>
    <row r="111" spans="1:18">
      <c r="A111" s="9" t="s">
        <v>2094</v>
      </c>
      <c r="B111" s="9" t="s">
        <v>111</v>
      </c>
      <c r="C111" s="9"/>
      <c r="D111" t="s">
        <v>2101</v>
      </c>
      <c r="E111" s="388">
        <v>24</v>
      </c>
      <c r="F111" s="674"/>
      <c r="G111" s="674"/>
      <c r="H111" s="641"/>
    </row>
    <row r="112" spans="1:18">
      <c r="A112" s="9" t="s">
        <v>2094</v>
      </c>
      <c r="B112" s="9" t="s">
        <v>111</v>
      </c>
      <c r="C112" s="9"/>
      <c r="D112" t="s">
        <v>2102</v>
      </c>
      <c r="E112" s="648">
        <v>20</v>
      </c>
      <c r="F112" s="669"/>
      <c r="G112" s="669"/>
      <c r="H112" s="383"/>
    </row>
    <row r="113" spans="1:8">
      <c r="A113" s="9" t="s">
        <v>2094</v>
      </c>
      <c r="B113" s="9" t="s">
        <v>111</v>
      </c>
      <c r="D113" s="9" t="s">
        <v>2103</v>
      </c>
      <c r="E113" s="648">
        <v>18</v>
      </c>
      <c r="F113" s="669"/>
      <c r="G113" s="669"/>
      <c r="H113" s="383"/>
    </row>
    <row r="114" spans="1:8">
      <c r="A114" s="9" t="s">
        <v>2094</v>
      </c>
      <c r="B114" s="9" t="s">
        <v>111</v>
      </c>
      <c r="C114" s="9"/>
      <c r="D114" t="s">
        <v>2096</v>
      </c>
      <c r="E114" s="648">
        <v>9</v>
      </c>
      <c r="F114" s="669"/>
      <c r="H114" s="383"/>
    </row>
    <row r="115" spans="1:8">
      <c r="A115" s="9" t="s">
        <v>2094</v>
      </c>
      <c r="B115" s="9"/>
      <c r="C115" s="9"/>
      <c r="D115" s="9"/>
      <c r="E115" s="463"/>
      <c r="G115" s="292"/>
      <c r="H115" s="383"/>
    </row>
    <row r="116" spans="1:8">
      <c r="A116" s="9" t="s">
        <v>2094</v>
      </c>
      <c r="B116" s="9" t="s">
        <v>2088</v>
      </c>
      <c r="C116" s="9"/>
      <c r="D116" s="292" t="s">
        <v>2137</v>
      </c>
      <c r="E116" s="648"/>
      <c r="F116" s="645"/>
      <c r="G116" s="645"/>
      <c r="H116" s="637"/>
    </row>
    <row r="117" spans="1:8">
      <c r="A117" s="9" t="s">
        <v>2094</v>
      </c>
      <c r="B117" s="9" t="s">
        <v>112</v>
      </c>
      <c r="C117" s="9"/>
      <c r="D117" s="622"/>
      <c r="E117" s="648"/>
    </row>
    <row r="118" spans="1:8">
      <c r="A118" s="9" t="s">
        <v>2094</v>
      </c>
      <c r="B118" s="9" t="s">
        <v>112</v>
      </c>
      <c r="C118" s="9"/>
    </row>
    <row r="119" spans="1:8">
      <c r="A119" s="9" t="s">
        <v>2094</v>
      </c>
      <c r="B119" s="9" t="s">
        <v>112</v>
      </c>
      <c r="C119" s="9"/>
    </row>
    <row r="120" spans="1:8">
      <c r="A120" s="9" t="s">
        <v>2094</v>
      </c>
      <c r="B120" s="9" t="s">
        <v>112</v>
      </c>
      <c r="C120" s="9"/>
    </row>
    <row r="121" spans="1:8">
      <c r="A121" s="9" t="s">
        <v>2094</v>
      </c>
      <c r="B121" s="9" t="s">
        <v>112</v>
      </c>
      <c r="C121" s="9"/>
    </row>
    <row r="122" spans="1:8">
      <c r="A122" s="9" t="s">
        <v>2094</v>
      </c>
      <c r="B122" s="9" t="s">
        <v>112</v>
      </c>
      <c r="C122" s="9"/>
    </row>
    <row r="123" spans="1:8">
      <c r="A123" s="9" t="s">
        <v>2094</v>
      </c>
      <c r="B123" s="9" t="s">
        <v>112</v>
      </c>
      <c r="C123" s="9"/>
    </row>
    <row r="124" spans="1:8">
      <c r="A124" s="9" t="s">
        <v>2094</v>
      </c>
      <c r="B124" s="9" t="s">
        <v>112</v>
      </c>
      <c r="C124" s="9"/>
    </row>
    <row r="125" spans="1:8">
      <c r="A125" s="9" t="s">
        <v>2094</v>
      </c>
      <c r="B125" s="9" t="s">
        <v>112</v>
      </c>
      <c r="C125" s="9"/>
    </row>
    <row r="126" spans="1:8">
      <c r="A126" s="9" t="s">
        <v>2094</v>
      </c>
      <c r="B126" s="9" t="s">
        <v>112</v>
      </c>
      <c r="C126" s="9"/>
    </row>
    <row r="127" spans="1:8">
      <c r="A127" s="9" t="s">
        <v>2094</v>
      </c>
      <c r="B127" s="9" t="s">
        <v>112</v>
      </c>
      <c r="C127" s="9"/>
    </row>
    <row r="128" spans="1:8">
      <c r="A128" s="9" t="s">
        <v>2094</v>
      </c>
      <c r="B128" s="9" t="s">
        <v>112</v>
      </c>
      <c r="C128" s="9"/>
      <c r="D128" s="272"/>
    </row>
    <row r="129" spans="1:18">
      <c r="A129" s="9" t="s">
        <v>2094</v>
      </c>
      <c r="B129" s="74"/>
      <c r="C129" s="74"/>
      <c r="D129" s="73"/>
      <c r="E129" s="73"/>
      <c r="F129" s="73"/>
      <c r="G129" s="73"/>
      <c r="H129" s="73"/>
    </row>
    <row r="130" spans="1:18">
      <c r="A130" s="9" t="s">
        <v>2094</v>
      </c>
      <c r="C130" s="9"/>
    </row>
    <row r="131" spans="1:18">
      <c r="A131" s="9" t="s">
        <v>2094</v>
      </c>
      <c r="B131" s="9" t="s">
        <v>124</v>
      </c>
      <c r="C131" s="9"/>
      <c r="D131" s="272" t="s">
        <v>2090</v>
      </c>
    </row>
    <row r="132" spans="1:18">
      <c r="A132" s="9" t="s">
        <v>2094</v>
      </c>
    </row>
    <row r="133" spans="1:18">
      <c r="A133" s="70" t="s">
        <v>2105</v>
      </c>
      <c r="B133" s="70" t="s">
        <v>119</v>
      </c>
      <c r="C133" s="70"/>
      <c r="D133" s="205" t="s">
        <v>2107</v>
      </c>
      <c r="E133" s="70"/>
      <c r="F133" s="70"/>
      <c r="G133" s="70"/>
      <c r="H133" s="70"/>
      <c r="I133" s="70"/>
      <c r="J133" s="70"/>
      <c r="K133" s="70"/>
      <c r="L133" s="70"/>
      <c r="M133" s="70"/>
      <c r="N133" s="70"/>
      <c r="O133" s="70"/>
      <c r="P133" s="70"/>
      <c r="Q133" s="70"/>
      <c r="R133" s="70"/>
    </row>
    <row r="134" spans="1:18">
      <c r="A134" s="9" t="s">
        <v>2106</v>
      </c>
      <c r="B134" s="9" t="s">
        <v>122</v>
      </c>
      <c r="C134" s="9"/>
      <c r="D134" s="269" t="s">
        <v>2109</v>
      </c>
    </row>
    <row r="135" spans="1:18">
      <c r="A135" s="9" t="s">
        <v>2106</v>
      </c>
      <c r="B135" s="9" t="s">
        <v>122</v>
      </c>
      <c r="C135" s="73"/>
      <c r="D135" s="283"/>
      <c r="E135" s="74"/>
      <c r="F135" s="74"/>
      <c r="G135" s="74"/>
      <c r="H135" s="74"/>
      <c r="I135" s="74"/>
      <c r="J135" s="74"/>
      <c r="K135" s="74"/>
      <c r="L135" s="74"/>
      <c r="M135" s="74"/>
      <c r="N135" s="74"/>
      <c r="O135" s="74"/>
      <c r="P135" s="74"/>
      <c r="Q135" s="283"/>
      <c r="R135" s="74"/>
    </row>
    <row r="136" spans="1:18">
      <c r="A136" s="9" t="s">
        <v>2106</v>
      </c>
    </row>
    <row r="137" spans="1:18">
      <c r="A137" s="9" t="s">
        <v>2106</v>
      </c>
      <c r="B137" s="9" t="s">
        <v>111</v>
      </c>
      <c r="C137" s="9"/>
      <c r="D137" s="3" t="s">
        <v>19</v>
      </c>
      <c r="E137" s="60" t="s">
        <v>169</v>
      </c>
      <c r="F137" s="60" t="s">
        <v>170</v>
      </c>
      <c r="G137" s="60" t="s">
        <v>171</v>
      </c>
      <c r="H137" s="60" t="s">
        <v>183</v>
      </c>
      <c r="I137" s="60" t="s">
        <v>184</v>
      </c>
      <c r="J137" s="60" t="s">
        <v>1960</v>
      </c>
      <c r="K137" s="60" t="s">
        <v>1048</v>
      </c>
      <c r="L137" s="9" t="s">
        <v>172</v>
      </c>
      <c r="M137" s="9" t="s">
        <v>1961</v>
      </c>
      <c r="O137" s="9"/>
    </row>
    <row r="138" spans="1:18">
      <c r="A138" s="9" t="s">
        <v>2106</v>
      </c>
      <c r="B138" s="9" t="s">
        <v>111</v>
      </c>
      <c r="C138" s="9"/>
      <c r="D138" s="3" t="s">
        <v>165</v>
      </c>
      <c r="E138" s="277">
        <v>115.4</v>
      </c>
      <c r="F138" s="277">
        <v>119.23</v>
      </c>
      <c r="G138" s="277">
        <v>120.2</v>
      </c>
      <c r="H138" s="277">
        <v>101.12</v>
      </c>
      <c r="I138" s="277">
        <v>90.91</v>
      </c>
      <c r="J138" s="277">
        <v>83.98</v>
      </c>
      <c r="K138" s="277">
        <v>78.08</v>
      </c>
      <c r="L138" s="678">
        <v>-6.3</v>
      </c>
      <c r="M138" s="74"/>
      <c r="N138" s="74"/>
      <c r="O138" s="74"/>
      <c r="P138" s="74"/>
      <c r="Q138" s="74"/>
      <c r="R138" s="74"/>
    </row>
    <row r="139" spans="1:18">
      <c r="A139" s="9" t="s">
        <v>2106</v>
      </c>
      <c r="B139" s="9"/>
      <c r="C139" s="9"/>
      <c r="E139" s="269"/>
      <c r="F139" s="269"/>
      <c r="G139" s="269"/>
      <c r="H139" s="269"/>
      <c r="I139" s="269"/>
      <c r="J139" s="269"/>
      <c r="K139" s="269"/>
      <c r="R139" s="175" t="s">
        <v>2108</v>
      </c>
    </row>
    <row r="140" spans="1:18">
      <c r="A140" s="9" t="s">
        <v>2106</v>
      </c>
      <c r="B140" s="9" t="s">
        <v>112</v>
      </c>
      <c r="C140" s="9"/>
    </row>
    <row r="141" spans="1:18">
      <c r="A141" s="9" t="s">
        <v>2106</v>
      </c>
      <c r="B141" s="9" t="s">
        <v>112</v>
      </c>
      <c r="C141" s="9"/>
    </row>
    <row r="142" spans="1:18">
      <c r="A142" s="9" t="s">
        <v>2106</v>
      </c>
      <c r="B142" s="9" t="s">
        <v>112</v>
      </c>
      <c r="C142" s="9"/>
    </row>
    <row r="143" spans="1:18">
      <c r="A143" s="9" t="s">
        <v>2106</v>
      </c>
      <c r="B143" s="9" t="s">
        <v>112</v>
      </c>
      <c r="C143" s="9"/>
    </row>
    <row r="144" spans="1:18">
      <c r="A144" s="9" t="s">
        <v>2106</v>
      </c>
      <c r="B144" s="9" t="s">
        <v>112</v>
      </c>
      <c r="C144" s="9"/>
    </row>
    <row r="145" spans="1:19">
      <c r="A145" s="9" t="s">
        <v>2106</v>
      </c>
      <c r="B145" s="9" t="s">
        <v>112</v>
      </c>
      <c r="C145" s="9"/>
    </row>
    <row r="146" spans="1:19">
      <c r="A146" s="9" t="s">
        <v>2106</v>
      </c>
      <c r="B146" s="9" t="s">
        <v>112</v>
      </c>
      <c r="C146" s="9"/>
    </row>
    <row r="147" spans="1:19">
      <c r="A147" s="9" t="s">
        <v>2106</v>
      </c>
      <c r="B147" s="9" t="s">
        <v>112</v>
      </c>
      <c r="C147" s="9"/>
    </row>
    <row r="148" spans="1:19">
      <c r="A148" s="9" t="s">
        <v>2106</v>
      </c>
      <c r="B148" s="9" t="s">
        <v>112</v>
      </c>
      <c r="C148" s="9"/>
    </row>
    <row r="149" spans="1:19">
      <c r="A149" s="9" t="s">
        <v>2106</v>
      </c>
      <c r="B149" s="9" t="s">
        <v>112</v>
      </c>
      <c r="C149" s="9"/>
    </row>
    <row r="150" spans="1:19">
      <c r="A150" s="9" t="s">
        <v>2106</v>
      </c>
      <c r="B150" s="9" t="s">
        <v>112</v>
      </c>
      <c r="C150" s="9"/>
    </row>
    <row r="151" spans="1:19">
      <c r="A151" s="9" t="s">
        <v>2106</v>
      </c>
      <c r="B151" s="9" t="s">
        <v>112</v>
      </c>
      <c r="C151" s="9"/>
    </row>
    <row r="152" spans="1:19">
      <c r="A152" s="9" t="s">
        <v>2106</v>
      </c>
      <c r="B152" s="9" t="s">
        <v>112</v>
      </c>
      <c r="C152" s="9"/>
    </row>
    <row r="153" spans="1:19">
      <c r="A153" s="9" t="s">
        <v>2106</v>
      </c>
      <c r="B153" s="9" t="s">
        <v>112</v>
      </c>
      <c r="C153" s="9"/>
    </row>
    <row r="154" spans="1:19">
      <c r="A154" s="9" t="s">
        <v>2106</v>
      </c>
      <c r="B154" s="9"/>
      <c r="C154" s="9"/>
    </row>
    <row r="155" spans="1:19">
      <c r="A155" s="9" t="s">
        <v>2106</v>
      </c>
      <c r="B155" s="9" t="s">
        <v>124</v>
      </c>
      <c r="C155" s="9"/>
      <c r="D155" s="272" t="s">
        <v>2056</v>
      </c>
    </row>
    <row r="156" spans="1:19" s="74" customFormat="1">
      <c r="A156" s="9" t="s">
        <v>2106</v>
      </c>
      <c r="D156" s="73"/>
      <c r="F156" s="73"/>
      <c r="G156" s="73"/>
      <c r="H156" s="73"/>
      <c r="I156" s="73"/>
      <c r="J156" s="73"/>
      <c r="K156" s="73"/>
      <c r="L156" s="73"/>
      <c r="M156" s="73"/>
      <c r="N156" s="73"/>
      <c r="O156" s="73"/>
      <c r="P156" s="73"/>
    </row>
    <row r="157" spans="1:19">
      <c r="A157" s="70" t="s">
        <v>2110</v>
      </c>
      <c r="B157" s="380" t="s">
        <v>119</v>
      </c>
      <c r="C157" s="70"/>
      <c r="D157" s="205" t="s">
        <v>2120</v>
      </c>
      <c r="E157" s="381"/>
      <c r="F157" s="70"/>
      <c r="G157" s="70"/>
      <c r="H157" s="70"/>
      <c r="I157" s="70"/>
      <c r="J157" s="70"/>
      <c r="K157" s="70"/>
      <c r="L157" s="70"/>
      <c r="M157" s="70"/>
      <c r="N157" s="70"/>
      <c r="O157" s="70"/>
      <c r="P157" s="70"/>
      <c r="Q157" s="70"/>
      <c r="R157" s="70"/>
    </row>
    <row r="158" spans="1:19">
      <c r="A158" s="9" t="s">
        <v>2055</v>
      </c>
      <c r="B158" s="9" t="s">
        <v>122</v>
      </c>
      <c r="C158" s="9"/>
      <c r="D158" s="315" t="s">
        <v>2133</v>
      </c>
    </row>
    <row r="159" spans="1:19">
      <c r="A159" s="9" t="s">
        <v>2055</v>
      </c>
      <c r="B159" s="9"/>
      <c r="C159" s="9"/>
      <c r="N159" s="9"/>
      <c r="R159" s="370"/>
      <c r="S159" s="385"/>
    </row>
    <row r="160" spans="1:19">
      <c r="A160" s="9" t="s">
        <v>2055</v>
      </c>
      <c r="B160" s="9" t="s">
        <v>111</v>
      </c>
      <c r="C160" s="9"/>
      <c r="D160" s="4" t="s">
        <v>19</v>
      </c>
      <c r="E160" s="60" t="s">
        <v>2114</v>
      </c>
      <c r="F160" s="60" t="s">
        <v>2113</v>
      </c>
      <c r="G160" s="60"/>
      <c r="H160" s="389" t="s">
        <v>1966</v>
      </c>
      <c r="I160" s="60"/>
      <c r="J160" s="60"/>
      <c r="K160" s="60"/>
      <c r="L160" s="389"/>
      <c r="O160" s="9"/>
      <c r="P160" s="47"/>
      <c r="R160" s="370"/>
      <c r="S160" s="521"/>
    </row>
    <row r="161" spans="1:19">
      <c r="A161" s="9" t="s">
        <v>2055</v>
      </c>
      <c r="B161" s="9" t="s">
        <v>111</v>
      </c>
      <c r="C161" s="9"/>
      <c r="D161" s="668" t="s">
        <v>2116</v>
      </c>
      <c r="E161" s="2">
        <v>3.76</v>
      </c>
      <c r="F161" s="616">
        <f>표11_10022109[[#This Row],[ 시장규모]]/E165</f>
        <v>3.2582322357019064E-2</v>
      </c>
      <c r="G161" s="2"/>
      <c r="H161" s="2"/>
      <c r="I161" s="2"/>
      <c r="J161" s="2"/>
      <c r="K161" s="2"/>
      <c r="L161" s="670"/>
      <c r="M161" s="642"/>
      <c r="N161" s="173"/>
      <c r="O161" s="173"/>
      <c r="P161" s="47"/>
      <c r="Q161" s="373"/>
      <c r="R161" s="370"/>
      <c r="S161" s="521"/>
    </row>
    <row r="162" spans="1:19">
      <c r="A162" s="9" t="s">
        <v>2055</v>
      </c>
      <c r="B162" s="9" t="s">
        <v>111</v>
      </c>
      <c r="C162" s="9"/>
      <c r="D162" s="667" t="s">
        <v>2063</v>
      </c>
      <c r="E162" s="2">
        <v>47.58</v>
      </c>
      <c r="F162" s="616">
        <f>표11_10022109[[#This Row],[ 시장규모]]/E165</f>
        <v>0.41230502599653374</v>
      </c>
      <c r="G162" s="2"/>
      <c r="H162" s="2"/>
      <c r="I162" s="2"/>
      <c r="J162" s="2"/>
      <c r="K162" s="2"/>
      <c r="L162" s="670"/>
      <c r="M162" s="642"/>
      <c r="N162" s="173"/>
      <c r="O162" s="173"/>
      <c r="P162" s="47"/>
      <c r="Q162" s="373"/>
      <c r="R162" s="370"/>
      <c r="S162" s="606"/>
    </row>
    <row r="163" spans="1:19">
      <c r="A163" s="9" t="s">
        <v>2055</v>
      </c>
      <c r="B163" s="9" t="s">
        <v>111</v>
      </c>
      <c r="C163" s="9"/>
      <c r="D163" s="9" t="s">
        <v>2115</v>
      </c>
      <c r="E163" s="2">
        <v>1.24</v>
      </c>
      <c r="F163" s="616">
        <f>표11_10022109[[#This Row],[ 시장규모]]/E165</f>
        <v>1.0745233968804158E-2</v>
      </c>
      <c r="G163" s="2"/>
      <c r="H163" s="2"/>
      <c r="I163" s="2"/>
      <c r="J163" s="2"/>
      <c r="K163" s="2"/>
      <c r="L163" s="670"/>
      <c r="M163" s="38"/>
      <c r="N163" s="173"/>
      <c r="O163" s="173"/>
      <c r="P163" s="47"/>
      <c r="Q163" s="73"/>
      <c r="R163" s="370"/>
      <c r="S163" s="521"/>
    </row>
    <row r="164" spans="1:19">
      <c r="A164" s="9" t="s">
        <v>2055</v>
      </c>
      <c r="B164" s="9" t="s">
        <v>111</v>
      </c>
      <c r="C164" s="9"/>
      <c r="D164" s="9" t="s">
        <v>2067</v>
      </c>
      <c r="E164" s="2">
        <v>62.82</v>
      </c>
      <c r="F164" s="616">
        <f>표11_10022109[[#This Row],[ 시장규모]]/E165</f>
        <v>0.54436741767764296</v>
      </c>
      <c r="G164" s="2"/>
      <c r="H164" s="2"/>
      <c r="I164" s="2"/>
      <c r="J164" s="2"/>
      <c r="K164" s="2"/>
      <c r="L164" s="670"/>
      <c r="M164" s="38"/>
      <c r="N164" s="173"/>
      <c r="O164" s="173"/>
      <c r="P164" s="47"/>
      <c r="Q164" s="73"/>
      <c r="R164" s="370"/>
      <c r="S164" s="521"/>
    </row>
    <row r="165" spans="1:19">
      <c r="A165" s="9" t="s">
        <v>2055</v>
      </c>
      <c r="B165" s="9" t="s">
        <v>111</v>
      </c>
      <c r="C165" s="9"/>
      <c r="D165" s="9" t="s">
        <v>2117</v>
      </c>
      <c r="E165" s="2">
        <f>SUM(E161:E164)</f>
        <v>115.4</v>
      </c>
      <c r="F165" s="616">
        <f>SUM(F161:F164)</f>
        <v>1</v>
      </c>
      <c r="G165" s="2"/>
      <c r="H165" s="2"/>
      <c r="I165" s="2"/>
      <c r="J165" s="2"/>
      <c r="K165" s="2"/>
      <c r="L165" s="670"/>
      <c r="M165" s="38"/>
      <c r="N165" s="173"/>
      <c r="O165" s="173"/>
      <c r="P165" s="47"/>
      <c r="R165" s="370"/>
      <c r="S165" s="521"/>
    </row>
    <row r="166" spans="1:19">
      <c r="A166" s="9" t="s">
        <v>2055</v>
      </c>
      <c r="B166" s="9" t="s">
        <v>111</v>
      </c>
      <c r="C166" s="9"/>
      <c r="D166" s="9"/>
      <c r="E166" s="2"/>
      <c r="F166" s="2"/>
      <c r="G166" s="2"/>
      <c r="H166" s="2"/>
      <c r="I166" s="2"/>
      <c r="J166" s="2"/>
      <c r="K166" s="2"/>
      <c r="L166" s="670"/>
      <c r="M166" s="38"/>
      <c r="N166" s="173"/>
      <c r="O166" s="173"/>
      <c r="P166" s="47"/>
      <c r="Q166" s="173"/>
      <c r="R166" s="370"/>
      <c r="S166" s="521"/>
    </row>
    <row r="167" spans="1:19">
      <c r="A167" s="9" t="s">
        <v>2055</v>
      </c>
      <c r="B167" s="9"/>
      <c r="C167" s="9"/>
      <c r="D167" s="622"/>
      <c r="E167" s="637"/>
      <c r="F167" s="645"/>
      <c r="G167" s="645"/>
      <c r="H167" s="637"/>
      <c r="I167" s="637"/>
      <c r="J167" s="637"/>
      <c r="K167" s="646"/>
      <c r="L167" s="643"/>
      <c r="M167" s="38"/>
      <c r="N167" s="173"/>
      <c r="O167" s="9"/>
      <c r="P167" s="47"/>
      <c r="R167" s="370"/>
      <c r="S167" s="521"/>
    </row>
    <row r="168" spans="1:19">
      <c r="A168" s="9" t="s">
        <v>2055</v>
      </c>
      <c r="B168" s="9"/>
      <c r="C168" s="9"/>
      <c r="O168" s="521"/>
      <c r="S168" s="385"/>
    </row>
    <row r="169" spans="1:19">
      <c r="A169" s="9" t="s">
        <v>2055</v>
      </c>
      <c r="B169" s="9" t="s">
        <v>112</v>
      </c>
      <c r="C169" s="9"/>
      <c r="O169" s="245"/>
    </row>
    <row r="170" spans="1:19">
      <c r="A170" s="9" t="s">
        <v>2055</v>
      </c>
      <c r="B170" s="9" t="s">
        <v>112</v>
      </c>
      <c r="C170" s="9"/>
    </row>
    <row r="171" spans="1:19">
      <c r="A171" s="9" t="s">
        <v>2055</v>
      </c>
      <c r="B171" s="9" t="s">
        <v>112</v>
      </c>
      <c r="C171" s="9"/>
    </row>
    <row r="172" spans="1:19">
      <c r="A172" s="9" t="s">
        <v>2055</v>
      </c>
      <c r="B172" s="9" t="s">
        <v>112</v>
      </c>
      <c r="C172" s="9"/>
    </row>
    <row r="173" spans="1:19">
      <c r="A173" s="9" t="s">
        <v>2055</v>
      </c>
      <c r="B173" s="9" t="s">
        <v>112</v>
      </c>
      <c r="C173" s="9"/>
    </row>
    <row r="174" spans="1:19">
      <c r="A174" s="9" t="s">
        <v>2055</v>
      </c>
      <c r="B174" s="9" t="s">
        <v>112</v>
      </c>
      <c r="C174" s="9"/>
    </row>
    <row r="175" spans="1:19">
      <c r="A175" s="9" t="s">
        <v>2055</v>
      </c>
      <c r="B175" s="9" t="s">
        <v>112</v>
      </c>
      <c r="C175" s="9"/>
    </row>
    <row r="176" spans="1:19">
      <c r="A176" s="9" t="s">
        <v>2055</v>
      </c>
      <c r="B176" s="9" t="s">
        <v>112</v>
      </c>
      <c r="C176" s="9"/>
    </row>
    <row r="177" spans="1:19">
      <c r="A177" s="9" t="s">
        <v>2055</v>
      </c>
      <c r="B177" s="9" t="s">
        <v>112</v>
      </c>
      <c r="C177" s="9"/>
    </row>
    <row r="178" spans="1:19">
      <c r="A178" s="9" t="s">
        <v>2055</v>
      </c>
      <c r="B178" s="9" t="s">
        <v>112</v>
      </c>
      <c r="C178" s="9"/>
    </row>
    <row r="179" spans="1:19">
      <c r="A179" s="9" t="s">
        <v>2055</v>
      </c>
      <c r="B179" s="9" t="s">
        <v>112</v>
      </c>
      <c r="C179" s="9"/>
    </row>
    <row r="180" spans="1:19">
      <c r="A180" s="9" t="s">
        <v>2055</v>
      </c>
      <c r="B180" s="9" t="s">
        <v>112</v>
      </c>
      <c r="C180" s="9"/>
    </row>
    <row r="181" spans="1:19">
      <c r="A181" s="9" t="s">
        <v>2055</v>
      </c>
      <c r="B181" s="9"/>
      <c r="C181" s="9"/>
    </row>
    <row r="182" spans="1:19">
      <c r="A182" s="9" t="s">
        <v>2055</v>
      </c>
      <c r="B182" s="9" t="s">
        <v>124</v>
      </c>
      <c r="C182" s="9"/>
      <c r="D182" s="272" t="s">
        <v>2056</v>
      </c>
    </row>
    <row r="183" spans="1:19" s="74" customFormat="1">
      <c r="A183" s="9" t="s">
        <v>2055</v>
      </c>
      <c r="D183" s="73"/>
      <c r="E183" s="73"/>
      <c r="F183" s="73"/>
      <c r="G183" s="73"/>
      <c r="H183" s="73"/>
      <c r="I183" s="73"/>
      <c r="J183" s="73"/>
      <c r="K183" s="73"/>
      <c r="L183" s="73"/>
      <c r="M183" s="73"/>
      <c r="N183" s="73"/>
      <c r="O183" s="73"/>
      <c r="P183" s="73"/>
    </row>
    <row r="184" spans="1:19">
      <c r="A184" s="70" t="s">
        <v>2118</v>
      </c>
      <c r="B184" s="380" t="s">
        <v>119</v>
      </c>
      <c r="C184" s="70"/>
      <c r="D184" s="205" t="s">
        <v>2121</v>
      </c>
      <c r="E184" s="381"/>
      <c r="F184" s="70"/>
      <c r="G184" s="70"/>
      <c r="H184" s="70"/>
      <c r="I184" s="70"/>
      <c r="J184" s="70"/>
      <c r="K184" s="70"/>
      <c r="L184" s="70"/>
      <c r="M184" s="70"/>
      <c r="N184" s="70"/>
      <c r="O184" s="70"/>
      <c r="P184" s="70"/>
      <c r="Q184" s="70"/>
      <c r="R184" s="70"/>
    </row>
    <row r="185" spans="1:19">
      <c r="A185" s="9" t="s">
        <v>2122</v>
      </c>
      <c r="B185" s="9" t="s">
        <v>122</v>
      </c>
      <c r="C185" s="9"/>
      <c r="D185" s="315" t="s">
        <v>2125</v>
      </c>
    </row>
    <row r="186" spans="1:19">
      <c r="A186" s="9" t="s">
        <v>2122</v>
      </c>
      <c r="B186" s="9"/>
      <c r="C186" s="9"/>
      <c r="N186" s="9"/>
      <c r="R186" s="370"/>
      <c r="S186" s="385"/>
    </row>
    <row r="187" spans="1:19">
      <c r="A187" s="9" t="s">
        <v>2122</v>
      </c>
      <c r="B187" s="9" t="s">
        <v>111</v>
      </c>
      <c r="C187" s="9"/>
      <c r="D187" s="4" t="s">
        <v>19</v>
      </c>
      <c r="E187" s="60" t="s">
        <v>2080</v>
      </c>
      <c r="F187" s="389" t="s">
        <v>2081</v>
      </c>
      <c r="G187" s="60"/>
      <c r="H187" s="60"/>
      <c r="I187" s="60"/>
      <c r="J187" s="60"/>
      <c r="K187" s="60"/>
      <c r="L187" s="389"/>
      <c r="M187" s="389"/>
      <c r="O187" s="9"/>
      <c r="P187" s="47"/>
      <c r="R187" s="370"/>
      <c r="S187" s="521"/>
    </row>
    <row r="188" spans="1:19">
      <c r="A188" s="9" t="s">
        <v>2122</v>
      </c>
      <c r="B188" s="9" t="s">
        <v>111</v>
      </c>
      <c r="C188" s="9"/>
      <c r="D188" s="60" t="s">
        <v>2073</v>
      </c>
      <c r="E188" s="641">
        <v>55</v>
      </c>
      <c r="F188" s="676">
        <f>표11_10010697110[[#This Row],[시장 규모]]/E191</f>
        <v>0.47660311958405549</v>
      </c>
      <c r="G188" s="641"/>
      <c r="H188" s="641"/>
      <c r="I188" s="641"/>
      <c r="J188" s="641"/>
      <c r="K188" s="641"/>
      <c r="L188" s="643"/>
      <c r="M188" s="642"/>
      <c r="N188" s="43"/>
      <c r="O188" s="173"/>
      <c r="P188" s="47"/>
      <c r="R188" s="370"/>
      <c r="S188" s="521"/>
    </row>
    <row r="189" spans="1:19">
      <c r="A189" s="9" t="s">
        <v>2122</v>
      </c>
      <c r="B189" s="9" t="s">
        <v>111</v>
      </c>
      <c r="C189" s="9"/>
      <c r="D189" t="s">
        <v>2072</v>
      </c>
      <c r="E189" s="383">
        <v>53.57</v>
      </c>
      <c r="F189" s="677">
        <f>표11_10010697110[[#This Row],[시장 규모]]/E191</f>
        <v>0.46421143847487006</v>
      </c>
      <c r="G189" s="641"/>
      <c r="H189" s="641"/>
      <c r="I189" s="641"/>
      <c r="J189" s="641"/>
      <c r="K189" s="641"/>
      <c r="L189" s="643"/>
      <c r="M189" s="642"/>
      <c r="N189" s="43"/>
      <c r="O189" s="173"/>
      <c r="P189" s="47"/>
      <c r="R189" s="370"/>
      <c r="S189" s="606"/>
    </row>
    <row r="190" spans="1:19">
      <c r="A190" s="9" t="s">
        <v>2122</v>
      </c>
      <c r="B190" s="9" t="s">
        <v>111</v>
      </c>
      <c r="C190" s="9"/>
      <c r="D190" s="672" t="s">
        <v>2123</v>
      </c>
      <c r="E190" s="641">
        <v>6.83</v>
      </c>
      <c r="F190" s="676">
        <f>표11_10010697110[[#This Row],[시장 규모]]/E191</f>
        <v>5.9185441941074529E-2</v>
      </c>
      <c r="G190" s="644"/>
      <c r="H190" s="383"/>
      <c r="I190" s="383"/>
      <c r="J190" s="383"/>
      <c r="K190" s="642"/>
      <c r="L190" s="643"/>
      <c r="M190" s="38"/>
      <c r="N190" s="43"/>
      <c r="O190" s="173"/>
      <c r="P190" s="671"/>
      <c r="R190" s="370"/>
      <c r="S190" s="521"/>
    </row>
    <row r="191" spans="1:19">
      <c r="A191" s="9" t="s">
        <v>2122</v>
      </c>
      <c r="B191" s="9" t="s">
        <v>111</v>
      </c>
      <c r="D191" t="s">
        <v>2124</v>
      </c>
      <c r="E191" s="383">
        <f>SUM(E188:E190)</f>
        <v>115.39999999999999</v>
      </c>
      <c r="F191" s="677">
        <f>SUM(F188:F190)</f>
        <v>1</v>
      </c>
      <c r="G191" s="645"/>
      <c r="H191" s="637"/>
      <c r="I191" s="637"/>
      <c r="J191" s="637"/>
      <c r="K191" s="646"/>
      <c r="L191" s="647"/>
      <c r="M191" s="390"/>
      <c r="N191" s="43"/>
      <c r="O191" s="9"/>
      <c r="P191" s="47"/>
      <c r="R191" s="370"/>
      <c r="S191" s="385"/>
    </row>
    <row r="192" spans="1:19">
      <c r="A192" s="9" t="s">
        <v>2122</v>
      </c>
      <c r="B192" s="9" t="s">
        <v>111</v>
      </c>
      <c r="C192" s="9"/>
      <c r="D192"/>
      <c r="E192" s="383"/>
      <c r="F192" s="677"/>
    </row>
    <row r="193" spans="1:15">
      <c r="A193" s="9" t="s">
        <v>2122</v>
      </c>
      <c r="B193" s="9" t="s">
        <v>111</v>
      </c>
      <c r="C193" s="9"/>
      <c r="D193" s="622"/>
      <c r="E193" s="675"/>
      <c r="F193" s="679"/>
      <c r="O193" s="245"/>
    </row>
    <row r="194" spans="1:15">
      <c r="A194" s="9" t="s">
        <v>2122</v>
      </c>
      <c r="C194" s="9"/>
    </row>
    <row r="195" spans="1:15">
      <c r="A195" s="9" t="s">
        <v>2122</v>
      </c>
      <c r="B195" s="9"/>
      <c r="C195" s="9"/>
    </row>
    <row r="196" spans="1:15">
      <c r="A196" s="9" t="s">
        <v>2122</v>
      </c>
      <c r="B196" s="9" t="s">
        <v>112</v>
      </c>
      <c r="C196" s="9"/>
    </row>
    <row r="197" spans="1:15">
      <c r="A197" s="9" t="s">
        <v>2122</v>
      </c>
      <c r="B197" s="9" t="s">
        <v>112</v>
      </c>
      <c r="C197" s="9"/>
    </row>
    <row r="198" spans="1:15">
      <c r="A198" s="9" t="s">
        <v>2122</v>
      </c>
      <c r="B198" s="9" t="s">
        <v>112</v>
      </c>
      <c r="C198" s="9"/>
    </row>
    <row r="199" spans="1:15">
      <c r="A199" s="9" t="s">
        <v>2122</v>
      </c>
      <c r="B199" s="9" t="s">
        <v>112</v>
      </c>
      <c r="C199" s="9"/>
    </row>
    <row r="200" spans="1:15">
      <c r="A200" s="9" t="s">
        <v>2122</v>
      </c>
      <c r="B200" s="9" t="s">
        <v>112</v>
      </c>
      <c r="C200" s="9"/>
    </row>
    <row r="201" spans="1:15">
      <c r="A201" s="9" t="s">
        <v>2122</v>
      </c>
      <c r="B201" s="9" t="s">
        <v>112</v>
      </c>
      <c r="C201" s="9"/>
    </row>
    <row r="202" spans="1:15">
      <c r="A202" s="9" t="s">
        <v>2122</v>
      </c>
      <c r="B202" s="9" t="s">
        <v>112</v>
      </c>
      <c r="C202" s="9"/>
    </row>
    <row r="203" spans="1:15">
      <c r="A203" s="9" t="s">
        <v>2122</v>
      </c>
      <c r="B203" s="9" t="s">
        <v>112</v>
      </c>
      <c r="C203" s="9"/>
    </row>
    <row r="204" spans="1:15">
      <c r="A204" s="9" t="s">
        <v>2122</v>
      </c>
      <c r="B204" s="9" t="s">
        <v>112</v>
      </c>
      <c r="C204" s="9"/>
    </row>
    <row r="205" spans="1:15">
      <c r="A205" s="9" t="s">
        <v>2122</v>
      </c>
      <c r="B205" s="9" t="s">
        <v>112</v>
      </c>
      <c r="C205" s="9"/>
    </row>
    <row r="206" spans="1:15">
      <c r="A206" s="9" t="s">
        <v>2122</v>
      </c>
      <c r="B206" s="9" t="s">
        <v>112</v>
      </c>
      <c r="C206" s="9"/>
    </row>
    <row r="207" spans="1:15">
      <c r="A207" s="9" t="s">
        <v>2122</v>
      </c>
      <c r="B207" s="9"/>
      <c r="C207" s="9"/>
    </row>
    <row r="208" spans="1:15">
      <c r="A208" s="9" t="s">
        <v>2122</v>
      </c>
      <c r="C208" s="9"/>
      <c r="D208" s="272"/>
    </row>
    <row r="209" spans="1:19">
      <c r="A209" s="9" t="s">
        <v>2122</v>
      </c>
      <c r="B209" s="9" t="s">
        <v>124</v>
      </c>
      <c r="C209" s="9"/>
      <c r="D209" s="272" t="s">
        <v>2091</v>
      </c>
    </row>
    <row r="210" spans="1:19" s="74" customFormat="1">
      <c r="A210" s="9" t="s">
        <v>2122</v>
      </c>
      <c r="D210" s="73"/>
      <c r="E210" s="73"/>
      <c r="F210" s="73"/>
      <c r="G210" s="73"/>
      <c r="H210" s="73"/>
      <c r="I210" s="73"/>
      <c r="J210" s="73"/>
      <c r="K210" s="73"/>
      <c r="L210" s="73"/>
      <c r="M210" s="73"/>
      <c r="N210" s="73"/>
      <c r="O210" s="73"/>
      <c r="P210" s="73"/>
    </row>
    <row r="211" spans="1:19">
      <c r="A211" s="70" t="s">
        <v>2126</v>
      </c>
      <c r="B211" s="380" t="s">
        <v>119</v>
      </c>
      <c r="C211" s="70"/>
      <c r="D211" s="314" t="s">
        <v>2128</v>
      </c>
      <c r="E211" s="70"/>
      <c r="F211" s="70"/>
      <c r="G211" s="70"/>
      <c r="H211" s="70"/>
      <c r="I211" s="70"/>
      <c r="J211" s="70"/>
      <c r="K211" s="70"/>
      <c r="L211" s="70"/>
      <c r="M211" s="70"/>
      <c r="N211" s="70"/>
      <c r="O211" s="70"/>
      <c r="P211" s="70"/>
      <c r="Q211" s="70"/>
      <c r="R211" s="70"/>
    </row>
    <row r="212" spans="1:19">
      <c r="A212" s="9" t="s">
        <v>2127</v>
      </c>
      <c r="B212" s="9" t="s">
        <v>122</v>
      </c>
      <c r="C212" s="9"/>
      <c r="D212" s="315" t="s">
        <v>2129</v>
      </c>
    </row>
    <row r="213" spans="1:19">
      <c r="A213" s="9" t="s">
        <v>2127</v>
      </c>
      <c r="B213" s="9"/>
      <c r="C213" s="9"/>
      <c r="N213" s="9"/>
      <c r="R213" s="370"/>
    </row>
    <row r="214" spans="1:19">
      <c r="A214" s="9" t="s">
        <v>2127</v>
      </c>
      <c r="B214" s="9" t="s">
        <v>111</v>
      </c>
      <c r="C214" s="9"/>
      <c r="D214" s="4" t="s">
        <v>19</v>
      </c>
      <c r="E214" s="60" t="s">
        <v>2099</v>
      </c>
      <c r="F214" s="60"/>
      <c r="G214" s="60"/>
      <c r="H214" s="60"/>
      <c r="I214" s="60"/>
      <c r="J214" s="60"/>
      <c r="K214" s="60"/>
      <c r="L214" s="389"/>
      <c r="M214" s="389"/>
      <c r="O214" s="9"/>
      <c r="P214" s="47"/>
      <c r="R214" s="370"/>
    </row>
    <row r="215" spans="1:19">
      <c r="A215" s="9" t="s">
        <v>2127</v>
      </c>
      <c r="B215" s="9" t="s">
        <v>111</v>
      </c>
      <c r="C215" s="9"/>
      <c r="D215" s="60" t="s">
        <v>2076</v>
      </c>
      <c r="E215" s="388">
        <v>46.2</v>
      </c>
      <c r="F215" s="641"/>
      <c r="G215" s="641"/>
      <c r="H215" s="641"/>
      <c r="I215" s="641"/>
      <c r="J215" s="641"/>
      <c r="K215" s="641"/>
      <c r="L215" s="643"/>
      <c r="M215" s="642"/>
      <c r="N215" s="43"/>
      <c r="O215" s="173"/>
      <c r="P215" s="47"/>
      <c r="R215" s="370"/>
      <c r="S215" s="83"/>
    </row>
    <row r="216" spans="1:19">
      <c r="A216" s="9" t="s">
        <v>2127</v>
      </c>
      <c r="B216" s="9" t="s">
        <v>111</v>
      </c>
      <c r="C216" s="9"/>
      <c r="D216" s="60" t="s">
        <v>2077</v>
      </c>
      <c r="E216" s="388">
        <v>23.7</v>
      </c>
      <c r="F216" s="641"/>
      <c r="G216" s="641"/>
      <c r="H216" s="641"/>
      <c r="I216" s="641"/>
      <c r="J216" s="641"/>
      <c r="K216" s="641"/>
      <c r="L216" s="643"/>
      <c r="M216" s="642"/>
      <c r="N216" s="43"/>
      <c r="O216" s="173"/>
      <c r="P216" s="47"/>
      <c r="R216" s="370"/>
      <c r="S216" s="83"/>
    </row>
    <row r="217" spans="1:19">
      <c r="A217" s="9" t="s">
        <v>2127</v>
      </c>
      <c r="B217" s="9" t="s">
        <v>111</v>
      </c>
      <c r="C217" s="9"/>
      <c r="D217" s="9" t="s">
        <v>2078</v>
      </c>
      <c r="E217" s="648">
        <v>15.2</v>
      </c>
      <c r="F217" s="644"/>
      <c r="G217" s="644"/>
      <c r="H217" s="383"/>
      <c r="I217" s="383"/>
      <c r="J217" s="383"/>
      <c r="K217" s="642"/>
      <c r="L217" s="643"/>
      <c r="M217" s="38"/>
      <c r="N217" s="43"/>
      <c r="O217" s="173"/>
      <c r="P217" s="47"/>
      <c r="R217" s="370"/>
    </row>
    <row r="218" spans="1:19">
      <c r="A218" s="9" t="s">
        <v>2127</v>
      </c>
      <c r="B218" s="9" t="s">
        <v>111</v>
      </c>
      <c r="D218" s="9" t="s">
        <v>2079</v>
      </c>
      <c r="E218" s="648">
        <v>14.8</v>
      </c>
      <c r="F218" s="644"/>
      <c r="G218" s="644"/>
      <c r="H218" s="383"/>
      <c r="I218" s="383"/>
      <c r="J218" s="383"/>
      <c r="K218" s="383"/>
      <c r="L218" s="648"/>
      <c r="M218" s="390"/>
      <c r="N218" s="43"/>
      <c r="O218" s="9"/>
      <c r="P218" s="47"/>
      <c r="R218" s="370"/>
    </row>
    <row r="219" spans="1:19">
      <c r="A219" s="9" t="s">
        <v>2127</v>
      </c>
      <c r="B219" s="9" t="s">
        <v>111</v>
      </c>
      <c r="C219" s="9"/>
      <c r="D219" s="622"/>
      <c r="E219" s="463"/>
      <c r="F219" s="644"/>
      <c r="G219" s="644"/>
      <c r="H219" s="383"/>
      <c r="I219" s="383"/>
      <c r="J219" s="383"/>
      <c r="K219" s="383"/>
      <c r="L219" s="648"/>
    </row>
    <row r="220" spans="1:19">
      <c r="A220" s="9" t="s">
        <v>2127</v>
      </c>
      <c r="B220" s="9"/>
      <c r="C220" s="9"/>
      <c r="D220" s="9"/>
      <c r="E220" s="648"/>
      <c r="F220" s="644"/>
      <c r="G220" s="644"/>
      <c r="H220" s="383"/>
      <c r="I220" s="383"/>
      <c r="J220" s="383"/>
      <c r="K220" s="383"/>
      <c r="L220" s="648"/>
    </row>
    <row r="221" spans="1:19">
      <c r="A221" s="9" t="s">
        <v>2127</v>
      </c>
      <c r="B221" s="9" t="s">
        <v>2088</v>
      </c>
      <c r="C221" s="9"/>
      <c r="D221" s="9"/>
      <c r="E221" s="648"/>
      <c r="F221" s="645"/>
      <c r="G221" s="645"/>
      <c r="H221" s="637"/>
      <c r="I221" s="637"/>
      <c r="J221" s="637"/>
      <c r="K221" s="646"/>
      <c r="L221" s="647"/>
      <c r="S221" s="385"/>
    </row>
    <row r="222" spans="1:19">
      <c r="A222" s="9" t="s">
        <v>2127</v>
      </c>
      <c r="B222" s="9" t="s">
        <v>112</v>
      </c>
      <c r="C222" s="9"/>
      <c r="D222" s="622"/>
      <c r="E222" s="648"/>
      <c r="N222" s="245"/>
      <c r="S222" s="385"/>
    </row>
    <row r="223" spans="1:19">
      <c r="A223" s="9" t="s">
        <v>2127</v>
      </c>
      <c r="B223" s="9" t="s">
        <v>112</v>
      </c>
      <c r="C223" s="9"/>
      <c r="S223" s="83"/>
    </row>
    <row r="224" spans="1:19">
      <c r="A224" s="9" t="s">
        <v>2127</v>
      </c>
      <c r="B224" s="9" t="s">
        <v>112</v>
      </c>
      <c r="C224" s="9"/>
      <c r="S224" s="83"/>
    </row>
    <row r="225" spans="1:19">
      <c r="A225" s="9" t="s">
        <v>2127</v>
      </c>
      <c r="B225" s="9" t="s">
        <v>112</v>
      </c>
      <c r="C225" s="9"/>
      <c r="S225" s="83"/>
    </row>
    <row r="226" spans="1:19">
      <c r="A226" s="9" t="s">
        <v>2127</v>
      </c>
      <c r="B226" s="9" t="s">
        <v>112</v>
      </c>
      <c r="C226" s="9"/>
      <c r="S226" s="83"/>
    </row>
    <row r="227" spans="1:19">
      <c r="A227" s="9" t="s">
        <v>2127</v>
      </c>
      <c r="B227" s="9" t="s">
        <v>112</v>
      </c>
      <c r="C227" s="9"/>
    </row>
    <row r="228" spans="1:19">
      <c r="A228" s="9" t="s">
        <v>2127</v>
      </c>
      <c r="B228" s="9" t="s">
        <v>112</v>
      </c>
      <c r="C228" s="9"/>
    </row>
    <row r="229" spans="1:19">
      <c r="A229" s="9" t="s">
        <v>2127</v>
      </c>
      <c r="B229" s="9" t="s">
        <v>112</v>
      </c>
      <c r="C229" s="9"/>
    </row>
    <row r="230" spans="1:19">
      <c r="A230" s="9" t="s">
        <v>2127</v>
      </c>
      <c r="B230" s="9" t="s">
        <v>112</v>
      </c>
      <c r="C230" s="9"/>
    </row>
    <row r="231" spans="1:19">
      <c r="A231" s="9" t="s">
        <v>2127</v>
      </c>
      <c r="B231" s="9" t="s">
        <v>112</v>
      </c>
      <c r="C231" s="9"/>
    </row>
    <row r="232" spans="1:19">
      <c r="A232" s="9" t="s">
        <v>2127</v>
      </c>
      <c r="B232" s="9" t="s">
        <v>112</v>
      </c>
      <c r="C232" s="9"/>
      <c r="P232" s="83"/>
    </row>
    <row r="233" spans="1:19">
      <c r="A233" s="9" t="s">
        <v>2127</v>
      </c>
      <c r="B233" s="9" t="s">
        <v>112</v>
      </c>
      <c r="C233" s="9"/>
      <c r="D233" s="272"/>
    </row>
    <row r="234" spans="1:19">
      <c r="A234" s="9" t="s">
        <v>2127</v>
      </c>
      <c r="B234" s="74"/>
      <c r="C234" s="74"/>
      <c r="D234" s="73"/>
      <c r="E234" s="73"/>
      <c r="F234" s="73"/>
      <c r="G234" s="73"/>
      <c r="H234" s="73"/>
      <c r="I234" s="73"/>
      <c r="J234" s="73"/>
      <c r="K234" s="73"/>
      <c r="L234" s="73"/>
      <c r="M234" s="73"/>
      <c r="N234" s="73"/>
      <c r="O234" s="73"/>
      <c r="P234" s="73"/>
      <c r="Q234" s="74"/>
      <c r="R234" s="74"/>
    </row>
    <row r="235" spans="1:19">
      <c r="A235" s="9" t="s">
        <v>2127</v>
      </c>
      <c r="B235" s="9" t="s">
        <v>124</v>
      </c>
      <c r="C235" s="9"/>
      <c r="D235" s="272" t="s">
        <v>2090</v>
      </c>
    </row>
    <row r="236" spans="1:19">
      <c r="A236" s="9" t="s">
        <v>2127</v>
      </c>
      <c r="B236" s="9"/>
      <c r="C236" s="9"/>
      <c r="D236" s="272"/>
    </row>
    <row r="237" spans="1:19">
      <c r="A237" s="70" t="s">
        <v>2131</v>
      </c>
      <c r="B237" s="380" t="s">
        <v>119</v>
      </c>
      <c r="C237" s="70"/>
      <c r="D237" s="314" t="s">
        <v>2132</v>
      </c>
      <c r="E237" s="70"/>
      <c r="F237" s="70"/>
      <c r="G237" s="70"/>
      <c r="H237" s="70"/>
      <c r="I237" s="70"/>
      <c r="J237" s="70"/>
      <c r="K237" s="70"/>
      <c r="L237" s="70"/>
      <c r="M237" s="70"/>
      <c r="N237" s="70"/>
      <c r="O237" s="70"/>
      <c r="P237" s="70"/>
      <c r="Q237" s="70"/>
      <c r="R237" s="70"/>
    </row>
    <row r="238" spans="1:19">
      <c r="A238" s="9" t="s">
        <v>2130</v>
      </c>
      <c r="B238" s="9" t="s">
        <v>122</v>
      </c>
      <c r="C238" s="9"/>
      <c r="D238" s="315" t="s">
        <v>2138</v>
      </c>
    </row>
    <row r="239" spans="1:19" s="74" customFormat="1">
      <c r="A239" s="9" t="s">
        <v>2130</v>
      </c>
      <c r="B239" s="373"/>
      <c r="E239" s="73"/>
      <c r="F239" s="73"/>
      <c r="G239" s="73"/>
      <c r="H239" s="73"/>
      <c r="I239" s="73"/>
      <c r="J239" s="73"/>
      <c r="K239" s="73"/>
      <c r="L239" s="73"/>
      <c r="M239" s="73"/>
      <c r="N239" s="73"/>
      <c r="O239" s="73"/>
      <c r="P239" s="73"/>
    </row>
    <row r="240" spans="1:19">
      <c r="A240" s="9" t="s">
        <v>2130</v>
      </c>
      <c r="B240" s="9" t="s">
        <v>111</v>
      </c>
      <c r="C240" s="9"/>
      <c r="D240" s="59" t="s">
        <v>2098</v>
      </c>
      <c r="E240" s="60" t="s">
        <v>2099</v>
      </c>
      <c r="F240" s="389"/>
      <c r="G240" s="389"/>
      <c r="H240" s="60"/>
    </row>
    <row r="241" spans="1:13">
      <c r="A241" s="9" t="s">
        <v>2130</v>
      </c>
      <c r="B241" s="9" t="s">
        <v>111</v>
      </c>
      <c r="C241" s="9"/>
      <c r="D241" t="s">
        <v>2134</v>
      </c>
      <c r="E241" s="388">
        <v>31</v>
      </c>
      <c r="F241" s="674"/>
      <c r="G241" s="674"/>
      <c r="H241" s="641"/>
    </row>
    <row r="242" spans="1:13">
      <c r="A242" s="9" t="s">
        <v>2130</v>
      </c>
      <c r="B242" s="9" t="s">
        <v>111</v>
      </c>
      <c r="C242" s="9"/>
      <c r="D242" t="s">
        <v>2135</v>
      </c>
      <c r="E242" s="388">
        <v>16</v>
      </c>
      <c r="F242" s="674"/>
      <c r="G242" s="674"/>
      <c r="H242" s="641"/>
    </row>
    <row r="243" spans="1:13">
      <c r="A243" s="9" t="s">
        <v>2130</v>
      </c>
      <c r="B243" s="9" t="s">
        <v>111</v>
      </c>
      <c r="C243" s="9"/>
      <c r="D243" t="s">
        <v>2140</v>
      </c>
      <c r="E243" s="648">
        <v>22</v>
      </c>
      <c r="F243" s="669"/>
      <c r="G243" s="669"/>
      <c r="H243" s="383"/>
    </row>
    <row r="244" spans="1:13">
      <c r="A244" s="9" t="s">
        <v>2130</v>
      </c>
      <c r="B244" s="9" t="s">
        <v>111</v>
      </c>
      <c r="D244" s="9" t="s">
        <v>2139</v>
      </c>
      <c r="E244" s="648">
        <v>17</v>
      </c>
      <c r="F244" s="669"/>
      <c r="G244" s="669"/>
      <c r="H244" s="383"/>
    </row>
    <row r="245" spans="1:13">
      <c r="A245" s="9" t="s">
        <v>2130</v>
      </c>
      <c r="B245" s="9" t="s">
        <v>111</v>
      </c>
      <c r="C245" s="9"/>
      <c r="D245" t="s">
        <v>2096</v>
      </c>
      <c r="E245" s="648">
        <v>14</v>
      </c>
      <c r="F245" s="669"/>
      <c r="H245" s="383"/>
    </row>
    <row r="246" spans="1:13">
      <c r="A246" s="9" t="s">
        <v>2130</v>
      </c>
      <c r="B246" s="9"/>
      <c r="C246" s="9"/>
      <c r="D246" s="9"/>
      <c r="E246" s="463"/>
      <c r="G246" s="292"/>
      <c r="H246" s="383"/>
      <c r="M246" s="385"/>
    </row>
    <row r="247" spans="1:13">
      <c r="A247" s="9" t="s">
        <v>2130</v>
      </c>
      <c r="B247" s="9" t="s">
        <v>2088</v>
      </c>
      <c r="C247" s="9"/>
      <c r="D247" s="673" t="s">
        <v>2136</v>
      </c>
      <c r="E247" s="648"/>
      <c r="F247" s="645"/>
      <c r="G247" s="645"/>
      <c r="H247" s="637"/>
      <c r="M247" s="83"/>
    </row>
    <row r="248" spans="1:13">
      <c r="A248" s="9" t="s">
        <v>2130</v>
      </c>
      <c r="B248" s="9" t="s">
        <v>112</v>
      </c>
      <c r="C248" s="9"/>
      <c r="D248" s="622"/>
      <c r="E248" s="648"/>
      <c r="M248" s="385"/>
    </row>
    <row r="249" spans="1:13">
      <c r="A249" s="9" t="s">
        <v>2130</v>
      </c>
      <c r="B249" s="9" t="s">
        <v>112</v>
      </c>
      <c r="C249" s="9"/>
      <c r="M249" s="385"/>
    </row>
    <row r="250" spans="1:13">
      <c r="A250" s="9" t="s">
        <v>2130</v>
      </c>
      <c r="B250" s="9" t="s">
        <v>112</v>
      </c>
      <c r="C250" s="9"/>
      <c r="M250" s="385"/>
    </row>
    <row r="251" spans="1:13">
      <c r="A251" s="9" t="s">
        <v>2130</v>
      </c>
      <c r="B251" s="9" t="s">
        <v>112</v>
      </c>
      <c r="C251" s="9"/>
    </row>
    <row r="252" spans="1:13">
      <c r="A252" s="9" t="s">
        <v>2130</v>
      </c>
      <c r="B252" s="9" t="s">
        <v>112</v>
      </c>
      <c r="C252" s="9"/>
    </row>
    <row r="253" spans="1:13">
      <c r="A253" s="9" t="s">
        <v>2130</v>
      </c>
      <c r="B253" s="9" t="s">
        <v>112</v>
      </c>
      <c r="C253" s="9"/>
    </row>
    <row r="254" spans="1:13">
      <c r="A254" s="9" t="s">
        <v>2130</v>
      </c>
      <c r="B254" s="9" t="s">
        <v>112</v>
      </c>
      <c r="C254" s="9"/>
    </row>
    <row r="255" spans="1:13">
      <c r="A255" s="9" t="s">
        <v>2130</v>
      </c>
      <c r="B255" s="9" t="s">
        <v>112</v>
      </c>
      <c r="C255" s="9"/>
    </row>
    <row r="256" spans="1:13">
      <c r="A256" s="9" t="s">
        <v>2130</v>
      </c>
      <c r="B256" s="9" t="s">
        <v>112</v>
      </c>
      <c r="C256" s="9"/>
    </row>
    <row r="257" spans="1:8">
      <c r="A257" s="9" t="s">
        <v>2130</v>
      </c>
      <c r="B257" s="9" t="s">
        <v>112</v>
      </c>
      <c r="C257" s="9"/>
    </row>
    <row r="258" spans="1:8">
      <c r="A258" s="9" t="s">
        <v>2130</v>
      </c>
      <c r="B258" s="9" t="s">
        <v>112</v>
      </c>
      <c r="C258" s="9"/>
    </row>
    <row r="259" spans="1:8">
      <c r="A259" s="9" t="s">
        <v>2130</v>
      </c>
      <c r="B259" s="9" t="s">
        <v>112</v>
      </c>
      <c r="C259" s="9"/>
      <c r="D259" s="272"/>
    </row>
    <row r="260" spans="1:8">
      <c r="A260" s="9" t="s">
        <v>2130</v>
      </c>
      <c r="B260" s="74"/>
      <c r="C260" s="74"/>
      <c r="D260" s="73"/>
      <c r="E260" s="73"/>
      <c r="F260" s="73"/>
      <c r="G260" s="73"/>
      <c r="H260" s="73"/>
    </row>
    <row r="261" spans="1:8">
      <c r="A261" s="9" t="s">
        <v>2130</v>
      </c>
      <c r="C261" s="9"/>
    </row>
    <row r="262" spans="1:8">
      <c r="A262" s="9" t="s">
        <v>2130</v>
      </c>
      <c r="B262" s="9" t="s">
        <v>124</v>
      </c>
      <c r="C262" s="9"/>
      <c r="D262" s="272" t="s">
        <v>2090</v>
      </c>
    </row>
    <row r="263" spans="1:8">
      <c r="A263" s="9" t="s">
        <v>2130</v>
      </c>
    </row>
  </sheetData>
  <autoFilter ref="A1:B108" xr:uid="{00000000-0009-0000-0000-00000D000000}"/>
  <phoneticPr fontId="13" type="noConversion"/>
  <pageMargins left="0.7" right="0.7" top="0.75" bottom="0.75" header="0.3" footer="0.3"/>
  <pageSetup paperSize="9" orientation="portrait" horizontalDpi="1200" verticalDpi="1200" r:id="rId1"/>
  <ignoredErrors>
    <ignoredError sqref="F188:F191" calculatedColumn="1"/>
  </ignoredErrors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R74"/>
  <sheetViews>
    <sheetView zoomScale="85" zoomScaleNormal="85" workbookViewId="0">
      <selection activeCell="G50" sqref="G50"/>
    </sheetView>
  </sheetViews>
  <sheetFormatPr defaultRowHeight="16.5"/>
  <cols>
    <col min="1" max="1" width="17.125" customWidth="1"/>
    <col min="4" max="4" width="13.125" customWidth="1"/>
  </cols>
  <sheetData>
    <row r="1" spans="1:18">
      <c r="A1" s="6" t="s">
        <v>2157</v>
      </c>
      <c r="B1" s="7" t="s">
        <v>2158</v>
      </c>
      <c r="C1" s="7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688"/>
      <c r="Q1" s="688"/>
      <c r="R1" s="688"/>
    </row>
    <row r="2" spans="1:18">
      <c r="A2" s="70" t="s">
        <v>2170</v>
      </c>
      <c r="B2" s="70" t="s">
        <v>119</v>
      </c>
      <c r="C2" s="70"/>
      <c r="D2" s="205" t="s">
        <v>2159</v>
      </c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190"/>
      <c r="Q2" s="190"/>
      <c r="R2" s="190"/>
    </row>
    <row r="3" spans="1:18">
      <c r="A3" s="9" t="s">
        <v>2160</v>
      </c>
      <c r="B3" s="9" t="s">
        <v>2154</v>
      </c>
      <c r="C3" s="9"/>
      <c r="D3" s="269" t="s">
        <v>2176</v>
      </c>
      <c r="E3" s="3"/>
      <c r="F3" s="3"/>
      <c r="G3" s="3"/>
      <c r="H3" s="3"/>
      <c r="I3" s="3"/>
      <c r="J3" s="3"/>
      <c r="K3" s="3"/>
      <c r="L3" s="3"/>
      <c r="M3" s="3"/>
      <c r="N3" s="3"/>
      <c r="O3" s="99"/>
    </row>
    <row r="4" spans="1:18">
      <c r="A4" s="9" t="s">
        <v>2160</v>
      </c>
      <c r="B4" s="73"/>
      <c r="C4" s="73"/>
      <c r="D4" s="373" t="s">
        <v>2174</v>
      </c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</row>
    <row r="5" spans="1:18">
      <c r="A5" s="9" t="s">
        <v>2160</v>
      </c>
      <c r="C5" s="9"/>
      <c r="L5" s="60"/>
      <c r="O5" s="3"/>
    </row>
    <row r="6" spans="1:18">
      <c r="A6" s="9" t="s">
        <v>2160</v>
      </c>
      <c r="B6" s="9" t="s">
        <v>2161</v>
      </c>
      <c r="C6" s="9"/>
      <c r="D6" s="3" t="s">
        <v>2162</v>
      </c>
      <c r="E6" s="60" t="s">
        <v>169</v>
      </c>
      <c r="F6" s="60" t="s">
        <v>170</v>
      </c>
      <c r="G6" s="60" t="s">
        <v>171</v>
      </c>
      <c r="H6" s="60" t="s">
        <v>183</v>
      </c>
      <c r="I6" s="60" t="s">
        <v>184</v>
      </c>
      <c r="J6" s="60" t="s">
        <v>1047</v>
      </c>
      <c r="K6" s="9" t="s">
        <v>2164</v>
      </c>
      <c r="L6" s="43"/>
      <c r="M6" s="9" t="s">
        <v>2163</v>
      </c>
      <c r="N6" s="379"/>
      <c r="O6" s="9"/>
    </row>
    <row r="7" spans="1:18">
      <c r="A7" s="9" t="s">
        <v>2160</v>
      </c>
      <c r="B7" s="9" t="s">
        <v>2161</v>
      </c>
      <c r="C7" s="74"/>
      <c r="D7" s="3" t="s">
        <v>2165</v>
      </c>
      <c r="E7" s="692">
        <v>178.37</v>
      </c>
      <c r="F7" s="692">
        <v>205.14</v>
      </c>
      <c r="G7" s="692">
        <v>236.92</v>
      </c>
      <c r="H7" s="692">
        <v>274.83000000000004</v>
      </c>
      <c r="I7" s="692">
        <v>320.16999999999996</v>
      </c>
      <c r="J7" s="692">
        <v>373</v>
      </c>
      <c r="K7" s="375"/>
      <c r="L7" s="74"/>
      <c r="M7" s="693">
        <f>RATE(5,0,-표6_291101[2021년],표6_291101[2026년])</f>
        <v>0.15898390236321741</v>
      </c>
      <c r="N7" s="74"/>
      <c r="O7" s="74"/>
    </row>
    <row r="8" spans="1:18">
      <c r="A8" s="9" t="s">
        <v>2160</v>
      </c>
      <c r="B8" s="9"/>
      <c r="C8" s="9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</row>
    <row r="9" spans="1:18">
      <c r="A9" s="9" t="s">
        <v>2160</v>
      </c>
      <c r="B9" s="9"/>
      <c r="C9" s="9"/>
      <c r="E9" s="3"/>
      <c r="F9" s="3"/>
      <c r="G9" s="3"/>
      <c r="H9" s="3"/>
      <c r="I9" s="3"/>
      <c r="J9" s="3"/>
      <c r="K9" s="3"/>
      <c r="L9" s="3"/>
      <c r="M9" s="3"/>
      <c r="N9" s="3"/>
      <c r="O9" s="3"/>
    </row>
    <row r="10" spans="1:18">
      <c r="A10" s="9" t="s">
        <v>2160</v>
      </c>
      <c r="B10" s="9" t="s">
        <v>2166</v>
      </c>
      <c r="C10" s="9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</row>
    <row r="11" spans="1:18">
      <c r="A11" s="9" t="s">
        <v>2160</v>
      </c>
      <c r="B11" s="9" t="s">
        <v>2166</v>
      </c>
      <c r="C11" s="9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</row>
    <row r="12" spans="1:18">
      <c r="A12" s="9" t="s">
        <v>2160</v>
      </c>
      <c r="B12" s="9" t="s">
        <v>2155</v>
      </c>
      <c r="C12" s="9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</row>
    <row r="13" spans="1:18">
      <c r="A13" s="9" t="s">
        <v>2153</v>
      </c>
      <c r="B13" s="9" t="s">
        <v>2166</v>
      </c>
      <c r="C13" s="9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</row>
    <row r="14" spans="1:18">
      <c r="A14" s="9" t="s">
        <v>2160</v>
      </c>
      <c r="B14" s="9" t="s">
        <v>2166</v>
      </c>
      <c r="C14" s="9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</row>
    <row r="15" spans="1:18">
      <c r="A15" s="9" t="s">
        <v>2160</v>
      </c>
      <c r="B15" s="9" t="s">
        <v>2166</v>
      </c>
      <c r="C15" s="9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</row>
    <row r="16" spans="1:18">
      <c r="A16" s="9" t="s">
        <v>2160</v>
      </c>
      <c r="B16" s="9" t="s">
        <v>2155</v>
      </c>
      <c r="C16" s="9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</row>
    <row r="17" spans="1:18">
      <c r="A17" s="9" t="s">
        <v>2160</v>
      </c>
      <c r="B17" s="9" t="s">
        <v>2166</v>
      </c>
      <c r="C17" s="9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</row>
    <row r="18" spans="1:18">
      <c r="A18" s="9" t="s">
        <v>2153</v>
      </c>
      <c r="B18" s="9" t="s">
        <v>2166</v>
      </c>
      <c r="C18" s="9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</row>
    <row r="19" spans="1:18">
      <c r="A19" s="9" t="s">
        <v>2160</v>
      </c>
      <c r="B19" s="9" t="s">
        <v>2166</v>
      </c>
      <c r="C19" s="9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</row>
    <row r="20" spans="1:18">
      <c r="A20" s="9" t="s">
        <v>2160</v>
      </c>
      <c r="B20" s="9" t="s">
        <v>2166</v>
      </c>
      <c r="C20" s="9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</row>
    <row r="21" spans="1:18">
      <c r="A21" s="9" t="s">
        <v>2160</v>
      </c>
      <c r="B21" s="9" t="s">
        <v>2155</v>
      </c>
      <c r="C21" s="9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</row>
    <row r="22" spans="1:18">
      <c r="A22" s="9" t="s">
        <v>2160</v>
      </c>
      <c r="B22" s="9" t="s">
        <v>2166</v>
      </c>
      <c r="C22" s="9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</row>
    <row r="23" spans="1:18">
      <c r="A23" s="9" t="s">
        <v>2153</v>
      </c>
      <c r="B23" s="9"/>
      <c r="C23" s="9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</row>
    <row r="24" spans="1:18">
      <c r="A24" s="9" t="s">
        <v>2160</v>
      </c>
      <c r="B24" s="9" t="s">
        <v>2167</v>
      </c>
      <c r="C24" s="9"/>
      <c r="D24" s="269" t="s">
        <v>2175</v>
      </c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</row>
    <row r="25" spans="1:18">
      <c r="A25" s="9" t="s">
        <v>2160</v>
      </c>
      <c r="B25" s="74"/>
      <c r="C25" s="74"/>
      <c r="D25" s="73"/>
      <c r="E25" s="74"/>
      <c r="F25" s="73"/>
      <c r="G25" s="73"/>
      <c r="H25" s="73"/>
      <c r="I25" s="73"/>
      <c r="J25" s="73"/>
      <c r="K25" s="73"/>
      <c r="L25" s="73"/>
      <c r="M25" s="73"/>
      <c r="N25" s="73"/>
      <c r="O25" s="73"/>
    </row>
    <row r="26" spans="1:18">
      <c r="A26" s="70" t="s">
        <v>2168</v>
      </c>
      <c r="B26" s="70" t="s">
        <v>119</v>
      </c>
      <c r="C26" s="70"/>
      <c r="D26" s="205" t="s">
        <v>2179</v>
      </c>
      <c r="E26" s="381"/>
      <c r="F26" s="70"/>
      <c r="G26" s="70"/>
      <c r="H26" s="70"/>
      <c r="I26" s="70"/>
      <c r="J26" s="70"/>
      <c r="K26" s="70"/>
      <c r="L26" s="70"/>
      <c r="M26" s="70"/>
      <c r="N26" s="70"/>
      <c r="O26" s="70"/>
      <c r="P26" s="190"/>
      <c r="Q26" s="190"/>
      <c r="R26" s="190"/>
    </row>
    <row r="27" spans="1:18">
      <c r="A27" s="9" t="s">
        <v>2168</v>
      </c>
      <c r="B27" s="9" t="s">
        <v>2169</v>
      </c>
      <c r="C27" s="9"/>
      <c r="D27" s="315" t="s">
        <v>2177</v>
      </c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</row>
    <row r="28" spans="1:18">
      <c r="A28" s="9" t="s">
        <v>2156</v>
      </c>
      <c r="B28" s="73"/>
      <c r="C28" s="9"/>
      <c r="D28" s="3"/>
      <c r="E28" s="3"/>
      <c r="F28" s="3"/>
      <c r="G28" s="3"/>
      <c r="H28" s="3"/>
      <c r="I28" s="3"/>
      <c r="J28" s="3"/>
      <c r="K28" s="3"/>
      <c r="L28" s="3"/>
      <c r="M28" s="3"/>
      <c r="N28" s="9"/>
      <c r="O28" s="3"/>
    </row>
    <row r="29" spans="1:18">
      <c r="A29" s="9" t="s">
        <v>2168</v>
      </c>
      <c r="B29" s="9" t="s">
        <v>2161</v>
      </c>
      <c r="C29" s="9"/>
      <c r="D29" s="4" t="s">
        <v>2162</v>
      </c>
      <c r="E29" s="60" t="s">
        <v>169</v>
      </c>
      <c r="F29" s="60" t="s">
        <v>170</v>
      </c>
      <c r="G29" s="60" t="s">
        <v>171</v>
      </c>
      <c r="H29" s="60" t="s">
        <v>183</v>
      </c>
      <c r="I29" s="60" t="s">
        <v>184</v>
      </c>
      <c r="J29" s="60" t="s">
        <v>1960</v>
      </c>
      <c r="K29" s="9" t="s">
        <v>2163</v>
      </c>
      <c r="L29" s="389"/>
      <c r="M29" s="9" t="s">
        <v>2164</v>
      </c>
    </row>
    <row r="30" spans="1:18">
      <c r="A30" s="9" t="s">
        <v>2168</v>
      </c>
      <c r="B30" s="9" t="s">
        <v>2161</v>
      </c>
      <c r="C30" s="9"/>
      <c r="D30" t="s">
        <v>2171</v>
      </c>
      <c r="E30" s="617">
        <v>142.69999999999999</v>
      </c>
      <c r="F30" s="617">
        <v>165.54</v>
      </c>
      <c r="G30" s="617">
        <v>191.91</v>
      </c>
      <c r="H30" s="617">
        <v>221.24</v>
      </c>
      <c r="I30" s="617">
        <v>256.14</v>
      </c>
      <c r="J30" s="617">
        <v>294.67</v>
      </c>
      <c r="K30" s="694">
        <f>RATE(5,0,-표11_100102[[#This Row],[2021년]],표11_100102[[#This Row],[2026년]])</f>
        <v>0.15606536448976352</v>
      </c>
      <c r="L30" s="682"/>
      <c r="M30" s="43"/>
      <c r="N30" s="379"/>
      <c r="O30" s="379"/>
    </row>
    <row r="31" spans="1:18">
      <c r="A31" s="9" t="s">
        <v>2168</v>
      </c>
      <c r="B31" s="74"/>
      <c r="C31" s="9"/>
      <c r="D31" s="9" t="s">
        <v>2172</v>
      </c>
      <c r="E31" s="617">
        <v>35.67</v>
      </c>
      <c r="F31" s="617">
        <v>39.6</v>
      </c>
      <c r="G31" s="617">
        <v>45.01</v>
      </c>
      <c r="H31" s="617">
        <v>53.59</v>
      </c>
      <c r="I31" s="617">
        <v>64.03</v>
      </c>
      <c r="J31" s="617">
        <v>78.33</v>
      </c>
      <c r="K31" s="173">
        <f>RATE(5,0,-표11_100102[[#This Row],[2021년]],표11_100102[[#This Row],[2026년]])</f>
        <v>0.17037491119594403</v>
      </c>
      <c r="L31" s="690"/>
      <c r="M31" s="616" t="s">
        <v>2178</v>
      </c>
      <c r="N31" s="3"/>
      <c r="O31" s="3"/>
    </row>
    <row r="32" spans="1:18">
      <c r="A32" s="9" t="s">
        <v>2168</v>
      </c>
      <c r="B32" s="9" t="s">
        <v>2166</v>
      </c>
      <c r="C32" s="9"/>
      <c r="D32" s="9"/>
      <c r="E32" s="376"/>
      <c r="F32" s="691"/>
      <c r="G32" s="691"/>
      <c r="H32" s="376"/>
      <c r="I32" s="376"/>
      <c r="J32" s="376"/>
      <c r="K32" s="689"/>
      <c r="L32" s="682"/>
      <c r="M32" s="390"/>
      <c r="N32" s="43"/>
      <c r="O32" s="9"/>
    </row>
    <row r="33" spans="1:18">
      <c r="A33" s="9" t="s">
        <v>2168</v>
      </c>
      <c r="B33" s="9" t="s">
        <v>2166</v>
      </c>
      <c r="C33" s="9"/>
      <c r="D33" s="3"/>
      <c r="E33" s="3"/>
      <c r="F33" s="3"/>
      <c r="G33" s="3"/>
      <c r="H33" s="3"/>
      <c r="I33" s="3"/>
      <c r="J33" s="3"/>
      <c r="K33" s="3"/>
      <c r="L33" s="683"/>
      <c r="M33" s="390"/>
      <c r="N33" s="43"/>
      <c r="O33" s="9"/>
    </row>
    <row r="34" spans="1:18">
      <c r="A34" s="9" t="s">
        <v>2168</v>
      </c>
      <c r="B34" s="9" t="s">
        <v>2166</v>
      </c>
      <c r="C34" s="3"/>
      <c r="D34" s="3"/>
      <c r="E34" s="3"/>
      <c r="F34" s="3"/>
      <c r="G34" s="3"/>
      <c r="H34" s="3"/>
      <c r="I34" s="3"/>
      <c r="J34" s="3"/>
      <c r="K34" s="3"/>
      <c r="L34" s="683"/>
      <c r="M34" s="390"/>
      <c r="N34" s="43"/>
      <c r="O34" s="9"/>
    </row>
    <row r="35" spans="1:18">
      <c r="A35" s="9" t="s">
        <v>2168</v>
      </c>
      <c r="B35" s="9" t="s">
        <v>2166</v>
      </c>
      <c r="C35" s="9"/>
      <c r="D35" s="3"/>
      <c r="E35" s="3"/>
      <c r="F35" s="3"/>
      <c r="G35" s="3"/>
      <c r="H35" s="3"/>
      <c r="I35" s="3"/>
      <c r="J35" s="3"/>
      <c r="K35" s="3"/>
      <c r="L35" s="683"/>
      <c r="M35" s="390"/>
      <c r="N35" s="3"/>
      <c r="O35" s="3"/>
    </row>
    <row r="36" spans="1:18">
      <c r="A36" s="9" t="s">
        <v>2156</v>
      </c>
      <c r="B36" s="9" t="s">
        <v>2166</v>
      </c>
      <c r="C36" s="9"/>
      <c r="D36" s="3"/>
      <c r="E36" s="3"/>
      <c r="F36" s="3"/>
      <c r="G36" s="3"/>
      <c r="H36" s="3"/>
      <c r="I36" s="3"/>
      <c r="J36" s="3"/>
      <c r="K36" s="3"/>
      <c r="L36" s="375"/>
      <c r="M36" s="38"/>
      <c r="N36" s="3"/>
      <c r="O36" s="3"/>
    </row>
    <row r="37" spans="1:18">
      <c r="A37" s="9" t="s">
        <v>2168</v>
      </c>
      <c r="B37" s="9" t="s">
        <v>2166</v>
      </c>
      <c r="C37" s="9"/>
      <c r="D37" s="3"/>
      <c r="E37" s="3"/>
      <c r="F37" s="3"/>
      <c r="G37" s="3"/>
      <c r="H37" s="3"/>
      <c r="I37" s="3"/>
      <c r="J37" s="3"/>
      <c r="K37" s="3"/>
      <c r="L37" s="375"/>
      <c r="M37" s="3"/>
      <c r="N37" s="3"/>
      <c r="O37" s="3"/>
    </row>
    <row r="38" spans="1:18">
      <c r="A38" s="9" t="s">
        <v>2168</v>
      </c>
      <c r="B38" s="9" t="s">
        <v>2166</v>
      </c>
      <c r="C38" s="9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</row>
    <row r="39" spans="1:18">
      <c r="A39" s="9" t="s">
        <v>2168</v>
      </c>
      <c r="B39" s="9" t="s">
        <v>2166</v>
      </c>
      <c r="C39" s="9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</row>
    <row r="40" spans="1:18">
      <c r="A40" s="9" t="s">
        <v>2168</v>
      </c>
      <c r="B40" s="9" t="s">
        <v>2155</v>
      </c>
      <c r="C40" s="9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</row>
    <row r="41" spans="1:18">
      <c r="A41" s="9" t="s">
        <v>2168</v>
      </c>
      <c r="B41" s="9" t="s">
        <v>2166</v>
      </c>
      <c r="C41" s="9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</row>
    <row r="42" spans="1:18">
      <c r="A42" s="9" t="s">
        <v>2168</v>
      </c>
      <c r="B42" s="73"/>
      <c r="C42" s="392"/>
      <c r="D42" s="393"/>
      <c r="E42" s="392"/>
      <c r="F42" s="392"/>
      <c r="G42" s="392"/>
      <c r="H42" s="392"/>
      <c r="I42" s="392"/>
      <c r="J42" s="392"/>
      <c r="K42" s="392"/>
      <c r="L42" s="3"/>
      <c r="M42" s="3"/>
      <c r="N42" s="3"/>
      <c r="O42" s="3"/>
    </row>
    <row r="43" spans="1:18">
      <c r="A43" s="9" t="s">
        <v>2168</v>
      </c>
      <c r="C43" s="9"/>
      <c r="D43" s="269"/>
      <c r="E43" s="684"/>
      <c r="F43" s="685"/>
      <c r="G43" s="685"/>
      <c r="H43" s="685"/>
      <c r="I43" s="685"/>
      <c r="J43" s="685"/>
      <c r="K43" s="686"/>
      <c r="L43" s="687"/>
      <c r="M43" s="687"/>
      <c r="N43" s="43"/>
      <c r="O43" s="3"/>
    </row>
    <row r="44" spans="1:18">
      <c r="A44" s="9" t="s">
        <v>2168</v>
      </c>
      <c r="B44" s="9"/>
      <c r="C44" s="9"/>
      <c r="D44" s="9"/>
      <c r="E44" s="3"/>
      <c r="F44" s="3"/>
      <c r="G44" s="3"/>
      <c r="H44" s="3"/>
      <c r="I44" s="3"/>
      <c r="J44" s="3"/>
      <c r="K44" s="3"/>
      <c r="L44" s="687"/>
      <c r="M44" s="687"/>
      <c r="N44" s="43"/>
      <c r="O44" s="3"/>
    </row>
    <row r="45" spans="1:18">
      <c r="A45" s="9" t="s">
        <v>2168</v>
      </c>
      <c r="B45" s="9" t="s">
        <v>2167</v>
      </c>
      <c r="C45" s="9"/>
      <c r="D45" s="269" t="s">
        <v>2175</v>
      </c>
      <c r="E45" s="3"/>
      <c r="F45" s="3"/>
      <c r="G45" s="3"/>
      <c r="H45" s="3"/>
      <c r="I45" s="3"/>
      <c r="J45" s="3"/>
      <c r="K45" s="3"/>
      <c r="L45" s="686"/>
      <c r="M45" s="686"/>
      <c r="N45" s="43"/>
      <c r="O45" s="3"/>
    </row>
    <row r="46" spans="1:18">
      <c r="A46" s="70"/>
      <c r="B46" s="70"/>
      <c r="C46" s="70"/>
      <c r="D46" s="205"/>
      <c r="E46" s="381"/>
      <c r="F46" s="70"/>
      <c r="G46" s="70"/>
      <c r="H46" s="70"/>
      <c r="I46" s="70"/>
      <c r="J46" s="70"/>
      <c r="K46" s="70"/>
      <c r="L46" s="70"/>
      <c r="M46" s="70"/>
      <c r="N46" s="70"/>
      <c r="O46" s="380"/>
      <c r="P46" s="190"/>
      <c r="Q46" s="190"/>
      <c r="R46" s="190"/>
    </row>
    <row r="47" spans="1:18">
      <c r="A47" s="9"/>
      <c r="B47" s="9"/>
      <c r="C47" s="9"/>
      <c r="D47" s="269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</row>
    <row r="48" spans="1:18">
      <c r="A48" s="9"/>
      <c r="B48" s="73"/>
      <c r="C48" s="9"/>
      <c r="D48" s="3"/>
      <c r="E48" s="3"/>
      <c r="F48" s="3"/>
      <c r="G48" s="3"/>
      <c r="H48" s="3"/>
      <c r="I48" s="3"/>
      <c r="J48" s="3"/>
      <c r="K48" s="3"/>
      <c r="L48" s="3"/>
      <c r="M48" s="3"/>
      <c r="N48" s="9"/>
      <c r="O48" s="3"/>
    </row>
    <row r="49" spans="1:15">
      <c r="A49" s="9"/>
      <c r="B49" s="9"/>
      <c r="C49" s="9"/>
      <c r="D49" s="4"/>
      <c r="E49" s="59"/>
      <c r="F49" s="59"/>
      <c r="G49" s="59"/>
      <c r="H49" s="59"/>
      <c r="I49" s="59"/>
      <c r="J49" s="59"/>
      <c r="K49" s="59"/>
      <c r="L49" s="3"/>
      <c r="M49" s="9"/>
      <c r="N49" s="9"/>
      <c r="O49" s="3"/>
    </row>
    <row r="50" spans="1:15">
      <c r="A50" s="9"/>
      <c r="B50" s="9"/>
      <c r="C50" s="9"/>
      <c r="D50" s="60"/>
      <c r="E50" s="681"/>
      <c r="F50" s="681"/>
      <c r="G50" s="681"/>
      <c r="H50" s="681"/>
      <c r="I50" s="681"/>
      <c r="J50" s="681"/>
      <c r="K50" s="681"/>
      <c r="L50" s="43"/>
      <c r="M50" s="379"/>
      <c r="N50" s="379"/>
      <c r="O50" s="3"/>
    </row>
    <row r="51" spans="1:15">
      <c r="A51" s="9"/>
      <c r="B51" s="74"/>
      <c r="C51" s="9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</row>
    <row r="52" spans="1:15">
      <c r="A52" s="9"/>
      <c r="B52" s="9"/>
      <c r="C52" s="9"/>
      <c r="D52" s="3"/>
      <c r="E52" s="3"/>
      <c r="F52" s="3"/>
      <c r="G52" s="3"/>
      <c r="H52" s="3"/>
      <c r="I52" s="3"/>
      <c r="J52" s="3"/>
      <c r="K52" s="3"/>
      <c r="L52" s="683"/>
      <c r="M52" s="390"/>
      <c r="N52" s="43"/>
      <c r="O52" s="9"/>
    </row>
    <row r="53" spans="1:15">
      <c r="A53" s="9"/>
      <c r="B53" s="9"/>
      <c r="C53" s="9"/>
      <c r="D53" s="3"/>
      <c r="E53" s="3"/>
      <c r="F53" s="3"/>
      <c r="G53" s="3"/>
      <c r="H53" s="3"/>
      <c r="I53" s="3"/>
      <c r="J53" s="3"/>
      <c r="K53" s="3"/>
      <c r="L53" s="683"/>
      <c r="M53" s="390"/>
      <c r="N53" s="43"/>
      <c r="O53" s="9"/>
    </row>
    <row r="54" spans="1:15">
      <c r="A54" s="9"/>
      <c r="B54" s="9"/>
      <c r="C54" s="3"/>
      <c r="D54" s="3"/>
      <c r="E54" s="3"/>
      <c r="F54" s="3"/>
      <c r="G54" s="3"/>
      <c r="H54" s="3"/>
      <c r="I54" s="3"/>
      <c r="J54" s="3"/>
      <c r="K54" s="3"/>
      <c r="L54" s="683"/>
      <c r="M54" s="390"/>
      <c r="N54" s="43"/>
      <c r="O54" s="9"/>
    </row>
    <row r="55" spans="1:15">
      <c r="A55" s="9"/>
      <c r="B55" s="9"/>
      <c r="C55" s="9"/>
      <c r="D55" s="3"/>
      <c r="E55" s="3"/>
      <c r="F55" s="3"/>
      <c r="G55" s="3"/>
      <c r="H55" s="3"/>
      <c r="I55" s="3"/>
      <c r="J55" s="3"/>
      <c r="K55" s="3"/>
      <c r="L55" s="683"/>
      <c r="M55" s="390"/>
      <c r="N55" s="3"/>
      <c r="O55" s="3"/>
    </row>
    <row r="56" spans="1:15">
      <c r="A56" s="9"/>
      <c r="B56" s="9"/>
      <c r="C56" s="9"/>
      <c r="D56" s="3"/>
      <c r="E56" s="3"/>
      <c r="F56" s="3"/>
      <c r="G56" s="3"/>
      <c r="H56" s="3"/>
      <c r="I56" s="3"/>
      <c r="J56" s="3"/>
      <c r="K56" s="3"/>
      <c r="L56" s="375"/>
      <c r="M56" s="38"/>
      <c r="N56" s="3"/>
      <c r="O56" s="3"/>
    </row>
    <row r="57" spans="1:15">
      <c r="A57" s="9"/>
      <c r="B57" s="9"/>
      <c r="C57" s="9"/>
      <c r="D57" s="3"/>
      <c r="E57" s="3"/>
      <c r="F57" s="3"/>
      <c r="G57" s="3"/>
      <c r="H57" s="3"/>
      <c r="I57" s="3"/>
      <c r="J57" s="3"/>
      <c r="K57" s="3"/>
      <c r="L57" s="375"/>
      <c r="M57" s="3"/>
      <c r="N57" s="3"/>
      <c r="O57" s="3"/>
    </row>
    <row r="58" spans="1:15">
      <c r="A58" s="9"/>
      <c r="B58" s="9"/>
      <c r="C58" s="9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</row>
    <row r="59" spans="1:15">
      <c r="A59" s="9"/>
      <c r="B59" s="9"/>
      <c r="C59" s="9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</row>
    <row r="60" spans="1:15">
      <c r="A60" s="9"/>
      <c r="B60" s="9"/>
      <c r="C60" s="9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</row>
    <row r="61" spans="1:15">
      <c r="A61" s="9"/>
      <c r="B61" s="9"/>
      <c r="C61" s="9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</row>
    <row r="62" spans="1:15">
      <c r="A62" s="9"/>
      <c r="B62" s="9"/>
      <c r="C62" s="9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</row>
    <row r="63" spans="1:15">
      <c r="A63" s="9"/>
      <c r="B63" s="9"/>
      <c r="C63" s="9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</row>
    <row r="64" spans="1:15">
      <c r="A64" s="9"/>
      <c r="B64" s="9"/>
      <c r="C64" s="9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</row>
    <row r="65" spans="1:15">
      <c r="A65" s="9"/>
      <c r="B65" s="73"/>
      <c r="C65" s="392"/>
      <c r="D65" s="393"/>
      <c r="E65" s="392"/>
      <c r="F65" s="392"/>
      <c r="G65" s="392"/>
      <c r="H65" s="392"/>
      <c r="I65" s="392"/>
      <c r="J65" s="392"/>
      <c r="K65" s="392"/>
      <c r="L65" s="3"/>
      <c r="M65" s="3"/>
      <c r="N65" s="3"/>
      <c r="O65" s="3"/>
    </row>
    <row r="66" spans="1:15">
      <c r="A66" s="9"/>
      <c r="B66" s="9"/>
      <c r="C66" s="9"/>
      <c r="D66" s="269"/>
      <c r="E66" s="684"/>
      <c r="F66" s="685"/>
      <c r="G66" s="685"/>
      <c r="H66" s="685"/>
      <c r="I66" s="685"/>
      <c r="J66" s="685"/>
      <c r="K66" s="686"/>
      <c r="L66" s="687"/>
      <c r="M66" s="687"/>
      <c r="N66" s="43"/>
      <c r="O66" s="3"/>
    </row>
    <row r="67" spans="1:15">
      <c r="A67" s="9"/>
      <c r="B67" s="3"/>
      <c r="C67" s="9"/>
      <c r="D67" s="9"/>
      <c r="E67" s="386"/>
      <c r="F67" s="374"/>
      <c r="G67" s="374"/>
      <c r="H67" s="374"/>
      <c r="I67" s="374"/>
      <c r="J67" s="374"/>
      <c r="K67" s="374"/>
      <c r="L67" s="3"/>
      <c r="M67" s="3"/>
      <c r="N67" s="3"/>
      <c r="O67" s="3"/>
    </row>
    <row r="68" spans="1:15">
      <c r="A68" s="9"/>
      <c r="B68" s="9"/>
      <c r="C68" s="74"/>
      <c r="D68" s="60"/>
      <c r="E68" s="386"/>
      <c r="F68" s="374"/>
      <c r="G68" s="374"/>
      <c r="H68" s="374"/>
      <c r="I68" s="374"/>
      <c r="J68" s="374"/>
      <c r="K68" s="374"/>
      <c r="L68" s="73"/>
      <c r="M68" s="73"/>
      <c r="N68" s="73"/>
      <c r="O68" s="73"/>
    </row>
    <row r="69" spans="1:15">
      <c r="A69" s="9"/>
      <c r="B69" s="9"/>
      <c r="C69" s="9"/>
      <c r="E69" s="386"/>
      <c r="F69" s="374"/>
      <c r="G69" s="374"/>
      <c r="H69" s="374"/>
      <c r="I69" s="374"/>
      <c r="J69" s="374"/>
      <c r="K69" s="374"/>
      <c r="L69" s="3"/>
      <c r="M69" s="3"/>
      <c r="N69" s="3"/>
      <c r="O69" s="3"/>
    </row>
    <row r="70" spans="1:15">
      <c r="A70" s="9"/>
      <c r="B70" s="3"/>
      <c r="C70" s="3"/>
      <c r="E70" s="386"/>
      <c r="F70" s="374"/>
      <c r="G70" s="374"/>
      <c r="H70" s="374"/>
      <c r="I70" s="374"/>
      <c r="J70" s="374"/>
      <c r="K70" s="374"/>
      <c r="L70" s="3"/>
      <c r="M70" s="3"/>
      <c r="N70" s="3"/>
      <c r="O70" s="3"/>
    </row>
    <row r="71" spans="1:15">
      <c r="A71" s="9"/>
      <c r="B71" s="9"/>
      <c r="C71" s="9"/>
      <c r="D71" s="9"/>
      <c r="E71" s="384"/>
      <c r="F71" s="3"/>
      <c r="G71" s="3"/>
      <c r="H71" s="3"/>
      <c r="I71" s="3"/>
      <c r="J71" s="3"/>
      <c r="K71" s="3"/>
      <c r="L71" s="3"/>
      <c r="M71" s="3"/>
      <c r="N71" s="9"/>
      <c r="O71" s="9"/>
    </row>
    <row r="72" spans="1:15">
      <c r="A72" s="9"/>
      <c r="B72" s="9"/>
      <c r="C72" s="9"/>
      <c r="D72" s="3"/>
      <c r="E72" s="3"/>
      <c r="F72" s="3"/>
      <c r="G72" s="3"/>
      <c r="H72" s="3"/>
      <c r="I72" s="3"/>
      <c r="J72" s="3"/>
      <c r="K72" s="3"/>
      <c r="L72" s="374"/>
      <c r="M72" s="374"/>
      <c r="N72" s="43"/>
      <c r="O72" s="9"/>
    </row>
    <row r="73" spans="1:15">
      <c r="A73" s="9"/>
      <c r="B73" s="9"/>
      <c r="C73" s="9"/>
      <c r="D73" s="3"/>
      <c r="E73" s="3"/>
      <c r="F73" s="3"/>
      <c r="G73" s="3"/>
      <c r="H73" s="3"/>
      <c r="I73" s="3"/>
      <c r="J73" s="3"/>
      <c r="K73" s="3"/>
      <c r="L73" s="374"/>
      <c r="M73" s="374"/>
      <c r="N73" s="43"/>
      <c r="O73" s="9"/>
    </row>
    <row r="74" spans="1:15">
      <c r="A74" s="9"/>
      <c r="B74" s="9"/>
      <c r="C74" s="9"/>
      <c r="D74" s="3"/>
      <c r="E74" s="3"/>
      <c r="F74" s="3"/>
      <c r="G74" s="3"/>
      <c r="H74" s="3"/>
      <c r="I74" s="3"/>
      <c r="J74" s="3"/>
      <c r="K74" s="3"/>
      <c r="L74" s="374"/>
      <c r="M74" s="374"/>
      <c r="N74" s="43"/>
      <c r="O74" s="9"/>
    </row>
  </sheetData>
  <phoneticPr fontId="13" type="noConversion"/>
  <pageMargins left="0.7" right="0.7" top="0.75" bottom="0.75" header="0.3" footer="0.3"/>
  <pageSetup paperSize="9" orientation="portrait" horizontalDpi="0" verticalDpi="0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15</vt:i4>
      </vt:variant>
    </vt:vector>
  </HeadingPairs>
  <TitlesOfParts>
    <vt:vector size="15" baseType="lpstr">
      <vt:lpstr>0. 목차</vt:lpstr>
      <vt:lpstr>1.투자</vt:lpstr>
      <vt:lpstr>2.인력</vt:lpstr>
      <vt:lpstr>3.기술수준</vt:lpstr>
      <vt:lpstr>4.산업</vt:lpstr>
      <vt:lpstr>5. 의약품</vt:lpstr>
      <vt:lpstr>6. 의료기기</vt:lpstr>
      <vt:lpstr>7. 바이오산업 </vt:lpstr>
      <vt:lpstr>8. 의약품</vt:lpstr>
      <vt:lpstr>9. 합성생물학</vt:lpstr>
      <vt:lpstr>10. 체외진단</vt:lpstr>
      <vt:lpstr>11. 헬스케어 디지털 트윈</vt:lpstr>
      <vt:lpstr>12. Bio-CDMO</vt:lpstr>
      <vt:lpstr>13. 백신</vt:lpstr>
      <vt:lpstr>14.디지털헬스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Woopro</dc:creator>
  <cp:lastModifiedBy>hskim</cp:lastModifiedBy>
  <cp:lastPrinted>2020-11-20T07:11:34Z</cp:lastPrinted>
  <dcterms:created xsi:type="dcterms:W3CDTF">2006-09-16T00:00:00Z</dcterms:created>
  <dcterms:modified xsi:type="dcterms:W3CDTF">2022-11-10T11:37:05Z</dcterms:modified>
</cp:coreProperties>
</file>